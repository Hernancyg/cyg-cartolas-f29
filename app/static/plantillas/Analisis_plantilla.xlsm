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Portada" sheetId="1" state="visible" r:id="rId1"/>
    <sheet xmlns:r="http://schemas.openxmlformats.org/officeDocument/2006/relationships" name="Balance" sheetId="2" state="visible" r:id="rId2"/>
    <sheet xmlns:r="http://schemas.openxmlformats.org/officeDocument/2006/relationships" name="Mayor" sheetId="3" state="visible" r:id="rId3"/>
    <sheet xmlns:r="http://schemas.openxmlformats.org/officeDocument/2006/relationships" name="Matriz" sheetId="4" state="visible" r:id="rId4"/>
    <sheet xmlns:r="http://schemas.openxmlformats.org/officeDocument/2006/relationships" name="Clasificador" sheetId="5" state="visible" r:id="rId5"/>
    <sheet xmlns:r="http://schemas.openxmlformats.org/officeDocument/2006/relationships" name="EEFF" sheetId="6" state="visible" r:id="rId6"/>
    <sheet xmlns:r="http://schemas.openxmlformats.org/officeDocument/2006/relationships" name="(01) EYE" sheetId="7" state="visible" r:id="rId7"/>
    <sheet xmlns:r="http://schemas.openxmlformats.org/officeDocument/2006/relationships" name="(02) VN" sheetId="8" state="visible" r:id="rId8"/>
    <sheet xmlns:r="http://schemas.openxmlformats.org/officeDocument/2006/relationships" name="(03) AYR" sheetId="9" state="visible" r:id="rId9"/>
    <sheet xmlns:r="http://schemas.openxmlformats.org/officeDocument/2006/relationships" name="(04) CPI" sheetId="10" state="visible" r:id="rId10"/>
    <sheet xmlns:r="http://schemas.openxmlformats.org/officeDocument/2006/relationships" name="(05) DC" sheetId="11" state="visible" r:id="rId11"/>
  </sheets>
  <definedNames>
    <definedName name="_xlnm._FilterDatabase" localSheetId="4" hidden="1">'Clasificador'!$B$2:$D$129</definedName>
  </definedNames>
  <calcPr calcId="191029" fullCalcOnLoad="1"/>
  <pivotCaches>
    <pivotCache xmlns:r="http://schemas.openxmlformats.org/officeDocument/2006/relationships" cacheId="4" r:id="rId12"/>
  </pivotCaches>
</workbook>
</file>

<file path=xl/styles.xml><?xml version="1.0" encoding="utf-8"?>
<styleSheet xmlns="http://schemas.openxmlformats.org/spreadsheetml/2006/main">
  <numFmts count="5">
    <numFmt numFmtId="164" formatCode="#,##0;\(#,##0\)"/>
    <numFmt numFmtId="165" formatCode="_ * #,##0_ ;_ * \-#,##0_ ;_ * &quot;-&quot;_ ;_ @_ "/>
    <numFmt numFmtId="166" formatCode="0.0%"/>
    <numFmt numFmtId="167" formatCode="_(* #,##0_);_(* \(#,##0\);_(* &quot;-&quot;??_);_(@_)"/>
    <numFmt numFmtId="168" formatCode="_-* #,##0.00\ _€_-;\-* #,##0.00\ _€_-;_-* &quot;-&quot;??\ _€_-;_-@_-"/>
  </numFmts>
  <fonts count="25">
    <font>
      <name val="Aptos Narrow"/>
      <family val="2"/>
      <color theme="1"/>
      <sz val="11"/>
      <scheme val="minor"/>
    </font>
    <font>
      <name val="Aptos Narrow"/>
      <family val="2"/>
      <b val="1"/>
      <color theme="4" tint="-0.249977111117893"/>
      <sz val="20"/>
      <scheme val="minor"/>
    </font>
    <font>
      <name val="Aptos Narrow"/>
      <family val="2"/>
      <b val="1"/>
      <color theme="4" tint="-0.249977111117893"/>
      <sz val="18"/>
      <scheme val="minor"/>
    </font>
    <font>
      <name val="Aptos Narrow"/>
      <family val="2"/>
      <b val="1"/>
      <color theme="4" tint="-0.249977111117893"/>
      <sz val="24"/>
      <scheme val="minor"/>
    </font>
    <font>
      <name val="Aptos Narrow"/>
      <family val="2"/>
      <b val="1"/>
      <color theme="4" tint="-0.499984740745262"/>
      <sz val="12"/>
      <scheme val="minor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Calibri"/>
      <family val="2"/>
      <b val="1"/>
      <color theme="1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8"/>
    </font>
    <font>
      <name val="Aptos Narrow"/>
      <family val="2"/>
      <b val="1"/>
      <color theme="1"/>
      <sz val="11"/>
    </font>
    <font>
      <name val="Aptos Narrow"/>
      <family val="2"/>
      <b val="1"/>
      <color theme="1"/>
      <sz val="12"/>
    </font>
    <font>
      <name val="Aptos Narrow"/>
      <family val="2"/>
      <color theme="1"/>
      <sz val="10"/>
    </font>
    <font>
      <name val="Aptos Narrow"/>
      <family val="2"/>
      <b val="1"/>
      <color rgb="FF000000"/>
      <sz val="10"/>
    </font>
    <font>
      <name val="Aptos Narrow"/>
      <family val="2"/>
      <color rgb="FF000000"/>
      <sz val="10"/>
    </font>
    <font>
      <name val="Aptos Narrow"/>
      <family val="2"/>
      <color theme="10"/>
      <sz val="11"/>
      <u val="single"/>
      <scheme val="minor"/>
    </font>
    <font>
      <name val="Calibri"/>
      <family val="2"/>
      <color theme="1"/>
      <sz val="9"/>
    </font>
    <font>
      <name val="Calibri"/>
      <family val="2"/>
      <b val="1"/>
      <color theme="0"/>
      <sz val="10"/>
    </font>
    <font>
      <name val="Calibri"/>
      <family val="2"/>
      <sz val="10"/>
    </font>
    <font>
      <name val="Arial"/>
      <family val="2"/>
      <sz val="10"/>
    </font>
    <font>
      <name val="Calibri"/>
      <family val="2"/>
      <b val="1"/>
      <sz val="10"/>
    </font>
    <font>
      <name val="Aptos Narrow"/>
      <family val="2"/>
      <sz val="8"/>
      <scheme val="minor"/>
    </font>
    <font>
      <name val="Aptos Narrow"/>
      <family val="2"/>
      <b val="1"/>
      <color theme="4" tint="-0.249977111117893"/>
      <sz val="11"/>
      <scheme val="minor"/>
    </font>
    <font>
      <name val="Aptos Narrow"/>
      <family val="2"/>
      <color theme="4" tint="-0.249977111117893"/>
      <sz val="11"/>
      <scheme val="minor"/>
    </font>
    <font>
      <name val="Calibri"/>
      <family val="2"/>
      <color theme="4" tint="-0.249977111117893"/>
      <sz val="10"/>
    </font>
  </fonts>
  <fills count="8">
    <fill>
      <patternFill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8999908444471572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5" fillId="0" borderId="0"/>
    <xf numFmtId="41" fontId="5" fillId="0" borderId="0"/>
    <xf numFmtId="43" fontId="5" fillId="0" borderId="0"/>
    <xf numFmtId="0" fontId="15" fillId="0" borderId="0"/>
    <xf numFmtId="0" fontId="16" fillId="0" borderId="0"/>
    <xf numFmtId="168" fontId="5" fillId="0" borderId="0"/>
    <xf numFmtId="9" fontId="19" fillId="0" borderId="0"/>
  </cellStyleXfs>
  <cellXfs count="78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17" fontId="2" fillId="0" borderId="0" applyAlignment="1" pivotButton="0" quotePrefix="1" xfId="0">
      <alignment horizontal="center" vertical="center" wrapText="1"/>
    </xf>
    <xf numFmtId="0" fontId="7" fillId="0" borderId="0" pivotButton="0" quotePrefix="0" xfId="0"/>
    <xf numFmtId="164" fontId="0" fillId="0" borderId="0" pivotButton="0" quotePrefix="0" xfId="0"/>
    <xf numFmtId="0" fontId="0" fillId="0" borderId="4" pivotButton="0" quotePrefix="0" xfId="0"/>
    <xf numFmtId="0" fontId="7" fillId="0" borderId="4" applyAlignment="1" pivotButton="0" quotePrefix="0" xfId="0">
      <alignment horizontal="center"/>
    </xf>
    <xf numFmtId="0" fontId="7" fillId="0" borderId="4" pivotButton="0" quotePrefix="0" xfId="0"/>
    <xf numFmtId="164" fontId="7" fillId="0" borderId="4" applyAlignment="1" pivotButton="0" quotePrefix="0" xfId="0">
      <alignment horizontal="right"/>
    </xf>
    <xf numFmtId="0" fontId="0" fillId="0" borderId="0" applyAlignment="1" pivotButton="0" quotePrefix="0" xfId="0">
      <alignment horizontal="left"/>
    </xf>
    <xf numFmtId="165" fontId="0" fillId="0" borderId="0" pivotButton="0" quotePrefix="0" xfId="1"/>
    <xf numFmtId="0" fontId="4" fillId="0" borderId="0" applyAlignment="1" pivotButton="0" quotePrefix="0" xfId="0">
      <alignment horizontal="center" vertical="center" wrapText="1"/>
    </xf>
    <xf numFmtId="17" fontId="2" fillId="0" borderId="0" applyAlignment="1" pivotButton="0" quotePrefix="1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164" fontId="0" fillId="0" borderId="0" pivotButton="0" quotePrefix="0" xfId="0"/>
    <xf numFmtId="0" fontId="0" fillId="0" borderId="4" pivotButton="0" quotePrefix="0" xfId="0"/>
    <xf numFmtId="164" fontId="0" fillId="0" borderId="4" applyAlignment="1" pivotButton="0" quotePrefix="0" xfId="0">
      <alignment horizontal="right"/>
    </xf>
    <xf numFmtId="165" fontId="0" fillId="0" borderId="0" pivotButton="0" quotePrefix="0" xfId="0"/>
    <xf numFmtId="0" fontId="12" fillId="0" borderId="0" applyAlignment="1" pivotButton="0" quotePrefix="0" xfId="0">
      <alignment wrapText="1"/>
    </xf>
    <xf numFmtId="0" fontId="13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top" wrapText="1"/>
    </xf>
    <xf numFmtId="0" fontId="14" fillId="0" borderId="0" applyAlignment="1" pivotButton="0" quotePrefix="0" xfId="0">
      <alignment horizontal="justify" vertical="center" wrapText="1"/>
    </xf>
    <xf numFmtId="0" fontId="8" fillId="0" borderId="0" applyAlignment="1" pivotButton="0" quotePrefix="0" xfId="0">
      <alignment wrapText="1"/>
    </xf>
    <xf numFmtId="0" fontId="9" fillId="0" borderId="0" applyAlignment="1" pivotButton="0" quotePrefix="0" xfId="0">
      <alignment vertical="center" wrapText="1"/>
    </xf>
    <xf numFmtId="0" fontId="1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165" fontId="11" fillId="0" borderId="0" applyAlignment="1" pivotButton="0" quotePrefix="0" xfId="1">
      <alignment wrapText="1"/>
    </xf>
    <xf numFmtId="0" fontId="10" fillId="0" borderId="0" applyAlignment="1" pivotButton="0" quotePrefix="0" xfId="0">
      <alignment horizontal="center" wrapText="1"/>
    </xf>
    <xf numFmtId="1" fontId="12" fillId="0" borderId="0" applyAlignment="1" pivotButton="0" quotePrefix="0" xfId="0">
      <alignment horizontal="left" wrapText="1"/>
    </xf>
    <xf numFmtId="164" fontId="8" fillId="0" borderId="0" applyAlignment="1" pivotButton="0" quotePrefix="0" xfId="0">
      <alignment wrapText="1"/>
    </xf>
    <xf numFmtId="164" fontId="8" fillId="0" borderId="0" applyAlignment="1" pivotButton="0" quotePrefix="0" xfId="2">
      <alignment wrapText="1"/>
    </xf>
    <xf numFmtId="0" fontId="10" fillId="0" borderId="0" applyAlignment="1" pivotButton="0" quotePrefix="0" xfId="0">
      <alignment wrapText="1"/>
    </xf>
    <xf numFmtId="0" fontId="13" fillId="0" borderId="0" applyAlignment="1" pivotButton="0" quotePrefix="0" xfId="0">
      <alignment horizontal="left" vertical="center" wrapText="1"/>
    </xf>
    <xf numFmtId="164" fontId="10" fillId="0" borderId="2" applyAlignment="1" pivotButton="0" quotePrefix="0" xfId="2">
      <alignment wrapText="1"/>
    </xf>
    <xf numFmtId="0" fontId="14" fillId="0" borderId="0" applyAlignment="1" pivotButton="0" quotePrefix="0" xfId="0">
      <alignment horizontal="left" vertical="center" wrapText="1"/>
    </xf>
    <xf numFmtId="164" fontId="10" fillId="0" borderId="2" applyAlignment="1" pivotButton="0" quotePrefix="0" xfId="0">
      <alignment wrapText="1"/>
    </xf>
    <xf numFmtId="164" fontId="10" fillId="0" borderId="0" applyAlignment="1" pivotButton="0" quotePrefix="0" xfId="0">
      <alignment wrapText="1"/>
    </xf>
    <xf numFmtId="0" fontId="6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0" pivotButton="1" quotePrefix="0" xfId="0"/>
    <xf numFmtId="165" fontId="0" fillId="0" borderId="0" pivotButton="0" quotePrefix="0" xfId="0"/>
    <xf numFmtId="0" fontId="0" fillId="0" borderId="0" pivotButton="0" quotePrefix="1" xfId="0"/>
    <xf numFmtId="0" fontId="15" fillId="0" borderId="0" pivotButton="0" quotePrefix="1" xfId="3"/>
    <xf numFmtId="0" fontId="15" fillId="0" borderId="0" pivotButton="0" quotePrefix="1" xfId="3"/>
    <xf numFmtId="0" fontId="15" fillId="0" borderId="0" pivotButton="0" quotePrefix="0" xfId="3"/>
    <xf numFmtId="0" fontId="17" fillId="2" borderId="4" applyAlignment="1" pivotButton="0" quotePrefix="0" xfId="4">
      <alignment horizontal="center"/>
    </xf>
    <xf numFmtId="0" fontId="18" fillId="0" borderId="4" applyAlignment="1" pivotButton="0" quotePrefix="0" xfId="4">
      <alignment horizontal="left"/>
    </xf>
    <xf numFmtId="164" fontId="18" fillId="0" borderId="4" pivotButton="0" quotePrefix="0" xfId="5"/>
    <xf numFmtId="166" fontId="18" fillId="0" borderId="4" applyAlignment="1" pivotButton="0" quotePrefix="0" xfId="6">
      <alignment horizontal="center"/>
    </xf>
    <xf numFmtId="0" fontId="20" fillId="0" borderId="4" pivotButton="0" quotePrefix="0" xfId="4"/>
    <xf numFmtId="164" fontId="20" fillId="3" borderId="4" pivotButton="0" quotePrefix="0" xfId="5"/>
    <xf numFmtId="167" fontId="20" fillId="0" borderId="4" pivotButton="0" quotePrefix="0" xfId="5"/>
    <xf numFmtId="164" fontId="17" fillId="4" borderId="4" pivotButton="0" quotePrefix="0" xfId="5"/>
    <xf numFmtId="0" fontId="22" fillId="5" borderId="0" applyAlignment="1" pivotButton="0" quotePrefix="0" xfId="0">
      <alignment horizontal="center"/>
    </xf>
    <xf numFmtId="0" fontId="22" fillId="5" borderId="1" applyAlignment="1" pivotButton="0" quotePrefix="0" xfId="0">
      <alignment horizontal="center"/>
    </xf>
    <xf numFmtId="0" fontId="22" fillId="5" borderId="2" applyAlignment="1" pivotButton="0" quotePrefix="0" xfId="0">
      <alignment horizontal="center"/>
    </xf>
    <xf numFmtId="0" fontId="22" fillId="5" borderId="3" applyAlignment="1" pivotButton="0" quotePrefix="0" xfId="0">
      <alignment horizontal="center"/>
    </xf>
    <xf numFmtId="0" fontId="23" fillId="6" borderId="4" pivotButton="0" quotePrefix="0" xfId="0"/>
    <xf numFmtId="0" fontId="18" fillId="0" borderId="4" applyAlignment="1" pivotButton="0" quotePrefix="0" xfId="4">
      <alignment horizontal="center"/>
    </xf>
    <xf numFmtId="0" fontId="24" fillId="6" borderId="4" applyAlignment="1" pivotButton="0" quotePrefix="0" xfId="4">
      <alignment horizontal="center"/>
    </xf>
    <xf numFmtId="0" fontId="18" fillId="0" borderId="5" applyAlignment="1" pivotButton="0" quotePrefix="0" xfId="4">
      <alignment horizontal="center"/>
    </xf>
    <xf numFmtId="0" fontId="17" fillId="7" borderId="4" applyAlignment="1" pivotButton="0" quotePrefix="0" xfId="4">
      <alignment horizontal="center"/>
    </xf>
    <xf numFmtId="0" fontId="0" fillId="0" borderId="4" applyAlignment="1" pivotButton="0" quotePrefix="0" xfId="0">
      <alignment horizontal="center"/>
    </xf>
    <xf numFmtId="165" fontId="0" fillId="0" borderId="0" pivotButton="0" quotePrefix="0" xfId="1"/>
    <xf numFmtId="165" fontId="11" fillId="0" borderId="0" applyAlignment="1" pivotButton="0" quotePrefix="0" xfId="1">
      <alignment wrapText="1"/>
    </xf>
    <xf numFmtId="165" fontId="0" fillId="0" borderId="0" pivotButton="0" quotePrefix="0" xfId="0"/>
    <xf numFmtId="166" fontId="18" fillId="0" borderId="4" applyAlignment="1" pivotButton="0" quotePrefix="0" xfId="6">
      <alignment horizontal="center"/>
    </xf>
    <xf numFmtId="167" fontId="20" fillId="0" borderId="4" pivotButton="0" quotePrefix="0" xfId="5"/>
    <xf numFmtId="0" fontId="22" fillId="5" borderId="4" applyAlignment="1" pivotButton="0" quotePrefix="0" xfId="0">
      <alignment horizontal="center"/>
    </xf>
  </cellXfs>
  <cellStyles count="7">
    <cellStyle name="Normal" xfId="0" builtinId="0"/>
    <cellStyle name="Millares [0]" xfId="1" builtinId="6"/>
    <cellStyle name="Millares" xfId="2" builtinId="3"/>
    <cellStyle name="Hipervínculo" xfId="3" builtinId="8"/>
    <cellStyle name="Normal 7 11" xfId="4"/>
    <cellStyle name="Millares 2 2" xfId="5"/>
    <cellStyle name="Porcentaje 2" xfId="6"/>
  </cellStyles>
  <dxfs count="25"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  <numFmt numFmtId="166" formatCode="_ * #,##0_ ;_ * \-#,##0_ ;_ * &quot;-&quot;_ ;_ @_ "/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  <numFmt numFmtId="166" formatCode="_ * #,##0_ ;_ * \-#,##0_ ;_ * &quot;-&quot;_ ;_ @_ "/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Aptos Narrow"/>
        <family val="2"/>
        <strike val="0"/>
        <outline val="0"/>
        <shadow val="0"/>
        <color theme="1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pivotCacheDefinition" Target="/xl/pivotCache/pivotCacheDefinition1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drawing1.xml><?xml version="1.0" encoding="utf-8"?>
<wsDr xmlns="http://schemas.openxmlformats.org/drawingml/2006/spreadsheetDrawing">
  <twoCellAnchor editAs="oneCell">
    <from>
      <col>10</col>
      <colOff>620890</colOff>
      <row>0</row>
      <rowOff>0</rowOff>
    </from>
    <to>
      <col>13</col>
      <colOff>211667</colOff>
      <row>5</row>
      <rowOff>165480</rowOff>
    </to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240890" y="28222"/>
          <a:ext cx="1876777" cy="108270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7</col>
      <colOff>42334</colOff>
      <row>0</row>
      <rowOff>0</rowOff>
    </from>
    <to>
      <col>8</col>
      <colOff>601199</colOff>
      <row>3</row>
      <rowOff>77611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332612" y="0"/>
          <a:ext cx="1320865" cy="762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12</col>
      <colOff>595312</colOff>
      <row>0</row>
      <rowOff>23813</rowOff>
    </from>
    <to>
      <col>14</col>
      <colOff>392177</colOff>
      <row>4</row>
      <rowOff>55563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1072812" y="23813"/>
          <a:ext cx="1320865" cy="762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12</col>
      <colOff>595312</colOff>
      <row>0</row>
      <rowOff>23813</rowOff>
    </from>
    <to>
      <col>14</col>
      <colOff>392177</colOff>
      <row>4</row>
      <rowOff>55563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1034712" y="23813"/>
          <a:ext cx="1320865" cy="7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12</col>
      <colOff>595312</colOff>
      <row>0</row>
      <rowOff>23813</rowOff>
    </from>
    <to>
      <col>14</col>
      <colOff>392177</colOff>
      <row>4</row>
      <rowOff>55563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0260012" y="23813"/>
          <a:ext cx="1320865" cy="7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12</col>
      <colOff>595312</colOff>
      <row>0</row>
      <rowOff>23813</rowOff>
    </from>
    <to>
      <col>14</col>
      <colOff>392177</colOff>
      <row>4</row>
      <rowOff>55563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0260012" y="23813"/>
          <a:ext cx="1320865" cy="7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12</col>
      <colOff>595312</colOff>
      <row>0</row>
      <rowOff>23813</rowOff>
    </from>
    <to>
      <col>14</col>
      <colOff>392177</colOff>
      <row>4</row>
      <rowOff>55563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2457112" y="23813"/>
          <a:ext cx="1320865" cy="7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Usuario" refreshedDate="46268.05068333333" createdVersion="8" refreshedVersion="8" minRefreshableVersion="3" recordCount="14187" r:id="rId1">
  <cacheSource type="worksheet">
    <worksheetSource name="Tabla1"/>
  </cacheSource>
  <cacheFields count="12">
    <cacheField name="CpbAno" uniqueList="1" numFmtId="0" sqlType="0" hierarchy="0" level="0" databaseField="1">
      <sharedItems count="0" containsInteger="1" containsNumber="1" containsSemiMixedTypes="0" containsString="0" minValue="2026" maxValue="2026"/>
    </cacheField>
    <cacheField name="CpbMes" uniqueList="1" numFmtId="0" sqlType="0" hierarchy="0" level="0" databaseField="1">
      <sharedItems count="0" containsInteger="1" containsNumber="1" containsSemiMixedTypes="0" containsString="0" minValue="1" maxValue="7"/>
    </cacheField>
    <cacheField name="CpbFec" uniqueList="1" numFmtId="0" sqlType="0" hierarchy="0" level="0" databaseField="1">
      <sharedItems count="0"/>
    </cacheField>
    <cacheField name="CpbNum" uniqueList="1" numFmtId="0" sqlType="0" hierarchy="0" level="0" databaseField="1">
      <sharedItems count="0" containsInteger="1" containsNumber="1" containsSemiMixedTypes="0" containsString="0" minValue="6915" maxValue="13334"/>
    </cacheField>
    <cacheField name="PctCod" uniqueList="1" numFmtId="0" sqlType="0" hierarchy="0" level="0" databaseField="1">
      <sharedItems count="0"/>
    </cacheField>
    <cacheField name="MovDebe" uniqueList="1" numFmtId="166" sqlType="0" hierarchy="0" level="0" databaseField="1">
      <sharedItems count="0" containsInteger="1" containsNumber="1" containsSemiMixedTypes="0" containsString="0" minValue="0" maxValue="6428278080"/>
    </cacheField>
    <cacheField name="MovHaber" uniqueList="1" numFmtId="166" sqlType="0" hierarchy="0" level="0" databaseField="1">
      <sharedItems count="0" containsInteger="1" containsNumber="1" containsSemiMixedTypes="0" containsString="0" minValue="0" maxValue="6183974608"/>
    </cacheField>
    <cacheField name="MovGlosa" uniqueList="1" numFmtId="0" sqlType="0" hierarchy="0" level="0" databaseField="1">
      <sharedItems count="0" longText="1"/>
    </cacheField>
    <cacheField name="SALDO" uniqueList="1" numFmtId="0" sqlType="0" hierarchy="0" level="0" databaseField="1">
      <sharedItems count="0" containsInteger="1" containsNumber="1" containsSemiMixedTypes="0" containsString="0" minValue="-6183974608" maxValue="6428278080"/>
    </cacheField>
    <cacheField name="CLASIF" uniqueList="1" numFmtId="0" sqlType="0" hierarchy="0" level="0" databaseField="1">
      <sharedItems count="0"/>
    </cacheField>
    <cacheField name="SALDO CLAS" uniqueList="1" numFmtId="0" sqlType="0" hierarchy="0" level="0" databaseField="1">
      <sharedItems count="0" containsInteger="1" containsNumber="1" containsSemiMixedTypes="0" containsString="0" minValue="-6183974608" maxValue="6428278080"/>
    </cacheField>
    <cacheField name="Cuenta" uniqueList="1" numFmtId="0" sqlType="0" hierarchy="0" level="0" databaseField="1">
      <sharedItems count="127">
        <s v="1101-02 BANCO ESTADO"/>
        <s v="1101-03 BANCO SANTANDER"/>
        <s v="1101-04 BANCO ITAU"/>
        <s v="1101-05 BANCO ESTADO 347"/>
        <s v="1101-10 BANCO ESTADO 291"/>
        <s v="1101-13 CAJA"/>
        <s v="1101-14 Banco Itau 0230434690"/>
        <s v="1101-15 BANCO SANTANDER USD 581"/>
        <s v="1101-16 TARJETA LOS HEROES 698"/>
        <s v="1104-01 DEUDORES CLIENTES"/>
        <s v="1105-10 CHEQUES POR COBRAR"/>
        <s v="1105-18 CUENTA POR COBRAR 1"/>
        <s v="1105-19 CUENTA POR COBRAR 2"/>
        <s v="1106-01 CUENTA CORRIENTE EMPRESA RELACIONADA"/>
        <s v="1106-02 DEUDORES VARIOS"/>
        <s v="1106-03 PRESTAMOS TRABAJADORES"/>
        <s v="1106-05 EMPRESAS RELACIONADAS"/>
        <s v="1106-07 FONDOS A RENDIR"/>
        <s v="1106-08 DEUDORES POR VENTA ACTIVO FIJO"/>
        <s v="1106-09 ANTICIPO SUELDOS"/>
        <s v="1108-01 PAGOS PROVISIONALES"/>
        <s v="1108-02 IVA CREDITO FISCAL"/>
        <s v="1108-06 CREDITO SENCE"/>
        <s v="1109-03 MATERIALES"/>
        <s v="1109-05 INSUMOS"/>
        <s v="1110-02 ANTICIPO HONORARIOS"/>
        <s v="1110-03 SEGUROS"/>
        <s v="1110-08 ANTICIPO A PROVEEDORES"/>
        <s v="1111-01 RETIRO SOCIOS"/>
        <s v="1111-03 CTA. CON TERCEROS"/>
        <s v="1111-04 CUENTA CSA NETWORK"/>
        <s v="1204-01 VEHICULOS"/>
        <s v="1205-01 MAQUINARIAS"/>
        <s v="1205-02 EQUIPOS Y ANTENAS"/>
        <s v="1205-03 EQUIPOS PROYECTO TV"/>
        <s v="1205-04 EQUIPOS Y ANTENAS 2020"/>
        <s v="1205-05 EQUIPO COMPUTACIONAL"/>
        <s v="1207-02 DEPRECIACION ACUM. EQUIPOS Y ANTENAS"/>
        <s v="1207-03 DEPRECIACION ACUM. VEHICULOS"/>
        <s v="1207-04 DEPRECIACION ACUM. EQUIP Y ANTENAS 2020"/>
        <s v="1207-05 DEPRECIACION ACUM. EQUIPOS PROYECTO TV"/>
        <s v="1207-06 DEPRECIACION ACUM. MUEBLES Y UTILES"/>
        <s v="1207-07 DEPRECIACION ACUM EQUIPO COMPUTACIONAL"/>
        <s v="1207-08 DEPRE ACUMULADA MAQUINARIAS"/>
        <s v="1209-01 MUEBLES UTILES E INSTALACIONES"/>
        <s v="1209-02 HERRAMIENTAS Y ENSERES"/>
        <s v="1209-03 CONCESION TRASM. DE DATOS"/>
        <s v="1209-05 MUEBLES UTILES E INST 2020"/>
        <s v="1901-01 GARANTIAS"/>
        <s v="2101-03 PRESTAMO BANCARIO ITAU 756416"/>
        <s v="2101-05 PRÉSTAMO BANCARIO SANTANDER 82928"/>
        <s v="2101-08 PRESTAMO BANCARIO BCO ESTADO 9388"/>
        <s v="2101-09 PRÉSTAMO BANCARIO SANTANDER 71370"/>
        <s v="2101-10 PRESTAMO BANCARIO BCO ESTADO 36361722"/>
        <s v="2101-16 PRESTAMO BANCARIO SANTANDER 420050694789"/>
        <s v="2101-17 PRESTAMO BANCO ESTADO 38648612"/>
        <s v="2101-19 PRESTAMO BANCARIO SANTANDER 420051"/>
        <s v="2101-20 PRESTAMO BANCARIO ITAU 60630876"/>
        <s v="2101-21 PRESTAMO BANCARIO BCO ESTADO 40424985"/>
        <s v="2105-02 REMUNERACIONES POR PAGAR"/>
        <s v="2105-04 HONORARIOS POR PAGAR"/>
        <s v="2105-05 FINIQUITO POR PAGAR"/>
        <s v="2106-04 TARJETA DE CREDITO"/>
        <s v="2106-05 TARJETADE CREDITO 6647"/>
        <s v="2106-06 TARJETA DE CREDITO 4688"/>
        <s v="2106-08 TARJETA DE CREDITO 5130"/>
        <s v="2106-09 TARJETA DE CREDITO 8107"/>
        <s v="2107-04 OTROS ACREEDORES VARIOS"/>
        <s v="2108-02 IVA DEBITO FISCAL"/>
        <s v="2108-03 IMPUESTO UNICO TRABAJADORES"/>
        <s v="2108-04 RETENCION PROFESIONALES"/>
        <s v="2108-06 IMPUESTO POR PAGAR"/>
        <s v="2108-07 AFP"/>
        <s v="2108-08 CCAF"/>
        <s v="2108-10 IVA POR PAGAR"/>
        <s v="2108-12 MUTUAL DE SEGURIDAD"/>
        <s v="2108-13 FONASA"/>
        <s v="2108-20 ISAPRES"/>
        <s v="2116-01 FACTURAS POR PAGAR"/>
        <s v="2116-02 PROVEEDOR EXTRANJEROS"/>
        <s v="2301-01 C A P I T A L"/>
        <s v="2302-02 REVALORIZAC CAPITAL PROPIO"/>
        <s v="2305-06 UTILIDADES ACUMULADAS"/>
        <s v="4101-03 COMBUSTIBLES Y LUBRICANTES"/>
        <s v="4101-06 SERVICIOS DE DATOS"/>
        <s v="4101-07 INSUMOS DE INSTALACION"/>
        <s v="4101-08 FLETES Y GASTOS DESPACHO"/>
        <s v="4101-09 OTROS GASTOS DE EXPLOTACION"/>
        <s v="4101-11 SERVICIOS EXTERNOS"/>
        <s v="4101-18 GASTOS COMERCIO EXTERIOR"/>
        <s v="4201-01 REMUNERACIONES TRABAJADORES"/>
        <s v="4201-02 HONORARIOS PROFESIONALES"/>
        <s v="4201-03 LEYES SOCIALES"/>
        <s v="4201-04 GASTOS DE OFICINA"/>
        <s v="4201-06 MANT VEHICULOS Y EQ TRANSP"/>
        <s v="4201-07 MANTENC. EQUIP. Y EDIFICIOS"/>
        <s v="4201-09 REPRESENTACION Y VIATICOS"/>
        <s v="4201-10 GASTOS BANCARIOS"/>
        <s v="4201-11 INTERESES Y MULTAS"/>
        <s v="4201-12 LEGALES Y NOTARIALES"/>
        <s v="4201-16 ARRIENDO MAQUINAS Y EQUIPOS"/>
        <s v="4201-18 SEGUROS"/>
        <s v="4201-20 ASESORIAS CONTABLES Y TRIBUTARIAS"/>
        <s v="4201-21 FINIQUITOS"/>
        <s v="4201-22 INDUMENTARIA TRABAJADORES"/>
        <s v="4201-24 IMPUESTO NO RECUPERABLE"/>
        <s v="4201-27 PEAJES"/>
        <s v="4201-30 ARRIENDOS Y GASTOS COMUNES"/>
        <s v="4201-31 TELEFONOS TELEX CORREO"/>
        <s v="4201-35 ESTACIONAMIENTO"/>
        <s v="4201-37 SOFTWARE DE APOYO A LA GESTION"/>
        <s v="4201-42 ARRIENDO VEHICULO"/>
        <s v="4201-44 ARRIENDO TERRENO"/>
        <s v="4201-47 COMISIONES Y GASTOS TARJETA DE CREDITO"/>
        <s v="4201-48 PATENTES COMERCIALES"/>
        <s v="4204-01 FLUCTUACION DE CAMBIOS"/>
        <s v="4301-03 PUBLICIDAD"/>
        <s v="4301-06 COMISION TRANSBANK"/>
        <s v="4301-07 COMISION KHIPU"/>
        <s v="4401-01 INTERESES PAGADOS"/>
        <s v="4501-13 DEPRECIACION EJERCICIO"/>
        <s v="4501-14 DIFERENCIA DE PAGO"/>
        <s v="4701-01 IMPTO PRIMERA CATEGORIA"/>
        <s v="5101-01 VENTAS"/>
        <s v="5201-01 FLUCTUACION DE CAMBIOS"/>
        <s v="5202-01 REAJUSTE DEV PPM"/>
        <s v="5501-04 REAJUSTE IMPTO PROVISIONAL"/>
      </sharedItems>
    </cacheField>
  </cacheFields>
</pivotCacheDefinition>
</file>

<file path=xl/pivotCache/pivotCacheRecords1.xml><?xml version="1.0" encoding="utf-8"?>
<pivotCacheRecords xmlns="http://schemas.openxmlformats.org/spreadsheetml/2006/main" count="14187">
  <r>
    <n v="2026"/>
    <n v="1"/>
    <s v="01-01-2026"/>
    <n v="8214"/>
    <s v="1101-02"/>
    <n v="0"/>
    <n v="3235627"/>
    <s v="Saldo cuentas"/>
    <n v="-3235627"/>
    <s v="Activo"/>
    <n v="-3235627"/>
    <x v="0"/>
  </r>
  <r>
    <n v="2026"/>
    <n v="1"/>
    <s v="01-01-2026"/>
    <n v="9827"/>
    <s v="1101-02"/>
    <n v="3235627"/>
    <n v="0"/>
    <s v=""/>
    <n v="3235627"/>
    <s v="Activo"/>
    <n v="3235627"/>
    <x v="0"/>
  </r>
  <r>
    <n v="2026"/>
    <n v="1"/>
    <s v="01-01-2026"/>
    <n v="9827"/>
    <s v="1101-03"/>
    <n v="16722386"/>
    <n v="0"/>
    <s v=""/>
    <n v="16722386"/>
    <s v="Activo"/>
    <n v="16722386"/>
    <x v="1"/>
  </r>
  <r>
    <n v="2026"/>
    <n v="1"/>
    <s v="02-01-2026"/>
    <n v="6919"/>
    <s v="1101-03"/>
    <n v="0"/>
    <n v="5000000"/>
    <s v="0774344497 transf a botsch spa"/>
    <n v="-5000000"/>
    <s v="Activo"/>
    <n v="-5000000"/>
    <x v="1"/>
  </r>
  <r>
    <n v="2026"/>
    <n v="1"/>
    <s v="02-01-2026"/>
    <n v="6920"/>
    <s v="1101-03"/>
    <n v="0"/>
    <n v="5000000"/>
    <s v="012646150k transf a ambiado olivar"/>
    <n v="-5000000"/>
    <s v="Activo"/>
    <n v="-5000000"/>
    <x v="1"/>
  </r>
  <r>
    <n v="2026"/>
    <n v="1"/>
    <s v="02-01-2026"/>
    <n v="6921"/>
    <s v="1101-03"/>
    <n v="0"/>
    <n v="4988194"/>
    <s v="0153722110 transf a quezada pereir"/>
    <n v="-4988194"/>
    <s v="Activo"/>
    <n v="-4988194"/>
    <x v="1"/>
  </r>
  <r>
    <n v="2026"/>
    <n v="1"/>
    <s v="02-01-2026"/>
    <n v="6922"/>
    <s v="1101-03"/>
    <n v="0"/>
    <n v="4264900"/>
    <s v="012646150k transf a ambiado olivar"/>
    <n v="-4264900"/>
    <s v="Activo"/>
    <n v="-4264900"/>
    <x v="1"/>
  </r>
  <r>
    <n v="2026"/>
    <n v="1"/>
    <s v="02-01-2026"/>
    <n v="6923"/>
    <s v="1101-03"/>
    <n v="0"/>
    <n v="2543389"/>
    <s v="0774344497 transf a botsch spa"/>
    <n v="-2543389"/>
    <s v="Activo"/>
    <n v="-2543389"/>
    <x v="1"/>
  </r>
  <r>
    <n v="2026"/>
    <n v="1"/>
    <s v="02-01-2026"/>
    <n v="6924"/>
    <s v="1101-03"/>
    <n v="0"/>
    <n v="1652049"/>
    <s v="0127635536 transf a rodrigo bernar"/>
    <n v="-1652049"/>
    <s v="Activo"/>
    <n v="-1652049"/>
    <x v="1"/>
  </r>
  <r>
    <n v="2026"/>
    <n v="1"/>
    <s v="02-01-2026"/>
    <n v="6925"/>
    <s v="1101-03"/>
    <n v="0"/>
    <n v="1000000"/>
    <s v="Pago bh 75 abraham issaac garate gonzalez"/>
    <n v="-1000000"/>
    <s v="Activo"/>
    <n v="-1000000"/>
    <x v="1"/>
  </r>
  <r>
    <n v="2026"/>
    <n v="1"/>
    <s v="02-01-2026"/>
    <n v="6926"/>
    <s v="1101-03"/>
    <n v="0"/>
    <n v="435675"/>
    <s v="0085303066 transf a pablo gonzalez"/>
    <n v="-435675"/>
    <s v="Activo"/>
    <n v="-435675"/>
    <x v="1"/>
  </r>
  <r>
    <n v="2026"/>
    <n v="1"/>
    <s v="02-01-2026"/>
    <n v="6927"/>
    <s v="1101-03"/>
    <n v="0"/>
    <n v="416500"/>
    <s v="Pago f 6427 optictimes spa"/>
    <n v="-416500"/>
    <s v="Activo"/>
    <n v="-416500"/>
    <x v="1"/>
  </r>
  <r>
    <n v="2026"/>
    <n v="1"/>
    <s v="02-01-2026"/>
    <n v="6928"/>
    <s v="1101-03"/>
    <n v="0"/>
    <n v="200000"/>
    <s v="0765406986 transf a t-link spa 176540698"/>
    <n v="-200000"/>
    <s v="Activo"/>
    <n v="-200000"/>
    <x v="1"/>
  </r>
  <r>
    <n v="2026"/>
    <n v="1"/>
    <s v="02-01-2026"/>
    <n v="6929"/>
    <s v="1101-03"/>
    <n v="0"/>
    <n v="105000"/>
    <s v="Pago bh 87 soledad del carmen maldonado"/>
    <n v="-105000"/>
    <s v="Activo"/>
    <n v="-105000"/>
    <x v="1"/>
  </r>
  <r>
    <n v="2026"/>
    <n v="1"/>
    <s v="02-01-2026"/>
    <n v="10026"/>
    <s v="1101-03"/>
    <n v="8081683"/>
    <n v="0"/>
    <s v="0966893109 abn crd db tran transba"/>
    <n v="8081683"/>
    <s v="Activo"/>
    <n v="8081683"/>
    <x v="1"/>
  </r>
  <r>
    <n v="2026"/>
    <n v="1"/>
    <s v="02-01-2026"/>
    <n v="10027"/>
    <s v="1101-03"/>
    <n v="5000000"/>
    <n v="0"/>
    <s v="0765406986 transf."/>
    <n v="5000000"/>
    <s v="Activo"/>
    <n v="5000000"/>
    <x v="1"/>
  </r>
  <r>
    <n v="2026"/>
    <n v="1"/>
    <s v="02-01-2026"/>
    <n v="10028"/>
    <s v="1101-03"/>
    <n v="3000000"/>
    <n v="0"/>
    <s v="0765406986 transf."/>
    <n v="3000000"/>
    <s v="Activo"/>
    <n v="3000000"/>
    <x v="1"/>
  </r>
  <r>
    <n v="2026"/>
    <n v="1"/>
    <s v="02-01-2026"/>
    <n v="10029"/>
    <s v="1101-03"/>
    <n v="1939347"/>
    <n v="0"/>
    <s v="0761872877 transf. khipu spa"/>
    <n v="1939347"/>
    <s v="Activo"/>
    <n v="1939347"/>
    <x v="1"/>
  </r>
  <r>
    <n v="2026"/>
    <n v="1"/>
    <s v="02-01-2026"/>
    <n v="10030"/>
    <s v="1101-03"/>
    <n v="1000000"/>
    <n v="0"/>
    <s v="0765406986 transf."/>
    <n v="1000000"/>
    <s v="Activo"/>
    <n v="1000000"/>
    <x v="1"/>
  </r>
  <r>
    <n v="2026"/>
    <n v="1"/>
    <s v="05-01-2026"/>
    <n v="6930"/>
    <s v="1101-03"/>
    <n v="0"/>
    <n v="500000"/>
    <s v="Abono f 30708135 copec s.a."/>
    <n v="-500000"/>
    <s v="Activo"/>
    <n v="-500000"/>
    <x v="1"/>
  </r>
  <r>
    <n v="2026"/>
    <n v="1"/>
    <s v="05-01-2026"/>
    <n v="10031"/>
    <s v="1101-03"/>
    <n v="32546620"/>
    <n v="0"/>
    <s v="0966893109 abn crd db tran transba"/>
    <n v="32546620"/>
    <s v="Activo"/>
    <n v="32546620"/>
    <x v="1"/>
  </r>
  <r>
    <n v="2026"/>
    <n v="1"/>
    <s v="05-01-2026"/>
    <n v="10032"/>
    <s v="1101-03"/>
    <n v="3849169"/>
    <n v="0"/>
    <s v="0761872877 transf. khipu spa"/>
    <n v="3849169"/>
    <s v="Activo"/>
    <n v="3849169"/>
    <x v="1"/>
  </r>
  <r>
    <n v="2026"/>
    <n v="1"/>
    <s v="06-01-2026"/>
    <n v="6931"/>
    <s v="1101-03"/>
    <n v="0"/>
    <n v="5000000"/>
    <s v="Nodo la cruz - carolina diaz"/>
    <n v="-5000000"/>
    <s v="Activo"/>
    <n v="-5000000"/>
    <x v="1"/>
  </r>
  <r>
    <n v="2026"/>
    <n v="1"/>
    <s v="06-01-2026"/>
    <n v="6932"/>
    <s v="1101-03"/>
    <n v="0"/>
    <n v="5000000"/>
    <s v="Nodo la cruz - carolina diaz"/>
    <n v="-5000000"/>
    <s v="Activo"/>
    <n v="-5000000"/>
    <x v="1"/>
  </r>
  <r>
    <n v="2026"/>
    <n v="1"/>
    <s v="06-01-2026"/>
    <n v="6933"/>
    <s v="1101-03"/>
    <n v="0"/>
    <n v="5000000"/>
    <s v="Nodo la cruz - carolina diaz"/>
    <n v="-5000000"/>
    <s v="Activo"/>
    <n v="-5000000"/>
    <x v="1"/>
  </r>
  <r>
    <n v="2026"/>
    <n v="1"/>
    <s v="06-01-2026"/>
    <n v="6934"/>
    <s v="1101-03"/>
    <n v="0"/>
    <n v="5000000"/>
    <s v="Nodo la cruz - carolina diaz"/>
    <n v="-5000000"/>
    <s v="Activo"/>
    <n v="-5000000"/>
    <x v="1"/>
  </r>
  <r>
    <n v="2026"/>
    <n v="1"/>
    <s v="06-01-2026"/>
    <n v="6935"/>
    <s v="1101-03"/>
    <n v="0"/>
    <n v="3848290"/>
    <s v="Nodo la cruz - carolina diaz"/>
    <n v="-3848290"/>
    <s v="Activo"/>
    <n v="-3848290"/>
    <x v="1"/>
  </r>
  <r>
    <n v="2026"/>
    <n v="1"/>
    <s v="06-01-2026"/>
    <n v="6936"/>
    <s v="1101-03"/>
    <n v="0"/>
    <n v="168000"/>
    <s v="Pago f 419 lt graficas textiles spa"/>
    <n v="-168000"/>
    <s v="Activo"/>
    <n v="-168000"/>
    <x v="1"/>
  </r>
  <r>
    <n v="2026"/>
    <n v="1"/>
    <s v="06-01-2026"/>
    <n v="6937"/>
    <s v="1101-03"/>
    <n v="0"/>
    <n v="95760"/>
    <s v="Pago f 2865 mc namara work store spa"/>
    <n v="-95760"/>
    <s v="Activo"/>
    <n v="-95760"/>
    <x v="1"/>
  </r>
  <r>
    <n v="2026"/>
    <n v="1"/>
    <s v="06-01-2026"/>
    <n v="6938"/>
    <s v="1101-03"/>
    <n v="0"/>
    <n v="56000"/>
    <s v="Pago f 20907 importadora decohogar espacio spa"/>
    <n v="-56000"/>
    <s v="Activo"/>
    <n v="-56000"/>
    <x v="1"/>
  </r>
  <r>
    <n v="2026"/>
    <n v="1"/>
    <s v="06-01-2026"/>
    <n v="6939"/>
    <s v="1101-03"/>
    <n v="0"/>
    <n v="2920"/>
    <s v="Estacionamiento"/>
    <n v="-2920"/>
    <s v="Activo"/>
    <n v="-2920"/>
    <x v="1"/>
  </r>
  <r>
    <n v="2026"/>
    <n v="1"/>
    <s v="06-01-2026"/>
    <n v="10033"/>
    <s v="1101-03"/>
    <n v="44599192"/>
    <n v="0"/>
    <s v="0966893109 abn crd db tran transba"/>
    <n v="44599192"/>
    <s v="Activo"/>
    <n v="44599192"/>
    <x v="1"/>
  </r>
  <r>
    <n v="2026"/>
    <n v="1"/>
    <s v="06-01-2026"/>
    <n v="10034"/>
    <s v="1101-03"/>
    <n v="5000000"/>
    <n v="0"/>
    <s v="0765406986 transf."/>
    <n v="5000000"/>
    <s v="Activo"/>
    <n v="5000000"/>
    <x v="1"/>
  </r>
  <r>
    <n v="2026"/>
    <n v="1"/>
    <s v="06-01-2026"/>
    <n v="10035"/>
    <s v="1101-03"/>
    <n v="5000000"/>
    <n v="0"/>
    <s v="0765406986 transf."/>
    <n v="5000000"/>
    <s v="Activo"/>
    <n v="5000000"/>
    <x v="1"/>
  </r>
  <r>
    <n v="2026"/>
    <n v="1"/>
    <s v="06-01-2026"/>
    <n v="10036"/>
    <s v="1101-03"/>
    <n v="2239433"/>
    <n v="0"/>
    <s v="0761872877 transf. khipu spa"/>
    <n v="2239433"/>
    <s v="Activo"/>
    <n v="2239433"/>
    <x v="1"/>
  </r>
  <r>
    <n v="2026"/>
    <n v="1"/>
    <s v="07-01-2026"/>
    <n v="6940"/>
    <s v="1101-03"/>
    <n v="0"/>
    <n v="7336350"/>
    <s v="Abono f 37216 tac communications s.a."/>
    <n v="-7336350"/>
    <s v="Activo"/>
    <n v="-7336350"/>
    <x v="1"/>
  </r>
  <r>
    <n v="2026"/>
    <n v="1"/>
    <s v="07-01-2026"/>
    <n v="6941"/>
    <s v="1101-03"/>
    <n v="0"/>
    <n v="6035021"/>
    <s v="Abono f 941 leasing rym spa"/>
    <n v="-6035021"/>
    <s v="Activo"/>
    <n v="-6035021"/>
    <x v="1"/>
  </r>
  <r>
    <n v="2026"/>
    <n v="1"/>
    <s v="07-01-2026"/>
    <n v="6942"/>
    <s v="1101-03"/>
    <n v="0"/>
    <n v="5343858"/>
    <s v="Traspaso internet a t. crédito"/>
    <n v="-5343858"/>
    <s v="Activo"/>
    <n v="-5343858"/>
    <x v="1"/>
  </r>
  <r>
    <n v="2026"/>
    <n v="1"/>
    <s v="07-01-2026"/>
    <n v="6943"/>
    <s v="1101-03"/>
    <n v="0"/>
    <n v="4301968"/>
    <s v="Pago f 35774 grupo zgh spa"/>
    <n v="-4301968"/>
    <s v="Activo"/>
    <n v="-4301968"/>
    <x v="1"/>
  </r>
  <r>
    <n v="2026"/>
    <n v="1"/>
    <s v="07-01-2026"/>
    <n v="6944"/>
    <s v="1101-03"/>
    <n v="0"/>
    <n v="3137198"/>
    <s v="Pago f 11034 pit chile spa"/>
    <n v="-3137198"/>
    <s v="Activo"/>
    <n v="-3137198"/>
    <x v="1"/>
  </r>
  <r>
    <n v="2026"/>
    <n v="1"/>
    <s v="07-01-2026"/>
    <n v="6945"/>
    <s v="1101-03"/>
    <n v="0"/>
    <n v="2570904"/>
    <s v="Pago f 236 asociacion gremial de pequenos prov"/>
    <n v="-2570904"/>
    <s v="Activo"/>
    <n v="-2570904"/>
    <x v="1"/>
  </r>
  <r>
    <n v="2026"/>
    <n v="1"/>
    <s v="07-01-2026"/>
    <n v="6946"/>
    <s v="1101-03"/>
    <n v="0"/>
    <n v="2185982"/>
    <s v="Pago f 37529 tac communications s.a."/>
    <n v="-2185982"/>
    <s v="Activo"/>
    <n v="-2185982"/>
    <x v="1"/>
  </r>
  <r>
    <n v="2026"/>
    <n v="1"/>
    <s v="07-01-2026"/>
    <n v="6947"/>
    <s v="1101-03"/>
    <n v="0"/>
    <n v="1571428"/>
    <s v="Pago f 4860302 telefonica empresas chile s.a."/>
    <n v="-1571428"/>
    <s v="Activo"/>
    <n v="-1571428"/>
    <x v="1"/>
  </r>
  <r>
    <n v="2026"/>
    <n v="1"/>
    <s v="07-01-2026"/>
    <n v="6948"/>
    <s v="1101-03"/>
    <n v="0"/>
    <n v="1469935"/>
    <s v="Pago f 14016 asesorias tributarias pedro gonzalez limitada"/>
    <n v="-1469935"/>
    <s v="Activo"/>
    <n v="-1469935"/>
    <x v="1"/>
  </r>
  <r>
    <n v="2026"/>
    <n v="1"/>
    <s v="07-01-2026"/>
    <n v="6949"/>
    <s v="1101-03"/>
    <n v="0"/>
    <n v="1415277"/>
    <s v="Pago f 3129 ficom telecomunicaciones spa"/>
    <n v="-1415277"/>
    <s v="Activo"/>
    <n v="-1415277"/>
    <x v="1"/>
  </r>
  <r>
    <n v="2026"/>
    <n v="1"/>
    <s v="07-01-2026"/>
    <n v="6950"/>
    <s v="1101-03"/>
    <n v="0"/>
    <n v="1326767"/>
    <s v="Traspaso internet a t. crédito"/>
    <n v="-1326767"/>
    <s v="Activo"/>
    <n v="-1326767"/>
    <x v="1"/>
  </r>
  <r>
    <n v="2026"/>
    <n v="1"/>
    <s v="07-01-2026"/>
    <n v="6951"/>
    <s v="1101-03"/>
    <n v="0"/>
    <n v="1018878"/>
    <s v="Pago f 7483 ascenty chile spa"/>
    <n v="-1018878"/>
    <s v="Activo"/>
    <n v="-1018878"/>
    <x v="1"/>
  </r>
  <r>
    <n v="2026"/>
    <n v="1"/>
    <s v="07-01-2026"/>
    <n v="6952"/>
    <s v="1101-03"/>
    <n v="0"/>
    <n v="1004280"/>
    <s v="Pago f 36214 comercial lagos e hijos ltda."/>
    <n v="-1004280"/>
    <s v="Activo"/>
    <n v="-1004280"/>
    <x v="1"/>
  </r>
  <r>
    <n v="2026"/>
    <n v="1"/>
    <s v="07-01-2026"/>
    <n v="6953"/>
    <s v="1101-03"/>
    <n v="0"/>
    <n v="1000000"/>
    <s v="Pago bh 586 freddy alex rodriguez saez"/>
    <n v="-1000000"/>
    <s v="Activo"/>
    <n v="-1000000"/>
    <x v="1"/>
  </r>
  <r>
    <n v="2026"/>
    <n v="1"/>
    <s v="07-01-2026"/>
    <n v="6954"/>
    <s v="1101-03"/>
    <n v="0"/>
    <n v="1000000"/>
    <s v="Pago f 8621 silica networks chile s a"/>
    <n v="-1000000"/>
    <s v="Activo"/>
    <n v="-1000000"/>
    <x v="1"/>
  </r>
  <r>
    <n v="2026"/>
    <n v="1"/>
    <s v="07-01-2026"/>
    <n v="6955"/>
    <s v="1101-03"/>
    <n v="0"/>
    <n v="967106"/>
    <s v="Pago f 35775 grupo zgh spa"/>
    <n v="-967106"/>
    <s v="Activo"/>
    <n v="-967106"/>
    <x v="1"/>
  </r>
  <r>
    <n v="2026"/>
    <n v="1"/>
    <s v="07-01-2026"/>
    <n v="6956"/>
    <s v="1101-03"/>
    <n v="0"/>
    <n v="803619"/>
    <s v="Pago f 312 alberto diaz de valdes e hija limitada"/>
    <n v="-803619"/>
    <s v="Activo"/>
    <n v="-803619"/>
    <x v="1"/>
  </r>
  <r>
    <n v="2026"/>
    <n v="1"/>
    <s v="07-01-2026"/>
    <n v="6957"/>
    <s v="1101-03"/>
    <n v="0"/>
    <n v="750000"/>
    <s v="Arriendo las condes - carolina diaz"/>
    <n v="-750000"/>
    <s v="Activo"/>
    <n v="-750000"/>
    <x v="1"/>
  </r>
  <r>
    <n v="2026"/>
    <n v="1"/>
    <s v="07-01-2026"/>
    <n v="6958"/>
    <s v="1101-03"/>
    <n v="0"/>
    <n v="707638"/>
    <s v="Pago f 3130 ficom telecomunicaciones spa"/>
    <n v="-707638"/>
    <s v="Activo"/>
    <n v="-707638"/>
    <x v="1"/>
  </r>
  <r>
    <n v="2026"/>
    <n v="1"/>
    <s v="07-01-2026"/>
    <n v="6959"/>
    <s v="1101-03"/>
    <n v="0"/>
    <n v="693641"/>
    <s v="Pago f 175723 hp financial services chile limitada"/>
    <n v="-693641"/>
    <s v="Activo"/>
    <n v="-693641"/>
    <x v="1"/>
  </r>
  <r>
    <n v="2026"/>
    <n v="1"/>
    <s v="07-01-2026"/>
    <n v="6960"/>
    <s v="1101-03"/>
    <n v="0"/>
    <n v="683102"/>
    <s v="Pago f 400110 tecnologia lk spa"/>
    <n v="-683102"/>
    <s v="Activo"/>
    <n v="-683102"/>
    <x v="1"/>
  </r>
  <r>
    <n v="2026"/>
    <n v="1"/>
    <s v="07-01-2026"/>
    <n v="6961"/>
    <s v="1101-03"/>
    <n v="0"/>
    <n v="660262"/>
    <s v="Pago f 546774 asociacion chilena de seguridad"/>
    <n v="-660262"/>
    <s v="Activo"/>
    <n v="-660262"/>
    <x v="1"/>
  </r>
  <r>
    <n v="2026"/>
    <n v="1"/>
    <s v="07-01-2026"/>
    <n v="6962"/>
    <s v="1101-03"/>
    <n v="0"/>
    <n v="516863"/>
    <s v="Nodo aromos - carolina diaz"/>
    <n v="-516863"/>
    <s v="Activo"/>
    <n v="-516863"/>
    <x v="1"/>
  </r>
  <r>
    <n v="2026"/>
    <n v="1"/>
    <s v="07-01-2026"/>
    <n v="6963"/>
    <s v="1101-03"/>
    <n v="0"/>
    <n v="476000"/>
    <s v="Pago f 5456 cia de comunicaciones coyhaique limitada"/>
    <n v="-476000"/>
    <s v="Activo"/>
    <n v="-476000"/>
    <x v="1"/>
  </r>
  <r>
    <n v="2026"/>
    <n v="1"/>
    <s v="07-01-2026"/>
    <n v="6964"/>
    <s v="1101-03"/>
    <n v="0"/>
    <n v="397240"/>
    <s v="Pago f 4972 cg abogados limitada"/>
    <n v="-397240"/>
    <s v="Activo"/>
    <n v="-397240"/>
    <x v="1"/>
  </r>
  <r>
    <n v="2026"/>
    <n v="1"/>
    <s v="07-01-2026"/>
    <n v="6965"/>
    <s v="1101-03"/>
    <n v="0"/>
    <n v="339666"/>
    <s v="Pago f 76282 powerhost telecom spa"/>
    <n v="-339666"/>
    <s v="Activo"/>
    <n v="-339666"/>
    <x v="1"/>
  </r>
  <r>
    <n v="2026"/>
    <n v="1"/>
    <s v="07-01-2026"/>
    <n v="6966"/>
    <s v="1101-03"/>
    <n v="0"/>
    <n v="250000"/>
    <s v="Pago bh 76 abraham issaac garate gonzalez"/>
    <n v="-250000"/>
    <s v="Activo"/>
    <n v="-250000"/>
    <x v="1"/>
  </r>
  <r>
    <n v="2026"/>
    <n v="1"/>
    <s v="07-01-2026"/>
    <n v="6967"/>
    <s v="1101-03"/>
    <n v="0"/>
    <n v="240000"/>
    <s v="Pago bh 198 julio orlando chaparro cares"/>
    <n v="-240000"/>
    <s v="Activo"/>
    <n v="-240000"/>
    <x v="1"/>
  </r>
  <r>
    <n v="2026"/>
    <n v="1"/>
    <s v="07-01-2026"/>
    <n v="6968"/>
    <s v="1101-03"/>
    <n v="0"/>
    <n v="202769"/>
    <s v="Nodo cartagena - carolina diaz"/>
    <n v="-202769"/>
    <s v="Activo"/>
    <n v="-202769"/>
    <x v="1"/>
  </r>
  <r>
    <n v="2026"/>
    <n v="1"/>
    <s v="07-01-2026"/>
    <n v="6969"/>
    <s v="1101-03"/>
    <n v="0"/>
    <n v="202769"/>
    <s v="Nodo algarrobo - carolina diaz"/>
    <n v="-202769"/>
    <s v="Activo"/>
    <n v="-202769"/>
    <x v="1"/>
  </r>
  <r>
    <n v="2026"/>
    <n v="1"/>
    <s v="07-01-2026"/>
    <n v="6970"/>
    <s v="1101-03"/>
    <n v="0"/>
    <n v="168955"/>
    <s v="Pago f 183821 contempora compania de seguros generales s.a"/>
    <n v="-168955"/>
    <s v="Activo"/>
    <n v="-168955"/>
    <x v="1"/>
  </r>
  <r>
    <n v="2026"/>
    <n v="1"/>
    <s v="07-01-2026"/>
    <n v="6971"/>
    <s v="1101-03"/>
    <n v="0"/>
    <n v="134333"/>
    <s v="Traspaso internet a t. crédito 5130"/>
    <n v="-134333"/>
    <s v="Activo"/>
    <n v="-134333"/>
    <x v="1"/>
  </r>
  <r>
    <n v="2026"/>
    <n v="1"/>
    <s v="07-01-2026"/>
    <n v="6972"/>
    <s v="1101-03"/>
    <n v="0"/>
    <n v="130000"/>
    <s v="Nodo copihue - carolina diaz"/>
    <n v="-130000"/>
    <s v="Activo"/>
    <n v="-130000"/>
    <x v="1"/>
  </r>
  <r>
    <n v="2026"/>
    <n v="1"/>
    <s v="07-01-2026"/>
    <n v="6973"/>
    <s v="1101-03"/>
    <n v="0"/>
    <n v="105000"/>
    <s v="Pago bh 88 soledad del carmen maldonado z"/>
    <n v="-105000"/>
    <s v="Activo"/>
    <n v="-105000"/>
    <x v="1"/>
  </r>
  <r>
    <n v="2026"/>
    <n v="1"/>
    <s v="07-01-2026"/>
    <n v="6974"/>
    <s v="1101-03"/>
    <n v="0"/>
    <n v="100000"/>
    <s v="Compra telefono - carolina diaz"/>
    <n v="-100000"/>
    <s v="Activo"/>
    <n v="-100000"/>
    <x v="1"/>
  </r>
  <r>
    <n v="2026"/>
    <n v="1"/>
    <s v="07-01-2026"/>
    <n v="6975"/>
    <s v="1101-03"/>
    <n v="0"/>
    <n v="81426"/>
    <s v="Pago f 7482 ascenty chile spa"/>
    <n v="-81426"/>
    <s v="Activo"/>
    <n v="-81426"/>
    <x v="1"/>
  </r>
  <r>
    <n v="2026"/>
    <n v="1"/>
    <s v="07-01-2026"/>
    <n v="6976"/>
    <s v="1101-03"/>
    <n v="0"/>
    <n v="76591"/>
    <s v="Pago f 7385 ascenty chile spa"/>
    <n v="-76591"/>
    <s v="Activo"/>
    <n v="-76591"/>
    <x v="1"/>
  </r>
  <r>
    <n v="2026"/>
    <n v="1"/>
    <s v="07-01-2026"/>
    <n v="6977"/>
    <s v="1101-03"/>
    <n v="0"/>
    <n v="76591"/>
    <s v="Pago f 7386 ascenty chile spa"/>
    <n v="-76591"/>
    <s v="Activo"/>
    <n v="-76591"/>
    <x v="1"/>
  </r>
  <r>
    <n v="2026"/>
    <n v="1"/>
    <s v="07-01-2026"/>
    <n v="6978"/>
    <s v="1101-03"/>
    <n v="0"/>
    <n v="71400"/>
    <s v="Pago f 95 zettabyte spa"/>
    <n v="-71400"/>
    <s v="Activo"/>
    <n v="-71400"/>
    <x v="1"/>
  </r>
  <r>
    <n v="2026"/>
    <n v="1"/>
    <s v="07-01-2026"/>
    <n v="6979"/>
    <s v="1101-03"/>
    <n v="0"/>
    <n v="64684"/>
    <s v="Pago f 7388 ascenty chile spa"/>
    <n v="-64684"/>
    <s v="Activo"/>
    <n v="-64684"/>
    <x v="1"/>
  </r>
  <r>
    <n v="2026"/>
    <n v="1"/>
    <s v="07-01-2026"/>
    <n v="6980"/>
    <s v="1101-03"/>
    <n v="0"/>
    <n v="64594"/>
    <s v="Pago f 7481 ascenty chile spa"/>
    <n v="-64594"/>
    <s v="Activo"/>
    <n v="-64594"/>
    <x v="1"/>
  </r>
  <r>
    <n v="2026"/>
    <n v="1"/>
    <s v="07-01-2026"/>
    <n v="6981"/>
    <s v="1101-03"/>
    <n v="0"/>
    <n v="64491"/>
    <s v="Pago f 7387 ascenty chile spa"/>
    <n v="-64491"/>
    <s v="Activo"/>
    <n v="-64491"/>
    <x v="1"/>
  </r>
  <r>
    <n v="2026"/>
    <n v="1"/>
    <s v="07-01-2026"/>
    <n v="6982"/>
    <s v="1101-03"/>
    <n v="0"/>
    <n v="64362"/>
    <s v="Pago f 7389 ascenty chile spa"/>
    <n v="-64362"/>
    <s v="Activo"/>
    <n v="-64362"/>
    <x v="1"/>
  </r>
  <r>
    <n v="2026"/>
    <n v="1"/>
    <s v="07-01-2026"/>
    <n v="6983"/>
    <s v="1101-03"/>
    <n v="0"/>
    <n v="57120"/>
    <s v="Pago f 1545 cinthya margarita catalan pizarro"/>
    <n v="-57120"/>
    <s v="Activo"/>
    <n v="-57120"/>
    <x v="1"/>
  </r>
  <r>
    <n v="2026"/>
    <n v="1"/>
    <s v="07-01-2026"/>
    <n v="6984"/>
    <s v="1101-03"/>
    <n v="0"/>
    <n v="41650"/>
    <s v="Pago f 328 41650ingenieria y proyecto"/>
    <n v="-41650"/>
    <s v="Activo"/>
    <n v="-41650"/>
    <x v="1"/>
  </r>
  <r>
    <n v="2026"/>
    <n v="1"/>
    <s v="07-01-2026"/>
    <n v="6985"/>
    <s v="1101-03"/>
    <n v="0"/>
    <n v="30720"/>
    <s v="Pago f 3469 centro de capacitacion laboral juan eduardo vinals bravo eirl"/>
    <n v="-30720"/>
    <s v="Activo"/>
    <n v="-30720"/>
    <x v="1"/>
  </r>
  <r>
    <n v="2026"/>
    <n v="1"/>
    <s v="07-01-2026"/>
    <n v="6986"/>
    <s v="1101-03"/>
    <n v="0"/>
    <n v="14617"/>
    <s v="Pago f 72668512 telefonica moviles chile s.a."/>
    <n v="-14617"/>
    <s v="Activo"/>
    <n v="-14617"/>
    <x v="1"/>
  </r>
  <r>
    <n v="2026"/>
    <n v="1"/>
    <s v="07-01-2026"/>
    <n v="10037"/>
    <s v="1101-03"/>
    <n v="21121238"/>
    <n v="0"/>
    <s v="0966893109 abn crd db tran transba"/>
    <n v="21121238"/>
    <s v="Activo"/>
    <n v="21121238"/>
    <x v="1"/>
  </r>
  <r>
    <n v="2026"/>
    <n v="1"/>
    <s v="07-01-2026"/>
    <n v="10038"/>
    <s v="1101-03"/>
    <n v="250890"/>
    <n v="0"/>
    <s v="0761872877 transf. khipu spa"/>
    <n v="250890"/>
    <s v="Activo"/>
    <n v="250890"/>
    <x v="1"/>
  </r>
  <r>
    <n v="2026"/>
    <n v="1"/>
    <s v="08-01-2026"/>
    <n v="6987"/>
    <s v="1101-03"/>
    <n v="0"/>
    <n v="2550"/>
    <s v="Pago - carolina diaz"/>
    <n v="-2550"/>
    <s v="Activo"/>
    <n v="-2550"/>
    <x v="1"/>
  </r>
  <r>
    <n v="2026"/>
    <n v="1"/>
    <s v="08-01-2026"/>
    <n v="10039"/>
    <s v="1101-03"/>
    <n v="3800914"/>
    <n v="0"/>
    <s v="0966893109 abn crd db tran transba"/>
    <n v="3800914"/>
    <s v="Activo"/>
    <n v="3800914"/>
    <x v="1"/>
  </r>
  <r>
    <n v="2026"/>
    <n v="1"/>
    <s v="08-01-2026"/>
    <n v="10040"/>
    <s v="1101-03"/>
    <n v="515360"/>
    <n v="0"/>
    <s v="0761872877 transf. khipu spa"/>
    <n v="515360"/>
    <s v="Activo"/>
    <n v="515360"/>
    <x v="1"/>
  </r>
  <r>
    <n v="2026"/>
    <n v="1"/>
    <s v="09-01-2026"/>
    <n v="6988"/>
    <s v="1101-03"/>
    <n v="0"/>
    <n v="4350288"/>
    <s v="Pago f 6565 telxius cable chile s.a."/>
    <n v="-4350288"/>
    <s v="Activo"/>
    <n v="-4350288"/>
    <x v="1"/>
  </r>
  <r>
    <n v="2026"/>
    <n v="1"/>
    <s v="09-01-2026"/>
    <n v="6989"/>
    <s v="1101-03"/>
    <n v="0"/>
    <n v="2499000"/>
    <s v="Pago f 37485 transworld power telcom spa"/>
    <n v="-2499000"/>
    <s v="Activo"/>
    <n v="-2499000"/>
    <x v="1"/>
  </r>
  <r>
    <n v="2026"/>
    <n v="1"/>
    <s v="09-01-2026"/>
    <n v="6990"/>
    <s v="1101-03"/>
    <n v="0"/>
    <n v="1323735"/>
    <s v="Pago f 340979 gama leasing operativo spa"/>
    <n v="-1323735"/>
    <s v="Activo"/>
    <n v="-1323735"/>
    <x v="1"/>
  </r>
  <r>
    <n v="2026"/>
    <n v="1"/>
    <s v="09-01-2026"/>
    <n v="6991"/>
    <s v="1101-03"/>
    <n v="0"/>
    <n v="751000"/>
    <s v="Pago f 8653 globalconnect spa"/>
    <n v="-751000"/>
    <s v="Activo"/>
    <n v="-751000"/>
    <x v="1"/>
  </r>
  <r>
    <n v="2026"/>
    <n v="1"/>
    <s v="09-01-2026"/>
    <n v="6992"/>
    <s v="1101-03"/>
    <n v="0"/>
    <n v="678000"/>
    <s v="Pago bh 104 ricardo eusebio saez navea"/>
    <n v="-678000"/>
    <s v="Activo"/>
    <n v="-678000"/>
    <x v="1"/>
  </r>
  <r>
    <n v="2026"/>
    <n v="1"/>
    <s v="09-01-2026"/>
    <n v="6993"/>
    <s v="1101-03"/>
    <n v="0"/>
    <n v="366103"/>
    <s v="Pago en linea servipag"/>
    <n v="-366103"/>
    <s v="Activo"/>
    <n v="-366103"/>
    <x v="1"/>
  </r>
  <r>
    <n v="2026"/>
    <n v="1"/>
    <s v="09-01-2026"/>
    <n v="6994"/>
    <s v="1101-03"/>
    <n v="0"/>
    <n v="230435"/>
    <s v="Nodo cdr - carolina diaz"/>
    <n v="-230435"/>
    <s v="Activo"/>
    <n v="-230435"/>
    <x v="1"/>
  </r>
  <r>
    <n v="2026"/>
    <n v="1"/>
    <s v="09-01-2026"/>
    <n v="6995"/>
    <s v="1101-03"/>
    <n v="0"/>
    <n v="224253"/>
    <s v="Pago f 260763 buk spa"/>
    <n v="-224253"/>
    <s v="Activo"/>
    <n v="-224253"/>
    <x v="1"/>
  </r>
  <r>
    <n v="2026"/>
    <n v="1"/>
    <s v="09-01-2026"/>
    <n v="6996"/>
    <s v="1101-03"/>
    <n v="0"/>
    <n v="154685"/>
    <s v="Pago f 341065 gama leasing operativo spa"/>
    <n v="-154685"/>
    <s v="Activo"/>
    <n v="-154685"/>
    <x v="1"/>
  </r>
  <r>
    <n v="2026"/>
    <n v="1"/>
    <s v="09-01-2026"/>
    <n v="6997"/>
    <s v="1101-03"/>
    <n v="0"/>
    <n v="151902"/>
    <s v="Nodo algarrobo - carolina diaz"/>
    <n v="-151902"/>
    <s v="Activo"/>
    <n v="-151902"/>
    <x v="1"/>
  </r>
  <r>
    <n v="2026"/>
    <n v="1"/>
    <s v="09-01-2026"/>
    <n v="6998"/>
    <s v="1101-03"/>
    <n v="0"/>
    <n v="134350"/>
    <s v="Nodo carampangue - carolina diaz"/>
    <n v="-134350"/>
    <s v="Activo"/>
    <n v="-134350"/>
    <x v="1"/>
  </r>
  <r>
    <n v="2026"/>
    <n v="1"/>
    <s v="09-01-2026"/>
    <n v="6999"/>
    <s v="1101-03"/>
    <n v="0"/>
    <n v="130305"/>
    <s v="Compra - carolina diaz"/>
    <n v="-130305"/>
    <s v="Activo"/>
    <n v="-130305"/>
    <x v="1"/>
  </r>
  <r>
    <n v="2026"/>
    <n v="1"/>
    <s v="09-01-2026"/>
    <n v="7000"/>
    <s v="1101-03"/>
    <n v="0"/>
    <n v="128574"/>
    <s v="Nodo la cruz - carolina diaz"/>
    <n v="-128574"/>
    <s v="Activo"/>
    <n v="-128574"/>
    <x v="1"/>
  </r>
  <r>
    <n v="2026"/>
    <n v="1"/>
    <s v="09-01-2026"/>
    <n v="7001"/>
    <s v="1101-03"/>
    <n v="0"/>
    <n v="94841"/>
    <s v="Pago f 192205 regus management de chile limitada"/>
    <n v="-94841"/>
    <s v="Activo"/>
    <n v="-94841"/>
    <x v="1"/>
  </r>
  <r>
    <n v="2026"/>
    <n v="1"/>
    <s v="09-01-2026"/>
    <n v="7002"/>
    <s v="1101-03"/>
    <n v="0"/>
    <n v="90000"/>
    <s v="Pago bh 56 christian italo quezada pereir"/>
    <n v="-90000"/>
    <s v="Activo"/>
    <n v="-90000"/>
    <x v="1"/>
  </r>
  <r>
    <n v="2026"/>
    <n v="1"/>
    <s v="09-01-2026"/>
    <n v="7003"/>
    <s v="1101-03"/>
    <n v="0"/>
    <n v="90000"/>
    <s v="Pago bh 54 alejandro antonio ambiado oliv"/>
    <n v="-90000"/>
    <s v="Activo"/>
    <n v="-90000"/>
    <x v="1"/>
  </r>
  <r>
    <n v="2026"/>
    <n v="1"/>
    <s v="09-01-2026"/>
    <n v="7004"/>
    <s v="1101-03"/>
    <n v="0"/>
    <n v="90000"/>
    <s v="Pago bh 110 patrick adolfo lopez nunez"/>
    <n v="-90000"/>
    <s v="Activo"/>
    <n v="-90000"/>
    <x v="1"/>
  </r>
  <r>
    <n v="2026"/>
    <n v="1"/>
    <s v="09-01-2026"/>
    <n v="7005"/>
    <s v="1101-03"/>
    <n v="0"/>
    <n v="60000"/>
    <s v="Retiro basura - carolina diaz"/>
    <n v="-60000"/>
    <s v="Activo"/>
    <n v="-60000"/>
    <x v="1"/>
  </r>
  <r>
    <n v="2026"/>
    <n v="1"/>
    <s v="09-01-2026"/>
    <n v="7006"/>
    <s v="1101-03"/>
    <n v="0"/>
    <n v="54719"/>
    <s v="Nodo aromos - carolina diaz"/>
    <n v="-54719"/>
    <s v="Activo"/>
    <n v="-54719"/>
    <x v="1"/>
  </r>
  <r>
    <n v="2026"/>
    <n v="1"/>
    <s v="09-01-2026"/>
    <n v="7007"/>
    <s v="1101-03"/>
    <n v="0"/>
    <n v="41650"/>
    <s v="Pago f 29 j.p urbanizaciones spa"/>
    <n v="-41650"/>
    <s v="Activo"/>
    <n v="-41650"/>
    <x v="1"/>
  </r>
  <r>
    <n v="2026"/>
    <n v="1"/>
    <s v="09-01-2026"/>
    <n v="7008"/>
    <s v="1101-03"/>
    <n v="0"/>
    <n v="27560"/>
    <s v="Cumpleaños mes dic"/>
    <n v="-27560"/>
    <s v="Activo"/>
    <n v="-27560"/>
    <x v="1"/>
  </r>
  <r>
    <n v="2026"/>
    <n v="1"/>
    <s v="09-01-2026"/>
    <n v="10041"/>
    <s v="1101-03"/>
    <n v="1257432"/>
    <n v="0"/>
    <s v="0966893109 abn crd db tran transba"/>
    <n v="1257432"/>
    <s v="Activo"/>
    <n v="1257432"/>
    <x v="1"/>
  </r>
  <r>
    <n v="2026"/>
    <n v="1"/>
    <s v="12-01-2026"/>
    <n v="7009"/>
    <s v="1101-03"/>
    <n v="0"/>
    <n v="1999249"/>
    <s v="Pago cuota crédito n 420022371370 cuota 24"/>
    <n v="-1999249"/>
    <s v="Activo"/>
    <n v="-1999249"/>
    <x v="1"/>
  </r>
  <r>
    <n v="2026"/>
    <n v="1"/>
    <s v="12-01-2026"/>
    <n v="7010"/>
    <s v="1101-03"/>
    <n v="0"/>
    <n v="1593490"/>
    <s v="Pago cuota crédito n 420021082928 cuota 54"/>
    <n v="-1593490"/>
    <s v="Activo"/>
    <n v="-1593490"/>
    <x v="1"/>
  </r>
  <r>
    <n v="2026"/>
    <n v="1"/>
    <s v="12-01-2026"/>
    <n v="7011"/>
    <s v="1101-03"/>
    <n v="0"/>
    <n v="500000"/>
    <s v="Pago f 30708135 copec s.a."/>
    <n v="-500000"/>
    <s v="Activo"/>
    <n v="-500000"/>
    <x v="1"/>
  </r>
  <r>
    <n v="2026"/>
    <n v="1"/>
    <s v="12-01-2026"/>
    <n v="7012"/>
    <s v="1101-03"/>
    <n v="0"/>
    <n v="200000"/>
    <s v="0765406986 transf a t-link spa 176540698 prepago los heroes"/>
    <n v="-200000"/>
    <s v="Activo"/>
    <n v="-200000"/>
    <x v="1"/>
  </r>
  <r>
    <n v="2026"/>
    <n v="1"/>
    <s v="12-01-2026"/>
    <n v="7013"/>
    <s v="1101-03"/>
    <n v="0"/>
    <n v="47700"/>
    <s v="Pago f 208065 inversiones y proyectos haensgen limitada"/>
    <n v="-47700"/>
    <s v="Activo"/>
    <n v="-47700"/>
    <x v="1"/>
  </r>
  <r>
    <n v="2026"/>
    <n v="1"/>
    <s v="12-01-2026"/>
    <n v="10042"/>
    <s v="1101-03"/>
    <n v="1010683"/>
    <n v="0"/>
    <s v="0966893109 abn crd db tran transba"/>
    <n v="1010683"/>
    <s v="Activo"/>
    <n v="1010683"/>
    <x v="1"/>
  </r>
  <r>
    <n v="2026"/>
    <n v="1"/>
    <s v="12-01-2026"/>
    <n v="10043"/>
    <s v="1101-03"/>
    <n v="62733"/>
    <n v="0"/>
    <s v="0761872877 transf. khipu spa"/>
    <n v="62733"/>
    <s v="Activo"/>
    <n v="62733"/>
    <x v="1"/>
  </r>
  <r>
    <n v="2026"/>
    <n v="1"/>
    <s v="13-01-2026"/>
    <n v="7016"/>
    <s v="1101-03"/>
    <n v="0"/>
    <n v="3528884"/>
    <s v="Pago f 8621 silica networks chile s a"/>
    <n v="-3528884"/>
    <s v="Activo"/>
    <n v="-3528884"/>
    <x v="1"/>
  </r>
  <r>
    <n v="2026"/>
    <n v="1"/>
    <s v="13-01-2026"/>
    <n v="7017"/>
    <s v="1101-03"/>
    <n v="0"/>
    <n v="6786429"/>
    <s v="Pago en linea previred"/>
    <n v="-6786429"/>
    <s v="Activo"/>
    <n v="-6786429"/>
    <x v="1"/>
  </r>
  <r>
    <n v="2026"/>
    <n v="1"/>
    <s v="13-01-2026"/>
    <n v="7017"/>
    <s v="1101-03"/>
    <n v="0"/>
    <n v="5596418"/>
    <s v="Pago en linea previred"/>
    <n v="-5596418"/>
    <s v="Activo"/>
    <n v="-5596418"/>
    <x v="1"/>
  </r>
  <r>
    <n v="2026"/>
    <n v="1"/>
    <s v="13-01-2026"/>
    <n v="7017"/>
    <s v="1101-03"/>
    <n v="0"/>
    <n v="3463420"/>
    <s v="Pago en linea previred"/>
    <n v="-3463420"/>
    <s v="Activo"/>
    <n v="-3463420"/>
    <x v="1"/>
  </r>
  <r>
    <n v="2026"/>
    <n v="1"/>
    <s v="13-01-2026"/>
    <n v="7018"/>
    <s v="1101-03"/>
    <n v="0"/>
    <n v="2066852"/>
    <s v="Pago f 252 sociedad de inversiones straubing s.a."/>
    <n v="-2066852"/>
    <s v="Activo"/>
    <n v="-2066852"/>
    <x v="1"/>
  </r>
  <r>
    <n v="2026"/>
    <n v="1"/>
    <s v="13-01-2026"/>
    <n v="7019"/>
    <s v="1101-03"/>
    <n v="0"/>
    <n v="1939700"/>
    <s v="0775321636 transf a hayex tecnolog"/>
    <n v="-1939700"/>
    <s v="Activo"/>
    <n v="-1939700"/>
    <x v="1"/>
  </r>
  <r>
    <n v="2026"/>
    <n v="1"/>
    <s v="13-01-2026"/>
    <n v="7020"/>
    <s v="1101-03"/>
    <n v="0"/>
    <n v="600000"/>
    <s v="Pago bh 108 patrick adolfo lopez nunez"/>
    <n v="-600000"/>
    <s v="Activo"/>
    <n v="-600000"/>
    <x v="1"/>
  </r>
  <r>
    <n v="2026"/>
    <n v="1"/>
    <s v="13-01-2026"/>
    <n v="7021"/>
    <s v="1101-03"/>
    <n v="0"/>
    <n v="425948"/>
    <s v="Pago f 941 leasing rym spa"/>
    <n v="-425948"/>
    <s v="Activo"/>
    <n v="-425948"/>
    <x v="1"/>
  </r>
  <r>
    <n v="2026"/>
    <n v="1"/>
    <s v="13-01-2026"/>
    <n v="7022"/>
    <s v="1101-03"/>
    <n v="0"/>
    <n v="343101"/>
    <s v="Pago f 37918 tac communications s.a."/>
    <n v="-343101"/>
    <s v="Activo"/>
    <n v="-343101"/>
    <x v="1"/>
  </r>
  <r>
    <n v="2026"/>
    <n v="1"/>
    <s v="13-01-2026"/>
    <n v="7023"/>
    <s v="1101-03"/>
    <n v="0"/>
    <n v="296153"/>
    <s v="Pago f 38224 tac communications s.a."/>
    <n v="-296153"/>
    <s v="Activo"/>
    <n v="-296153"/>
    <x v="1"/>
  </r>
  <r>
    <n v="2026"/>
    <n v="1"/>
    <s v="13-01-2026"/>
    <n v="7024"/>
    <s v="1101-03"/>
    <n v="0"/>
    <n v="260145"/>
    <s v="Pago f 9575 central sistemas spa"/>
    <n v="-260145"/>
    <s v="Activo"/>
    <n v="-260145"/>
    <x v="1"/>
  </r>
  <r>
    <n v="2026"/>
    <n v="1"/>
    <s v="13-01-2026"/>
    <n v="7025"/>
    <s v="1101-03"/>
    <n v="0"/>
    <n v="250000"/>
    <s v="Pago bh 79 abraham issaac garate gonzalez"/>
    <n v="-250000"/>
    <s v="Activo"/>
    <n v="-250000"/>
    <x v="1"/>
  </r>
  <r>
    <n v="2026"/>
    <n v="1"/>
    <s v="13-01-2026"/>
    <n v="7026"/>
    <s v="1101-03"/>
    <n v="0"/>
    <n v="210000"/>
    <s v="Pago bh 95 ayleen josefina urrea saez"/>
    <n v="-210000"/>
    <s v="Activo"/>
    <n v="-210000"/>
    <x v="1"/>
  </r>
  <r>
    <n v="2026"/>
    <n v="1"/>
    <s v="13-01-2026"/>
    <n v="7027"/>
    <s v="1101-03"/>
    <n v="0"/>
    <n v="180311"/>
    <s v="0770915228 transf a comercializado"/>
    <n v="-180311"/>
    <s v="Activo"/>
    <n v="-180311"/>
    <x v="1"/>
  </r>
  <r>
    <n v="2026"/>
    <n v="1"/>
    <s v="13-01-2026"/>
    <n v="7028"/>
    <s v="1101-03"/>
    <n v="0"/>
    <n v="180000"/>
    <s v="Pago bh 95 ayleen josefina urrea saez"/>
    <n v="-180000"/>
    <s v="Activo"/>
    <n v="-180000"/>
    <x v="1"/>
  </r>
  <r>
    <n v="2026"/>
    <n v="1"/>
    <s v="13-01-2026"/>
    <n v="7029"/>
    <s v="1101-03"/>
    <n v="0"/>
    <n v="150000"/>
    <s v="Pago bh 96 matias alejandro henriquez tobar"/>
    <n v="-150000"/>
    <s v="Activo"/>
    <n v="-150000"/>
    <x v="1"/>
  </r>
  <r>
    <n v="2026"/>
    <n v="1"/>
    <s v="13-01-2026"/>
    <n v="7030"/>
    <s v="1101-03"/>
    <n v="0"/>
    <n v="120000"/>
    <s v="Pago bh 89 soledad del carmen maldonado z"/>
    <n v="-120000"/>
    <s v="Activo"/>
    <n v="-120000"/>
    <x v="1"/>
  </r>
  <r>
    <n v="2026"/>
    <n v="1"/>
    <s v="13-01-2026"/>
    <n v="7031"/>
    <s v="1101-03"/>
    <n v="0"/>
    <n v="80000"/>
    <s v="Pago bh 95 ayleen josefina urrea saez"/>
    <n v="-80000"/>
    <s v="Activo"/>
    <n v="-80000"/>
    <x v="1"/>
  </r>
  <r>
    <n v="2026"/>
    <n v="1"/>
    <s v="13-01-2026"/>
    <n v="7032"/>
    <s v="1101-03"/>
    <n v="0"/>
    <n v="70949"/>
    <s v="Pago f 314 mdd soluciones spa"/>
    <n v="-70949"/>
    <s v="Activo"/>
    <n v="-70949"/>
    <x v="1"/>
  </r>
  <r>
    <n v="2026"/>
    <n v="1"/>
    <s v="13-01-2026"/>
    <n v="7033"/>
    <s v="1101-03"/>
    <n v="0"/>
    <n v="30000"/>
    <s v="Pago bh 199 julio orlando chaparro cares"/>
    <n v="-30000"/>
    <s v="Activo"/>
    <n v="-30000"/>
    <x v="1"/>
  </r>
  <r>
    <n v="2026"/>
    <n v="1"/>
    <s v="13-01-2026"/>
    <n v="10044"/>
    <s v="1101-03"/>
    <n v="2154142"/>
    <n v="0"/>
    <s v="0966893109 abn crd db tran transba"/>
    <n v="2154142"/>
    <s v="Activo"/>
    <n v="2154142"/>
    <x v="1"/>
  </r>
  <r>
    <n v="2026"/>
    <n v="1"/>
    <s v="13-01-2026"/>
    <n v="10045"/>
    <s v="1101-03"/>
    <n v="63219"/>
    <n v="0"/>
    <s v="0761872877 transf. khipu spa"/>
    <n v="63219"/>
    <s v="Activo"/>
    <n v="63219"/>
    <x v="1"/>
  </r>
  <r>
    <n v="2026"/>
    <n v="1"/>
    <s v="14-01-2026"/>
    <n v="10046"/>
    <s v="1101-03"/>
    <n v="738844"/>
    <n v="0"/>
    <s v="0966893109 abn crd db tran transba"/>
    <n v="738844"/>
    <s v="Activo"/>
    <n v="738844"/>
    <x v="1"/>
  </r>
  <r>
    <n v="2026"/>
    <n v="1"/>
    <s v="15-01-2026"/>
    <n v="7034"/>
    <s v="1101-03"/>
    <n v="0"/>
    <n v="300000"/>
    <s v="Pago f 30708135 copec s.a."/>
    <n v="-300000"/>
    <s v="Activo"/>
    <n v="-300000"/>
    <x v="1"/>
  </r>
  <r>
    <n v="2026"/>
    <n v="1"/>
    <s v="15-01-2026"/>
    <n v="7035"/>
    <s v="1101-03"/>
    <n v="0"/>
    <n v="200000"/>
    <s v="0765406986 transf a t-link spa 176540698 prepago los heroes"/>
    <n v="-200000"/>
    <s v="Activo"/>
    <n v="-200000"/>
    <x v="1"/>
  </r>
  <r>
    <n v="2026"/>
    <n v="1"/>
    <s v="15-01-2026"/>
    <n v="10047"/>
    <s v="1101-03"/>
    <n v="187450"/>
    <n v="0"/>
    <s v="0966893109 abn crd db tran transba"/>
    <n v="187450"/>
    <s v="Activo"/>
    <n v="187450"/>
    <x v="1"/>
  </r>
  <r>
    <n v="2026"/>
    <n v="1"/>
    <s v="16-01-2026"/>
    <n v="7036"/>
    <s v="1101-03"/>
    <n v="0"/>
    <n v="781235"/>
    <s v="Pago f 400969 tecnologia lk spa"/>
    <n v="-781235"/>
    <s v="Activo"/>
    <n v="-781235"/>
    <x v="1"/>
  </r>
  <r>
    <n v="2026"/>
    <n v="1"/>
    <s v="16-01-2026"/>
    <n v="7037"/>
    <s v="1101-03"/>
    <n v="0"/>
    <n v="535500"/>
    <s v="Pago f 3 luxconnect spa"/>
    <n v="-535500"/>
    <s v="Activo"/>
    <n v="-535500"/>
    <x v="1"/>
  </r>
  <r>
    <n v="2026"/>
    <n v="1"/>
    <s v="16-01-2026"/>
    <n v="7038"/>
    <s v="1101-03"/>
    <n v="0"/>
    <n v="453333"/>
    <s v="Pago f 3 altaseo limitada"/>
    <n v="-453333"/>
    <s v="Activo"/>
    <n v="-453333"/>
    <x v="1"/>
  </r>
  <r>
    <n v="2026"/>
    <n v="1"/>
    <s v="16-01-2026"/>
    <n v="7039"/>
    <s v="1101-03"/>
    <n v="0"/>
    <n v="428400"/>
    <s v="Pago f 1702 hayex technology spa"/>
    <n v="-428400"/>
    <s v="Activo"/>
    <n v="-428400"/>
    <x v="1"/>
  </r>
  <r>
    <n v="2026"/>
    <n v="1"/>
    <s v="16-01-2026"/>
    <n v="7040"/>
    <s v="1101-03"/>
    <n v="0"/>
    <n v="410550"/>
    <s v="Pago f 207 sfplus spa"/>
    <n v="-410550"/>
    <s v="Activo"/>
    <n v="-410550"/>
    <x v="1"/>
  </r>
  <r>
    <n v="2026"/>
    <n v="1"/>
    <s v="16-01-2026"/>
    <n v="7041"/>
    <s v="1101-03"/>
    <n v="0"/>
    <n v="338507"/>
    <s v="Pago f 401011 tecnologia lk spa"/>
    <n v="-338507"/>
    <s v="Activo"/>
    <n v="-338507"/>
    <x v="1"/>
  </r>
  <r>
    <n v="2026"/>
    <n v="1"/>
    <s v="16-01-2026"/>
    <n v="7042"/>
    <s v="1101-03"/>
    <n v="0"/>
    <n v="271760"/>
    <s v="Pago f 56802 voissnet cloud services s.p.a."/>
    <n v="-271760"/>
    <s v="Activo"/>
    <n v="-271760"/>
    <x v="1"/>
  </r>
  <r>
    <n v="2026"/>
    <n v="1"/>
    <s v="16-01-2026"/>
    <n v="7043"/>
    <s v="1101-03"/>
    <n v="0"/>
    <n v="250000"/>
    <s v="Pago f 57360 voissnet cloud services s.p.a."/>
    <n v="-250000"/>
    <s v="Activo"/>
    <n v="-250000"/>
    <x v="1"/>
  </r>
  <r>
    <n v="2026"/>
    <n v="1"/>
    <s v="16-01-2026"/>
    <n v="7044"/>
    <s v="1101-03"/>
    <n v="0"/>
    <n v="213444"/>
    <s v="Nodo cartagena - carolina diaz"/>
    <n v="-213444"/>
    <s v="Activo"/>
    <n v="-213444"/>
    <x v="1"/>
  </r>
  <r>
    <n v="2026"/>
    <n v="1"/>
    <s v="16-01-2026"/>
    <n v="7045"/>
    <s v="1101-03"/>
    <n v="0"/>
    <n v="192679"/>
    <s v="Pago f 37964 tac communications s.a."/>
    <n v="-192679"/>
    <s v="Activo"/>
    <n v="-192679"/>
    <x v="1"/>
  </r>
  <r>
    <n v="2026"/>
    <n v="1"/>
    <s v="16-01-2026"/>
    <n v="7046"/>
    <s v="1101-03"/>
    <n v="0"/>
    <n v="140000"/>
    <s v="Pago bh 96 german stalyn llerena juarez"/>
    <n v="-140000"/>
    <s v="Activo"/>
    <n v="-140000"/>
    <x v="1"/>
  </r>
  <r>
    <n v="2026"/>
    <n v="1"/>
    <s v="16-01-2026"/>
    <n v="7047"/>
    <s v="1101-03"/>
    <n v="0"/>
    <n v="94352"/>
    <s v="Pago f 2297 sociedad emisora de tarjetas los héroes s.a"/>
    <n v="-94352"/>
    <s v="Activo"/>
    <n v="-94352"/>
    <x v="1"/>
  </r>
  <r>
    <n v="2026"/>
    <n v="1"/>
    <s v="16-01-2026"/>
    <n v="7048"/>
    <s v="1101-03"/>
    <n v="0"/>
    <n v="85000"/>
    <s v="Pago f 55846 voissnet cloud services s.p.a."/>
    <n v="-85000"/>
    <s v="Activo"/>
    <n v="-85000"/>
    <x v="1"/>
  </r>
  <r>
    <n v="2026"/>
    <n v="1"/>
    <s v="16-01-2026"/>
    <n v="7049"/>
    <s v="1101-03"/>
    <n v="0"/>
    <n v="69759"/>
    <s v="Nodo cartagena - carolina diaz"/>
    <n v="-69759"/>
    <s v="Activo"/>
    <n v="-69759"/>
    <x v="1"/>
  </r>
  <r>
    <n v="2026"/>
    <n v="1"/>
    <s v="16-01-2026"/>
    <n v="7050"/>
    <s v="1101-03"/>
    <n v="0"/>
    <n v="65000"/>
    <s v="Pago f 57354 voissnet cloud services s.p.a."/>
    <n v="-65000"/>
    <s v="Activo"/>
    <n v="-65000"/>
    <x v="1"/>
  </r>
  <r>
    <n v="2026"/>
    <n v="1"/>
    <s v="16-01-2026"/>
    <n v="7051"/>
    <s v="1101-03"/>
    <n v="0"/>
    <n v="42000"/>
    <s v="Pago f 57349 voissnet cloud services s.p.a."/>
    <n v="-42000"/>
    <s v="Activo"/>
    <n v="-42000"/>
    <x v="1"/>
  </r>
  <r>
    <n v="2026"/>
    <n v="1"/>
    <s v="16-01-2026"/>
    <n v="7052"/>
    <s v="1101-03"/>
    <n v="0"/>
    <n v="42000"/>
    <s v="Pago f 57350 voissnet cloud services s.p.a."/>
    <n v="-42000"/>
    <s v="Activo"/>
    <n v="-42000"/>
    <x v="1"/>
  </r>
  <r>
    <n v="2026"/>
    <n v="1"/>
    <s v="16-01-2026"/>
    <n v="7053"/>
    <s v="1101-03"/>
    <n v="0"/>
    <n v="42000"/>
    <s v="Pago f 57351 voissnet cloud services s.p.a."/>
    <n v="-42000"/>
    <s v="Activo"/>
    <n v="-42000"/>
    <x v="1"/>
  </r>
  <r>
    <n v="2026"/>
    <n v="1"/>
    <s v="16-01-2026"/>
    <n v="7054"/>
    <s v="1101-03"/>
    <n v="0"/>
    <n v="42000"/>
    <s v="Pago f 57352 voissnet cloud services s.p.a."/>
    <n v="-42000"/>
    <s v="Activo"/>
    <n v="-42000"/>
    <x v="1"/>
  </r>
  <r>
    <n v="2026"/>
    <n v="1"/>
    <s v="16-01-2026"/>
    <n v="7055"/>
    <s v="1101-03"/>
    <n v="0"/>
    <n v="42000"/>
    <s v="Pago f 57357 voissnet cloud services s.p.a."/>
    <n v="-42000"/>
    <s v="Activo"/>
    <n v="-42000"/>
    <x v="1"/>
  </r>
  <r>
    <n v="2026"/>
    <n v="1"/>
    <s v="16-01-2026"/>
    <n v="7056"/>
    <s v="1101-03"/>
    <n v="0"/>
    <n v="42000"/>
    <s v="Pago f 57358 voissnet cloud services s.p.a."/>
    <n v="-42000"/>
    <s v="Activo"/>
    <n v="-42000"/>
    <x v="1"/>
  </r>
  <r>
    <n v="2026"/>
    <n v="1"/>
    <s v="16-01-2026"/>
    <n v="7057"/>
    <s v="1101-03"/>
    <n v="0"/>
    <n v="42000"/>
    <s v="Pago f 57359 voissnet cloud services s.p.a."/>
    <n v="-42000"/>
    <s v="Activo"/>
    <n v="-42000"/>
    <x v="1"/>
  </r>
  <r>
    <n v="2026"/>
    <n v="1"/>
    <s v="16-01-2026"/>
    <n v="7058"/>
    <s v="1101-03"/>
    <n v="0"/>
    <n v="31500"/>
    <s v="Pago f 3418666 soc. comerc. de repuestos s.p.a."/>
    <n v="-31500"/>
    <s v="Activo"/>
    <n v="-31500"/>
    <x v="1"/>
  </r>
  <r>
    <n v="2026"/>
    <n v="1"/>
    <s v="16-01-2026"/>
    <n v="10048"/>
    <s v="1101-03"/>
    <n v="5000000"/>
    <n v="0"/>
    <s v="0765406986 transf."/>
    <n v="5000000"/>
    <s v="Activo"/>
    <n v="5000000"/>
    <x v="1"/>
  </r>
  <r>
    <n v="2026"/>
    <n v="1"/>
    <s v="16-01-2026"/>
    <n v="10049"/>
    <s v="1101-03"/>
    <n v="3000000"/>
    <n v="0"/>
    <s v="0765406986 transf."/>
    <n v="3000000"/>
    <s v="Activo"/>
    <n v="3000000"/>
    <x v="1"/>
  </r>
  <r>
    <n v="2026"/>
    <n v="1"/>
    <s v="16-01-2026"/>
    <n v="10050"/>
    <s v="1101-03"/>
    <n v="494844"/>
    <n v="0"/>
    <s v="0966893109 abn crd db tran transba"/>
    <n v="494844"/>
    <s v="Activo"/>
    <n v="494844"/>
    <x v="1"/>
  </r>
  <r>
    <n v="2026"/>
    <n v="1"/>
    <s v="16-01-2026"/>
    <n v="10051"/>
    <s v="1101-03"/>
    <n v="17776"/>
    <n v="0"/>
    <s v="0761872877 transf. khipu spa"/>
    <n v="17776"/>
    <s v="Activo"/>
    <n v="17776"/>
    <x v="1"/>
  </r>
  <r>
    <n v="2026"/>
    <n v="1"/>
    <s v="19-01-2026"/>
    <n v="7059"/>
    <s v="1101-03"/>
    <n v="0"/>
    <n v="250000"/>
    <s v="Pago f 58089 voissnet cloud services s.p.a."/>
    <n v="-250000"/>
    <s v="Activo"/>
    <n v="-250000"/>
    <x v="1"/>
  </r>
  <r>
    <n v="2026"/>
    <n v="1"/>
    <s v="19-01-2026"/>
    <n v="7060"/>
    <s v="1101-03"/>
    <n v="0"/>
    <n v="250000"/>
    <s v="Pago f 58090 voissnet cloud services s.p.a."/>
    <n v="-250000"/>
    <s v="Activo"/>
    <n v="-250000"/>
    <x v="1"/>
  </r>
  <r>
    <n v="2026"/>
    <n v="1"/>
    <s v="19-01-2026"/>
    <n v="7061"/>
    <s v="1101-03"/>
    <n v="0"/>
    <n v="101531"/>
    <s v="Pago en linea s.i.i."/>
    <n v="-101531"/>
    <s v="Activo"/>
    <n v="-101531"/>
    <x v="1"/>
  </r>
  <r>
    <n v="2026"/>
    <n v="1"/>
    <s v="19-01-2026"/>
    <n v="7062"/>
    <s v="1101-03"/>
    <n v="0"/>
    <n v="62776"/>
    <s v="Pago en linea s.i.i."/>
    <n v="-62776"/>
    <s v="Activo"/>
    <n v="-62776"/>
    <x v="1"/>
  </r>
  <r>
    <n v="2026"/>
    <n v="1"/>
    <s v="19-01-2026"/>
    <n v="7063"/>
    <s v="1101-03"/>
    <n v="0"/>
    <n v="41851"/>
    <s v="Pago en linea s.i.i."/>
    <n v="-41851"/>
    <s v="Activo"/>
    <n v="-41851"/>
    <x v="1"/>
  </r>
  <r>
    <n v="2026"/>
    <n v="1"/>
    <s v="19-01-2026"/>
    <n v="10052"/>
    <s v="1101-03"/>
    <n v="4561428"/>
    <n v="0"/>
    <s v="0765406986 transf."/>
    <n v="4561428"/>
    <s v="Activo"/>
    <n v="4561428"/>
    <x v="1"/>
  </r>
  <r>
    <n v="2026"/>
    <n v="1"/>
    <s v="19-01-2026"/>
    <n v="10053"/>
    <s v="1101-03"/>
    <n v="1900000"/>
    <n v="0"/>
    <s v="0765406986 transf."/>
    <n v="1900000"/>
    <s v="Activo"/>
    <n v="1900000"/>
    <x v="1"/>
  </r>
  <r>
    <n v="2026"/>
    <n v="1"/>
    <s v="19-01-2026"/>
    <n v="10054"/>
    <s v="1101-03"/>
    <n v="545266"/>
    <n v="0"/>
    <s v="0761872877 transf. khipu spa"/>
    <n v="545266"/>
    <s v="Activo"/>
    <n v="545266"/>
    <x v="1"/>
  </r>
  <r>
    <n v="2026"/>
    <n v="1"/>
    <s v="19-01-2026"/>
    <n v="10055"/>
    <s v="1101-03"/>
    <n v="402209"/>
    <n v="0"/>
    <s v="0966893109 abn crd db tran transba"/>
    <n v="402209"/>
    <s v="Activo"/>
    <n v="402209"/>
    <x v="1"/>
  </r>
  <r>
    <n v="2026"/>
    <n v="1"/>
    <s v="20-01-2026"/>
    <n v="7064"/>
    <s v="1101-03"/>
    <n v="0"/>
    <n v="25241289"/>
    <s v="Pago f29 diciembre 2025"/>
    <n v="-25241289"/>
    <s v="Activo"/>
    <n v="-25241289"/>
    <x v="1"/>
  </r>
  <r>
    <n v="2026"/>
    <n v="1"/>
    <s v="20-01-2026"/>
    <n v="7065"/>
    <s v="1101-03"/>
    <n v="0"/>
    <n v="300000"/>
    <s v="Pago f 30708135 copec s.a."/>
    <n v="-300000"/>
    <s v="Activo"/>
    <n v="-300000"/>
    <x v="1"/>
  </r>
  <r>
    <n v="2026"/>
    <n v="1"/>
    <s v="20-01-2026"/>
    <n v="10056"/>
    <s v="1101-03"/>
    <n v="5291491"/>
    <n v="0"/>
    <s v="0966893109 abn crd db tran transba"/>
    <n v="5291491"/>
    <s v="Activo"/>
    <n v="5291491"/>
    <x v="1"/>
  </r>
  <r>
    <n v="2026"/>
    <n v="1"/>
    <s v="20-01-2026"/>
    <n v="10057"/>
    <s v="1101-03"/>
    <n v="424755"/>
    <n v="0"/>
    <s v="0761872877 transf. khipu spa"/>
    <n v="424755"/>
    <s v="Activo"/>
    <n v="424755"/>
    <x v="1"/>
  </r>
  <r>
    <n v="2026"/>
    <n v="1"/>
    <s v="21-01-2026"/>
    <n v="7066"/>
    <s v="1101-03"/>
    <n v="0"/>
    <n v="4875202"/>
    <s v="Pago cuota crédito n 420050694789 cuota 11"/>
    <n v="-4875202"/>
    <s v="Activo"/>
    <n v="-4875202"/>
    <x v="1"/>
  </r>
  <r>
    <n v="2026"/>
    <n v="1"/>
    <s v="21-01-2026"/>
    <n v="7067"/>
    <s v="1101-03"/>
    <n v="0"/>
    <n v="300000"/>
    <s v="0995200007 transf a muevo copec em"/>
    <n v="-300000"/>
    <s v="Activo"/>
    <n v="-300000"/>
    <x v="1"/>
  </r>
  <r>
    <n v="2026"/>
    <n v="1"/>
    <s v="21-01-2026"/>
    <n v="7068"/>
    <s v="1101-03"/>
    <n v="0"/>
    <n v="200000"/>
    <s v="013473812k transf a diaz-valdes es"/>
    <n v="-200000"/>
    <s v="Activo"/>
    <n v="-200000"/>
    <x v="1"/>
  </r>
  <r>
    <n v="2026"/>
    <n v="1"/>
    <s v="21-01-2026"/>
    <n v="7069"/>
    <s v="1101-03"/>
    <n v="0"/>
    <n v="10000"/>
    <s v="Caja chica"/>
    <n v="-10000"/>
    <s v="Activo"/>
    <n v="-10000"/>
    <x v="1"/>
  </r>
  <r>
    <n v="2026"/>
    <n v="1"/>
    <s v="21-01-2026"/>
    <n v="10058"/>
    <s v="1101-03"/>
    <n v="7286963"/>
    <n v="0"/>
    <s v="0966893109 abn crd db tran transba"/>
    <n v="7286963"/>
    <s v="Activo"/>
    <n v="7286963"/>
    <x v="1"/>
  </r>
  <r>
    <n v="2026"/>
    <n v="1"/>
    <s v="21-01-2026"/>
    <n v="10059"/>
    <s v="1101-03"/>
    <n v="200000"/>
    <n v="0"/>
    <s v="013473812k transf de patricio dani"/>
    <n v="200000"/>
    <s v="Activo"/>
    <n v="200000"/>
    <x v="1"/>
  </r>
  <r>
    <n v="2026"/>
    <n v="1"/>
    <s v="21-01-2026"/>
    <n v="10060"/>
    <s v="1101-03"/>
    <n v="81995"/>
    <n v="0"/>
    <s v="0761872877 transf. khipu spa"/>
    <n v="81995"/>
    <s v="Activo"/>
    <n v="81995"/>
    <x v="1"/>
  </r>
  <r>
    <n v="2026"/>
    <n v="1"/>
    <s v="22-01-2026"/>
    <n v="10061"/>
    <s v="1101-03"/>
    <n v="2116934"/>
    <n v="0"/>
    <s v="0966893109 abn crd db tran transba"/>
    <n v="2116934"/>
    <s v="Activo"/>
    <n v="2116934"/>
    <x v="1"/>
  </r>
  <r>
    <n v="2026"/>
    <n v="1"/>
    <s v="22-01-2026"/>
    <n v="10062"/>
    <s v="1101-03"/>
    <n v="155073"/>
    <n v="0"/>
    <s v="0761872877 transf. khipu spa"/>
    <n v="155073"/>
    <s v="Activo"/>
    <n v="155073"/>
    <x v="1"/>
  </r>
  <r>
    <n v="2026"/>
    <n v="1"/>
    <s v="23-01-2026"/>
    <n v="7070"/>
    <s v="1101-03"/>
    <n v="0"/>
    <n v="912790"/>
    <s v="Pago f 36906 tac communications s.a."/>
    <n v="-912790"/>
    <s v="Activo"/>
    <n v="-912790"/>
    <x v="1"/>
  </r>
  <r>
    <n v="2026"/>
    <n v="1"/>
    <s v="23-01-2026"/>
    <n v="7071"/>
    <s v="1101-03"/>
    <n v="0"/>
    <n v="628867"/>
    <s v="Pago f 401877 tecnologia lk spa"/>
    <n v="-628867"/>
    <s v="Activo"/>
    <n v="-628867"/>
    <x v="1"/>
  </r>
  <r>
    <n v="2026"/>
    <n v="1"/>
    <s v="23-01-2026"/>
    <n v="7072"/>
    <s v="1101-03"/>
    <n v="0"/>
    <n v="500000"/>
    <s v="Pago f 30708135 copec s.a."/>
    <n v="-500000"/>
    <s v="Activo"/>
    <n v="-500000"/>
    <x v="1"/>
  </r>
  <r>
    <n v="2026"/>
    <n v="1"/>
    <s v="23-01-2026"/>
    <n v="7073"/>
    <s v="1101-03"/>
    <n v="0"/>
    <n v="218224"/>
    <s v="Pago f 4835792 telefonica empresas chile s.a."/>
    <n v="-218224"/>
    <s v="Activo"/>
    <n v="-218224"/>
    <x v="1"/>
  </r>
  <r>
    <n v="2026"/>
    <n v="1"/>
    <s v="23-01-2026"/>
    <n v="7074"/>
    <s v="1101-03"/>
    <n v="0"/>
    <n v="202300"/>
    <s v="Pago f 522 ingsor spa"/>
    <n v="-202300"/>
    <s v="Activo"/>
    <n v="-202300"/>
    <x v="1"/>
  </r>
  <r>
    <n v="2026"/>
    <n v="1"/>
    <s v="23-01-2026"/>
    <n v="7075"/>
    <s v="1101-03"/>
    <n v="0"/>
    <n v="169418"/>
    <s v="Pago f 186556 contempora compania de seguros generales s.a"/>
    <n v="-169418"/>
    <s v="Activo"/>
    <n v="-169418"/>
    <x v="1"/>
  </r>
  <r>
    <n v="2026"/>
    <n v="1"/>
    <s v="23-01-2026"/>
    <n v="7076"/>
    <s v="1101-03"/>
    <n v="0"/>
    <n v="120000"/>
    <s v="Pago bh 90 soledad del carmen maldonado"/>
    <n v="-120000"/>
    <s v="Activo"/>
    <n v="-120000"/>
    <x v="1"/>
  </r>
  <r>
    <n v="2026"/>
    <n v="1"/>
    <s v="23-01-2026"/>
    <n v="10063"/>
    <s v="1101-03"/>
    <n v="1692436"/>
    <n v="0"/>
    <s v="0966893109 abn crd db tran transba"/>
    <n v="1692436"/>
    <s v="Activo"/>
    <n v="1692436"/>
    <x v="1"/>
  </r>
  <r>
    <n v="2026"/>
    <n v="1"/>
    <s v="23-01-2026"/>
    <n v="10064"/>
    <s v="1101-03"/>
    <n v="149164"/>
    <n v="0"/>
    <s v="0761872877 transf. khipu spa"/>
    <n v="149164"/>
    <s v="Activo"/>
    <n v="149164"/>
    <x v="1"/>
  </r>
  <r>
    <n v="2026"/>
    <n v="1"/>
    <s v="26-01-2026"/>
    <n v="10065"/>
    <s v="1101-03"/>
    <n v="2275255"/>
    <n v="0"/>
    <s v="0966893109 abn crd db tran transba"/>
    <n v="2275255"/>
    <s v="Activo"/>
    <n v="2275255"/>
    <x v="1"/>
  </r>
  <r>
    <n v="2026"/>
    <n v="1"/>
    <s v="26-01-2026"/>
    <n v="10066"/>
    <s v="1101-03"/>
    <n v="442045"/>
    <n v="0"/>
    <s v="0761872877 transf. khipu spa"/>
    <n v="442045"/>
    <s v="Activo"/>
    <n v="442045"/>
    <x v="1"/>
  </r>
  <r>
    <n v="2026"/>
    <n v="1"/>
    <s v="27-01-2026"/>
    <n v="10067"/>
    <s v="1101-03"/>
    <n v="3302083"/>
    <n v="0"/>
    <s v="0966893109 abn crd db tran transba"/>
    <n v="3302083"/>
    <s v="Activo"/>
    <n v="3302083"/>
    <x v="1"/>
  </r>
  <r>
    <n v="2026"/>
    <n v="1"/>
    <s v="27-01-2026"/>
    <n v="10068"/>
    <s v="1101-03"/>
    <n v="139059"/>
    <n v="0"/>
    <s v="0761872877 transf. khipu spa"/>
    <n v="139059"/>
    <s v="Activo"/>
    <n v="139059"/>
    <x v="1"/>
  </r>
  <r>
    <n v="2026"/>
    <n v="1"/>
    <s v="28-01-2026"/>
    <n v="7077"/>
    <s v="1101-03"/>
    <n v="0"/>
    <n v="3606871"/>
    <s v="0774546138 transf a optictimes spa"/>
    <n v="-3606871"/>
    <s v="Activo"/>
    <n v="-3606871"/>
    <x v="1"/>
  </r>
  <r>
    <n v="2026"/>
    <n v="1"/>
    <s v="28-01-2026"/>
    <n v="7078"/>
    <s v="1101-03"/>
    <n v="0"/>
    <n v="2268165"/>
    <s v="Pago f 8745 silica networks chile s a"/>
    <n v="-2268165"/>
    <s v="Activo"/>
    <n v="-2268165"/>
    <x v="1"/>
  </r>
  <r>
    <n v="2026"/>
    <n v="1"/>
    <s v="28-01-2026"/>
    <n v="7079"/>
    <s v="1101-03"/>
    <n v="0"/>
    <n v="1572057"/>
    <s v="Pago f 1404 cogent communications chile limitad"/>
    <n v="-1572057"/>
    <s v="Activo"/>
    <n v="-1572057"/>
    <x v="1"/>
  </r>
  <r>
    <n v="2026"/>
    <n v="1"/>
    <s v="28-01-2026"/>
    <n v="7080"/>
    <s v="1101-03"/>
    <n v="0"/>
    <n v="1132583"/>
    <s v="0761831402 transf a comercial lago"/>
    <n v="-1132583"/>
    <s v="Activo"/>
    <n v="-1132583"/>
    <x v="1"/>
  </r>
  <r>
    <n v="2026"/>
    <n v="1"/>
    <s v="28-01-2026"/>
    <n v="7081"/>
    <s v="1101-03"/>
    <n v="0"/>
    <n v="416500"/>
    <s v="0774546138 transf a optictimes spa"/>
    <n v="-416500"/>
    <s v="Activo"/>
    <n v="-416500"/>
    <x v="1"/>
  </r>
  <r>
    <n v="2026"/>
    <n v="1"/>
    <s v="28-01-2026"/>
    <n v="7082"/>
    <s v="1101-03"/>
    <n v="0"/>
    <n v="394607"/>
    <s v="Pago f 36048 comercial lagos e hijos ltda."/>
    <n v="-394607"/>
    <s v="Activo"/>
    <n v="-394607"/>
    <x v="1"/>
  </r>
  <r>
    <n v="2026"/>
    <n v="1"/>
    <s v="28-01-2026"/>
    <n v="7083"/>
    <s v="1101-03"/>
    <n v="0"/>
    <n v="255000"/>
    <s v="Pago bh 97 felipe ignacio luengo moreira"/>
    <n v="-255000"/>
    <s v="Activo"/>
    <n v="-255000"/>
    <x v="1"/>
  </r>
  <r>
    <n v="2026"/>
    <n v="1"/>
    <s v="28-01-2026"/>
    <n v="7084"/>
    <s v="1101-03"/>
    <n v="0"/>
    <n v="214200"/>
    <s v="Pago f 2047 erika del carmen celis fernandez"/>
    <n v="-214200"/>
    <s v="Activo"/>
    <n v="-214200"/>
    <x v="1"/>
  </r>
  <r>
    <n v="2026"/>
    <n v="1"/>
    <s v="28-01-2026"/>
    <n v="7085"/>
    <s v="1101-03"/>
    <n v="0"/>
    <n v="198641"/>
    <s v="Pago f 38066 tac communications s.a."/>
    <n v="-198641"/>
    <s v="Activo"/>
    <n v="-198641"/>
    <x v="1"/>
  </r>
  <r>
    <n v="2026"/>
    <n v="1"/>
    <s v="28-01-2026"/>
    <n v="7086"/>
    <s v="1101-03"/>
    <n v="0"/>
    <n v="120000"/>
    <s v="Pago bh 91 soledad del carmen maldonado"/>
    <n v="-120000"/>
    <s v="Activo"/>
    <n v="-120000"/>
    <x v="1"/>
  </r>
  <r>
    <n v="2026"/>
    <n v="1"/>
    <s v="28-01-2026"/>
    <n v="7087"/>
    <s v="1101-03"/>
    <n v="0"/>
    <n v="60000"/>
    <s v="Pago bh 98 camila elizabeth ortiz cruz"/>
    <n v="-60000"/>
    <s v="Activo"/>
    <n v="-60000"/>
    <x v="1"/>
  </r>
  <r>
    <n v="2026"/>
    <n v="1"/>
    <s v="28-01-2026"/>
    <n v="7088"/>
    <s v="1101-03"/>
    <n v="0"/>
    <n v="23441"/>
    <s v="Com.mantencion plan"/>
    <n v="-23441"/>
    <s v="Activo"/>
    <n v="-23441"/>
    <x v="1"/>
  </r>
  <r>
    <n v="2026"/>
    <n v="1"/>
    <s v="28-01-2026"/>
    <n v="10069"/>
    <s v="1101-03"/>
    <n v="3541987"/>
    <n v="0"/>
    <s v="0966893109 abn crd db tran transba"/>
    <n v="3541987"/>
    <s v="Activo"/>
    <n v="3541987"/>
    <x v="1"/>
  </r>
  <r>
    <n v="2026"/>
    <n v="1"/>
    <s v="28-01-2026"/>
    <n v="10070"/>
    <s v="1101-03"/>
    <n v="1389207"/>
    <n v="0"/>
    <s v="0761872877 transf. khipu spa"/>
    <n v="1389207"/>
    <s v="Activo"/>
    <n v="1389207"/>
    <x v="1"/>
  </r>
  <r>
    <n v="2026"/>
    <n v="1"/>
    <s v="29-01-2026"/>
    <n v="7089"/>
    <s v="1101-03"/>
    <n v="0"/>
    <n v="945004"/>
    <s v="Pago f 1103 leasing rym spa"/>
    <n v="-945004"/>
    <s v="Activo"/>
    <n v="-945004"/>
    <x v="1"/>
  </r>
  <r>
    <n v="2026"/>
    <n v="1"/>
    <s v="29-01-2026"/>
    <n v="10071"/>
    <s v="1101-03"/>
    <n v="13285131"/>
    <n v="0"/>
    <s v="0966893109 abn crd db tran transba"/>
    <n v="13285131"/>
    <s v="Activo"/>
    <n v="13285131"/>
    <x v="1"/>
  </r>
  <r>
    <n v="2026"/>
    <n v="1"/>
    <s v="29-01-2026"/>
    <n v="10072"/>
    <s v="1101-03"/>
    <n v="5000000"/>
    <n v="0"/>
    <s v="0765406986 transf."/>
    <n v="5000000"/>
    <s v="Activo"/>
    <n v="5000000"/>
    <x v="1"/>
  </r>
  <r>
    <n v="2026"/>
    <n v="1"/>
    <s v="29-01-2026"/>
    <n v="10073"/>
    <s v="1101-03"/>
    <n v="394607"/>
    <n v="0"/>
    <s v="0761831402 transf. comercial lagos"/>
    <n v="394607"/>
    <s v="Activo"/>
    <n v="394607"/>
    <x v="1"/>
  </r>
  <r>
    <n v="2026"/>
    <n v="1"/>
    <s v="29-01-2026"/>
    <n v="10074"/>
    <s v="1101-03"/>
    <n v="392149"/>
    <n v="0"/>
    <s v="0761872877 transf. khipu spa"/>
    <n v="392149"/>
    <s v="Activo"/>
    <n v="392149"/>
    <x v="1"/>
  </r>
  <r>
    <n v="2026"/>
    <n v="1"/>
    <s v="30-01-2026"/>
    <n v="7090"/>
    <s v="1101-03"/>
    <n v="0"/>
    <n v="5000000"/>
    <s v="0774344497 transf a botsch spa"/>
    <n v="-5000000"/>
    <s v="Activo"/>
    <n v="-5000000"/>
    <x v="1"/>
  </r>
  <r>
    <n v="2026"/>
    <n v="1"/>
    <s v="30-01-2026"/>
    <n v="7091"/>
    <s v="1101-03"/>
    <n v="0"/>
    <n v="5000000"/>
    <s v="0774344497 transf a botsch spa"/>
    <n v="-5000000"/>
    <s v="Activo"/>
    <n v="-5000000"/>
    <x v="1"/>
  </r>
  <r>
    <n v="2026"/>
    <n v="1"/>
    <s v="30-01-2026"/>
    <n v="7092"/>
    <s v="1101-03"/>
    <n v="0"/>
    <n v="5000000"/>
    <s v="012646150k transf a ambiado olivar"/>
    <n v="-5000000"/>
    <s v="Activo"/>
    <n v="-5000000"/>
    <x v="1"/>
  </r>
  <r>
    <n v="2026"/>
    <n v="1"/>
    <s v="30-01-2026"/>
    <n v="7093"/>
    <s v="1101-03"/>
    <n v="0"/>
    <n v="5000000"/>
    <s v="0774344497 transf a botsch spa"/>
    <n v="-5000000"/>
    <s v="Activo"/>
    <n v="-5000000"/>
    <x v="1"/>
  </r>
  <r>
    <n v="2026"/>
    <n v="1"/>
    <s v="30-01-2026"/>
    <n v="7094"/>
    <s v="1101-03"/>
    <n v="0"/>
    <n v="4264900"/>
    <s v="012646150k transf a ambiado olivar"/>
    <n v="-4264900"/>
    <s v="Activo"/>
    <n v="-4264900"/>
    <x v="1"/>
  </r>
  <r>
    <n v="2026"/>
    <n v="1"/>
    <s v="30-01-2026"/>
    <n v="7095"/>
    <s v="1101-03"/>
    <n v="0"/>
    <n v="2543389"/>
    <s v="0774344497 transf a botsch spa"/>
    <n v="-2543389"/>
    <s v="Activo"/>
    <n v="-2543389"/>
    <x v="1"/>
  </r>
  <r>
    <n v="2026"/>
    <n v="1"/>
    <s v="30-01-2026"/>
    <n v="7096"/>
    <s v="1101-03"/>
    <n v="0"/>
    <n v="300000"/>
    <s v="Pago f 30708135 copec s.a."/>
    <n v="-300000"/>
    <s v="Activo"/>
    <n v="-300000"/>
    <x v="1"/>
  </r>
  <r>
    <n v="2026"/>
    <n v="1"/>
    <s v="30-01-2026"/>
    <n v="10075"/>
    <s v="1101-03"/>
    <n v="8237680"/>
    <n v="0"/>
    <s v="0966893109 abn crd db tran transba"/>
    <n v="8237680"/>
    <s v="Activo"/>
    <n v="8237680"/>
    <x v="1"/>
  </r>
  <r>
    <n v="2026"/>
    <n v="1"/>
    <s v="30-01-2026"/>
    <n v="10076"/>
    <s v="1101-03"/>
    <n v="556860"/>
    <n v="0"/>
    <s v="0761872877 transf. khipu spa"/>
    <n v="556860"/>
    <s v="Activo"/>
    <n v="556860"/>
    <x v="1"/>
  </r>
  <r>
    <n v="2026"/>
    <n v="2"/>
    <s v="02-02-2026"/>
    <n v="7107"/>
    <s v="1101-03"/>
    <n v="0"/>
    <n v="1535219"/>
    <s v="Pago f 6572 climarvi ingenieria spa"/>
    <n v="-1535219"/>
    <s v="Activo"/>
    <n v="-1535219"/>
    <x v="1"/>
  </r>
  <r>
    <n v="2026"/>
    <n v="2"/>
    <s v="02-02-2026"/>
    <n v="7108"/>
    <s v="1101-03"/>
    <n v="0"/>
    <n v="893803"/>
    <s v="Compra google workspace_"/>
    <n v="-893803"/>
    <s v="Activo"/>
    <n v="-893803"/>
    <x v="1"/>
  </r>
  <r>
    <n v="2026"/>
    <n v="2"/>
    <s v="02-02-2026"/>
    <n v="7109"/>
    <s v="1101-03"/>
    <n v="0"/>
    <n v="500000"/>
    <s v="Pago f 29051486 copec s.a."/>
    <n v="-500000"/>
    <s v="Activo"/>
    <n v="-500000"/>
    <x v="1"/>
  </r>
  <r>
    <n v="2026"/>
    <n v="2"/>
    <s v="02-02-2026"/>
    <n v="7110"/>
    <s v="1101-03"/>
    <n v="0"/>
    <n v="393870"/>
    <s v="Traspaso internet a t. crédito santander 5130"/>
    <n v="-393870"/>
    <s v="Activo"/>
    <n v="-393870"/>
    <x v="1"/>
  </r>
  <r>
    <n v="2026"/>
    <n v="2"/>
    <s v="02-02-2026"/>
    <n v="7111"/>
    <s v="1101-03"/>
    <n v="0"/>
    <n v="200000"/>
    <s v="T-link spa prepago los heroes cuenta 000-000001-7654069-8"/>
    <n v="-200000"/>
    <s v="Activo"/>
    <n v="-200000"/>
    <x v="1"/>
  </r>
  <r>
    <n v="2026"/>
    <n v="2"/>
    <s v="02-02-2026"/>
    <n v="7112"/>
    <s v="1101-03"/>
    <n v="0"/>
    <n v="72948"/>
    <s v="Compra hiper penaflor ba"/>
    <n v="-72948"/>
    <s v="Activo"/>
    <n v="-72948"/>
    <x v="1"/>
  </r>
  <r>
    <n v="2026"/>
    <n v="2"/>
    <s v="02-02-2026"/>
    <n v="11033"/>
    <s v="1101-03"/>
    <n v="6482143"/>
    <n v="0"/>
    <s v="0966893109 abn crd db tran transba"/>
    <n v="6482143"/>
    <s v="Activo"/>
    <n v="6482143"/>
    <x v="1"/>
  </r>
  <r>
    <n v="2026"/>
    <n v="2"/>
    <s v="02-02-2026"/>
    <n v="11034"/>
    <s v="1101-03"/>
    <n v="5000000"/>
    <n v="0"/>
    <s v="0765406986 transf. itau 0207015225"/>
    <n v="5000000"/>
    <s v="Activo"/>
    <n v="5000000"/>
    <x v="1"/>
  </r>
  <r>
    <n v="2026"/>
    <n v="2"/>
    <s v="02-02-2026"/>
    <n v="11035"/>
    <s v="1101-03"/>
    <n v="5000000"/>
    <n v="0"/>
    <s v="0765406986 transf. itau 0207015225"/>
    <n v="5000000"/>
    <s v="Activo"/>
    <n v="5000000"/>
    <x v="1"/>
  </r>
  <r>
    <n v="2026"/>
    <n v="2"/>
    <s v="02-02-2026"/>
    <n v="11036"/>
    <s v="1101-03"/>
    <n v="3325473"/>
    <n v="0"/>
    <s v="0761872877 transf. khipu spa"/>
    <n v="3325473"/>
    <s v="Activo"/>
    <n v="3325473"/>
    <x v="1"/>
  </r>
  <r>
    <n v="2026"/>
    <n v="2"/>
    <s v="02-02-2026"/>
    <n v="11037"/>
    <s v="1101-03"/>
    <n v="2400000"/>
    <n v="0"/>
    <s v="0765406986 transf. itau 0207015225"/>
    <n v="2400000"/>
    <s v="Activo"/>
    <n v="2400000"/>
    <x v="1"/>
  </r>
  <r>
    <n v="2026"/>
    <n v="2"/>
    <s v="03-02-2026"/>
    <n v="7113"/>
    <s v="1101-03"/>
    <n v="0"/>
    <n v="45516018"/>
    <s v="Remuneraciones enero 2026"/>
    <n v="-45516018"/>
    <s v="Activo"/>
    <n v="-45516018"/>
    <x v="1"/>
  </r>
  <r>
    <n v="2026"/>
    <n v="2"/>
    <s v="03-02-2026"/>
    <n v="7114"/>
    <s v="1101-03"/>
    <n v="0"/>
    <n v="394607"/>
    <s v="Pago f 37752 tac communications s.a."/>
    <n v="-394607"/>
    <s v="Activo"/>
    <n v="-394607"/>
    <x v="1"/>
  </r>
  <r>
    <n v="2026"/>
    <n v="2"/>
    <s v="03-02-2026"/>
    <n v="7115"/>
    <s v="1101-03"/>
    <n v="0"/>
    <n v="336990"/>
    <s v="Pago f 5521610 personal computer factory s a"/>
    <n v="-336990"/>
    <s v="Activo"/>
    <n v="-336990"/>
    <x v="1"/>
  </r>
  <r>
    <n v="2026"/>
    <n v="2"/>
    <s v="03-02-2026"/>
    <n v="11038"/>
    <s v="1101-03"/>
    <n v="27829042"/>
    <n v="0"/>
    <s v="0966893109 abn crd db tran transba"/>
    <n v="27829042"/>
    <s v="Activo"/>
    <n v="27829042"/>
    <x v="1"/>
  </r>
  <r>
    <n v="2026"/>
    <n v="2"/>
    <s v="03-02-2026"/>
    <n v="11039"/>
    <s v="1101-03"/>
    <n v="1195822"/>
    <n v="0"/>
    <s v="0761872877 transf. khipu spa"/>
    <n v="1195822"/>
    <s v="Activo"/>
    <n v="1195822"/>
    <x v="1"/>
  </r>
  <r>
    <n v="2026"/>
    <n v="2"/>
    <s v="04-02-2026"/>
    <n v="11040"/>
    <s v="1101-03"/>
    <n v="15826548"/>
    <n v="0"/>
    <s v="0966893109 abn crd db tran transba"/>
    <n v="15826548"/>
    <s v="Activo"/>
    <n v="15826548"/>
    <x v="1"/>
  </r>
  <r>
    <n v="2026"/>
    <n v="2"/>
    <s v="04-02-2026"/>
    <n v="11041"/>
    <s v="1101-03"/>
    <n v="611479"/>
    <n v="0"/>
    <s v="0761872877 transf. khipu spa"/>
    <n v="611479"/>
    <s v="Activo"/>
    <n v="611479"/>
    <x v="1"/>
  </r>
  <r>
    <n v="2026"/>
    <n v="2"/>
    <s v="05-02-2026"/>
    <n v="7116"/>
    <s v="1101-03"/>
    <n v="0"/>
    <n v="2438324"/>
    <s v="Traspaso internet a t. crédito santander 8107"/>
    <n v="-2438324"/>
    <s v="Activo"/>
    <n v="-2438324"/>
    <x v="1"/>
  </r>
  <r>
    <n v="2026"/>
    <n v="2"/>
    <s v="05-02-2026"/>
    <n v="7117"/>
    <s v="1101-03"/>
    <n v="0"/>
    <n v="1000000"/>
    <s v="Traspaso internet a t. crédito santander 6647"/>
    <n v="-1000000"/>
    <s v="Activo"/>
    <n v="-1000000"/>
    <x v="1"/>
  </r>
  <r>
    <n v="2026"/>
    <n v="2"/>
    <s v="05-02-2026"/>
    <n v="7118"/>
    <s v="1101-03"/>
    <n v="0"/>
    <n v="20000"/>
    <s v="Compra jardin anita"/>
    <n v="-20000"/>
    <s v="Activo"/>
    <n v="-20000"/>
    <x v="1"/>
  </r>
  <r>
    <n v="2026"/>
    <n v="2"/>
    <s v="05-02-2026"/>
    <n v="11042"/>
    <s v="1101-03"/>
    <n v="7277272"/>
    <n v="0"/>
    <s v="0966893109 abn crd db tran transba"/>
    <n v="7277272"/>
    <s v="Activo"/>
    <n v="7277272"/>
    <x v="1"/>
  </r>
  <r>
    <n v="2026"/>
    <n v="2"/>
    <s v="05-02-2026"/>
    <n v="11043"/>
    <s v="1101-03"/>
    <n v="3000000"/>
    <n v="0"/>
    <s v="0765406986 transf. itau 0207015225"/>
    <n v="3000000"/>
    <s v="Activo"/>
    <n v="3000000"/>
    <x v="1"/>
  </r>
  <r>
    <n v="2026"/>
    <n v="2"/>
    <s v="05-02-2026"/>
    <n v="11044"/>
    <s v="1101-03"/>
    <n v="466209"/>
    <n v="0"/>
    <s v="0761872877 transf. khipu spa"/>
    <n v="466209"/>
    <s v="Activo"/>
    <n v="466209"/>
    <x v="1"/>
  </r>
  <r>
    <n v="2026"/>
    <n v="2"/>
    <s v="06-02-2026"/>
    <n v="7119"/>
    <s v="1101-03"/>
    <n v="0"/>
    <n v="7336350"/>
    <s v="Pago f 37216 tac communications s.a."/>
    <n v="-7336350"/>
    <s v="Activo"/>
    <n v="-7336350"/>
    <x v="1"/>
  </r>
  <r>
    <n v="2026"/>
    <n v="2"/>
    <s v="06-02-2026"/>
    <n v="7120"/>
    <s v="1101-03"/>
    <n v="0"/>
    <n v="6240917"/>
    <s v="Pago f 1031 leasing rym spa"/>
    <n v="-6240917"/>
    <s v="Activo"/>
    <n v="-6240917"/>
    <x v="1"/>
  </r>
  <r>
    <n v="2026"/>
    <n v="2"/>
    <s v="06-02-2026"/>
    <n v="7121"/>
    <s v="1101-03"/>
    <n v="0"/>
    <n v="4311539"/>
    <s v="Pago f 36465 grupo zgh spa"/>
    <n v="-4311539"/>
    <s v="Activo"/>
    <n v="-4311539"/>
    <x v="1"/>
  </r>
  <r>
    <n v="2026"/>
    <n v="2"/>
    <s v="06-02-2026"/>
    <n v="7122"/>
    <s v="1101-03"/>
    <n v="0"/>
    <n v="3675410"/>
    <s v="Pago f 253 asociacion gremial de pequenos proveedores de internet y television"/>
    <n v="-3675410"/>
    <s v="Activo"/>
    <n v="-3675410"/>
    <x v="1"/>
  </r>
  <r>
    <n v="2026"/>
    <n v="2"/>
    <s v="06-02-2026"/>
    <n v="7123"/>
    <s v="1101-03"/>
    <n v="0"/>
    <n v="3144482"/>
    <s v="Pago f 11135 pit chile spa"/>
    <n v="-3144482"/>
    <s v="Activo"/>
    <n v="-3144482"/>
    <x v="1"/>
  </r>
  <r>
    <n v="2026"/>
    <n v="2"/>
    <s v="06-02-2026"/>
    <n v="7124"/>
    <s v="1101-03"/>
    <n v="0"/>
    <n v="1472129"/>
    <s v="Pago f 37831 tac communications s.a."/>
    <n v="-1472129"/>
    <s v="Activo"/>
    <n v="-1472129"/>
    <x v="1"/>
  </r>
  <r>
    <n v="2026"/>
    <n v="2"/>
    <s v="06-02-2026"/>
    <n v="7125"/>
    <s v="1101-03"/>
    <n v="0"/>
    <n v="1469125"/>
    <s v="Pago f 14414 asesorias tributarias pedro gonzalez limitada"/>
    <n v="-1469125"/>
    <s v="Activo"/>
    <n v="-1469125"/>
    <x v="1"/>
  </r>
  <r>
    <n v="2026"/>
    <n v="2"/>
    <s v="06-02-2026"/>
    <n v="7126"/>
    <s v="1101-03"/>
    <n v="0"/>
    <n v="1418288"/>
    <s v="Pago f 3283 ficom telecomunicaciones spa"/>
    <n v="-1418288"/>
    <s v="Activo"/>
    <n v="-1418288"/>
    <x v="1"/>
  </r>
  <r>
    <n v="2026"/>
    <n v="2"/>
    <s v="06-02-2026"/>
    <n v="7127"/>
    <s v="1101-03"/>
    <n v="0"/>
    <n v="1066966"/>
    <s v="Pago f 37880 tac communications s.a."/>
    <n v="-1066966"/>
    <s v="Activo"/>
    <n v="-1066966"/>
    <x v="1"/>
  </r>
  <r>
    <n v="2026"/>
    <n v="2"/>
    <s v="06-02-2026"/>
    <n v="7128"/>
    <s v="1101-03"/>
    <n v="0"/>
    <n v="1004282"/>
    <s v="Pago f 36214 comercial lagos e hijos ltda."/>
    <n v="-1004282"/>
    <s v="Activo"/>
    <n v="-1004282"/>
    <x v="1"/>
  </r>
  <r>
    <n v="2026"/>
    <n v="2"/>
    <s v="06-02-2026"/>
    <n v="7129"/>
    <s v="1101-03"/>
    <n v="0"/>
    <n v="1000000"/>
    <s v="0170226380 transf a freddy alex ro"/>
    <n v="-1000000"/>
    <s v="Activo"/>
    <n v="-1000000"/>
    <x v="1"/>
  </r>
  <r>
    <n v="2026"/>
    <n v="2"/>
    <s v="06-02-2026"/>
    <n v="7130"/>
    <s v="1101-03"/>
    <n v="0"/>
    <n v="991775"/>
    <s v="Pago f 7726 ascenty chile spa"/>
    <n v="-991775"/>
    <s v="Activo"/>
    <n v="-991775"/>
    <x v="1"/>
  </r>
  <r>
    <n v="2026"/>
    <n v="2"/>
    <s v="06-02-2026"/>
    <n v="7131"/>
    <s v="1101-03"/>
    <n v="0"/>
    <n v="985677"/>
    <s v="Pago f 170 telecomunicaciones ccp limitada"/>
    <n v="-985677"/>
    <s v="Activo"/>
    <n v="-985677"/>
    <x v="1"/>
  </r>
  <r>
    <n v="2026"/>
    <n v="2"/>
    <s v="06-02-2026"/>
    <n v="7132"/>
    <s v="1101-03"/>
    <n v="0"/>
    <n v="969257"/>
    <s v="Pago f 36466 grupo zgh spa"/>
    <n v="-969257"/>
    <s v="Activo"/>
    <n v="-969257"/>
    <x v="1"/>
  </r>
  <r>
    <n v="2026"/>
    <n v="2"/>
    <s v="06-02-2026"/>
    <n v="7133"/>
    <s v="1101-03"/>
    <n v="0"/>
    <n v="803254"/>
    <s v="Pago f 314 alberto diaz de valdes e hija limitada"/>
    <n v="-803254"/>
    <s v="Activo"/>
    <n v="-803254"/>
    <x v="1"/>
  </r>
  <r>
    <n v="2026"/>
    <n v="2"/>
    <s v="06-02-2026"/>
    <n v="7134"/>
    <s v="1101-03"/>
    <n v="0"/>
    <n v="750000"/>
    <s v="Arriendo oficina las condes"/>
    <n v="-750000"/>
    <s v="Activo"/>
    <n v="-750000"/>
    <x v="1"/>
  </r>
  <r>
    <n v="2026"/>
    <n v="2"/>
    <s v="06-02-2026"/>
    <n v="7135"/>
    <s v="1101-03"/>
    <n v="0"/>
    <n v="709144"/>
    <s v="Pago f 3284 ficom telecomunicaciones spa"/>
    <n v="-709144"/>
    <s v="Activo"/>
    <n v="-709144"/>
    <x v="1"/>
  </r>
  <r>
    <n v="2026"/>
    <n v="2"/>
    <s v="06-02-2026"/>
    <n v="7136"/>
    <s v="1101-03"/>
    <n v="0"/>
    <n v="591196"/>
    <s v="Pago f 550967 asociacion chilena de seguridad"/>
    <n v="-591196"/>
    <s v="Activo"/>
    <n v="-591196"/>
    <x v="1"/>
  </r>
  <r>
    <n v="2026"/>
    <n v="2"/>
    <s v="06-02-2026"/>
    <n v="7137"/>
    <s v="1101-03"/>
    <n v="0"/>
    <n v="535500"/>
    <s v="Pago f 5 luxconnect spa"/>
    <n v="-535500"/>
    <s v="Activo"/>
    <n v="-535500"/>
    <x v="1"/>
  </r>
  <r>
    <n v="2026"/>
    <n v="2"/>
    <s v="06-02-2026"/>
    <n v="7138"/>
    <s v="1101-03"/>
    <n v="0"/>
    <n v="516012"/>
    <s v="Arriendo espacio rack nodo aromos 13 uf valor uf 39.693,25 segun sii"/>
    <n v="-516012"/>
    <s v="Activo"/>
    <n v="-516012"/>
    <x v="1"/>
  </r>
  <r>
    <n v="2026"/>
    <n v="2"/>
    <s v="06-02-2026"/>
    <n v="7139"/>
    <s v="1101-03"/>
    <n v="0"/>
    <n v="500000"/>
    <s v="Pago f 30822871 copec s.a."/>
    <n v="-500000"/>
    <s v="Activo"/>
    <n v="-500000"/>
    <x v="1"/>
  </r>
  <r>
    <n v="2026"/>
    <n v="2"/>
    <s v="06-02-2026"/>
    <n v="7140"/>
    <s v="1101-03"/>
    <n v="0"/>
    <n v="476000"/>
    <s v="Pago f 5483 cia de comunicaciones coyhaique limitada"/>
    <n v="-476000"/>
    <s v="Activo"/>
    <n v="-476000"/>
    <x v="1"/>
  </r>
  <r>
    <n v="2026"/>
    <n v="2"/>
    <s v="06-02-2026"/>
    <n v="7141"/>
    <s v="1101-03"/>
    <n v="0"/>
    <n v="410550"/>
    <s v="Pago f 218 sfplus spa"/>
    <n v="-410550"/>
    <s v="Activo"/>
    <n v="-410550"/>
    <x v="1"/>
  </r>
  <r>
    <n v="2026"/>
    <n v="2"/>
    <s v="06-02-2026"/>
    <n v="7142"/>
    <s v="1101-03"/>
    <n v="0"/>
    <n v="397110"/>
    <s v="Pago f 5011 cg abogados limitada"/>
    <n v="-397110"/>
    <s v="Activo"/>
    <n v="-397110"/>
    <x v="1"/>
  </r>
  <r>
    <n v="2026"/>
    <n v="2"/>
    <s v="06-02-2026"/>
    <n v="7143"/>
    <s v="1101-03"/>
    <n v="0"/>
    <n v="340455"/>
    <s v="Pago f 76613 powerhost telecom spa"/>
    <n v="-340455"/>
    <s v="Activo"/>
    <n v="-340455"/>
    <x v="1"/>
  </r>
  <r>
    <n v="2026"/>
    <n v="2"/>
    <s v="06-02-2026"/>
    <n v="7144"/>
    <s v="1101-03"/>
    <n v="0"/>
    <n v="250000"/>
    <s v="Pago bh 98 german stalyn llerena juarez"/>
    <n v="-250000"/>
    <s v="Activo"/>
    <n v="-250000"/>
    <x v="1"/>
  </r>
  <r>
    <n v="2026"/>
    <n v="2"/>
    <s v="06-02-2026"/>
    <n v="7145"/>
    <s v="1101-03"/>
    <n v="0"/>
    <n v="202435"/>
    <s v="Arriendo espacio rack nodo cartagena tlink"/>
    <n v="-202435"/>
    <s v="Activo"/>
    <n v="-202435"/>
    <x v="1"/>
  </r>
  <r>
    <n v="2026"/>
    <n v="2"/>
    <s v="06-02-2026"/>
    <n v="7146"/>
    <s v="1101-03"/>
    <n v="0"/>
    <n v="202435"/>
    <s v="Arriendo espacio rack nodo algarrobo tlink"/>
    <n v="-202435"/>
    <s v="Activo"/>
    <n v="-202435"/>
    <x v="1"/>
  </r>
  <r>
    <n v="2026"/>
    <n v="2"/>
    <s v="06-02-2026"/>
    <n v="7147"/>
    <s v="1101-03"/>
    <n v="0"/>
    <n v="130000"/>
    <s v="Arriendo espacio rack nodo copihue tlink"/>
    <n v="-130000"/>
    <s v="Activo"/>
    <n v="-130000"/>
    <x v="1"/>
  </r>
  <r>
    <n v="2026"/>
    <n v="2"/>
    <s v="06-02-2026"/>
    <n v="7148"/>
    <s v="1101-03"/>
    <n v="0"/>
    <n v="120000"/>
    <s v="Pago bh 92 soledad del carmen maldonado z"/>
    <n v="-120000"/>
    <s v="Activo"/>
    <n v="-120000"/>
    <x v="1"/>
  </r>
  <r>
    <n v="2026"/>
    <n v="2"/>
    <s v="06-02-2026"/>
    <n v="7149"/>
    <s v="1101-03"/>
    <n v="0"/>
    <n v="120000"/>
    <s v="Pago bh 200 julio orlando chaparro cares"/>
    <n v="-120000"/>
    <s v="Activo"/>
    <n v="-120000"/>
    <x v="1"/>
  </r>
  <r>
    <n v="2026"/>
    <n v="2"/>
    <s v="06-02-2026"/>
    <n v="7150"/>
    <s v="1101-03"/>
    <n v="0"/>
    <n v="85930"/>
    <s v="Pago f 79435907 admin. de supermercados hiper limitada"/>
    <n v="-85930"/>
    <s v="Activo"/>
    <n v="-85930"/>
    <x v="1"/>
  </r>
  <r>
    <n v="2026"/>
    <n v="2"/>
    <s v="06-02-2026"/>
    <n v="7151"/>
    <s v="1101-03"/>
    <n v="0"/>
    <n v="79255"/>
    <s v="Pago f 7709 ascenty chile spa"/>
    <n v="-79255"/>
    <s v="Activo"/>
    <n v="-79255"/>
    <x v="1"/>
  </r>
  <r>
    <n v="2026"/>
    <n v="2"/>
    <s v="06-02-2026"/>
    <n v="7152"/>
    <s v="1101-03"/>
    <n v="0"/>
    <n v="78116"/>
    <s v="Pago f 4479 comercializadora torres y escobar spa"/>
    <n v="-78116"/>
    <s v="Activo"/>
    <n v="-78116"/>
    <x v="1"/>
  </r>
  <r>
    <n v="2026"/>
    <n v="2"/>
    <s v="06-02-2026"/>
    <n v="7153"/>
    <s v="1101-03"/>
    <n v="0"/>
    <n v="74599"/>
    <s v="Pago f 7644 ascenty chile spa"/>
    <n v="-74599"/>
    <s v="Activo"/>
    <n v="-74599"/>
    <x v="1"/>
  </r>
  <r>
    <n v="2026"/>
    <n v="2"/>
    <s v="06-02-2026"/>
    <n v="7154"/>
    <s v="1101-03"/>
    <n v="0"/>
    <n v="74599"/>
    <s v="Pago f 7643 ascenty chile spa"/>
    <n v="-74599"/>
    <s v="Activo"/>
    <n v="-74599"/>
    <x v="1"/>
  </r>
  <r>
    <n v="2026"/>
    <n v="2"/>
    <s v="06-02-2026"/>
    <n v="7155"/>
    <s v="1101-03"/>
    <n v="0"/>
    <n v="71400"/>
    <s v="Pago f 106 zettabyte spa"/>
    <n v="-71400"/>
    <s v="Activo"/>
    <n v="-71400"/>
    <x v="1"/>
  </r>
  <r>
    <n v="2026"/>
    <n v="2"/>
    <s v="06-02-2026"/>
    <n v="7156"/>
    <s v="1101-03"/>
    <n v="0"/>
    <n v="63001"/>
    <s v="Pago f 7640 ascenty chile spa"/>
    <n v="-63001"/>
    <s v="Activo"/>
    <n v="-63001"/>
    <x v="1"/>
  </r>
  <r>
    <n v="2026"/>
    <n v="2"/>
    <s v="06-02-2026"/>
    <n v="7157"/>
    <s v="1101-03"/>
    <n v="0"/>
    <n v="62876"/>
    <s v="Pago f 7642 ascenty chile spa"/>
    <n v="-62876"/>
    <s v="Activo"/>
    <n v="-62876"/>
    <x v="1"/>
  </r>
  <r>
    <n v="2026"/>
    <n v="2"/>
    <s v="06-02-2026"/>
    <n v="7158"/>
    <s v="1101-03"/>
    <n v="0"/>
    <n v="62813"/>
    <s v="Pago f 7641 ascenty chile spa"/>
    <n v="-62813"/>
    <s v="Activo"/>
    <n v="-62813"/>
    <x v="1"/>
  </r>
  <r>
    <n v="2026"/>
    <n v="2"/>
    <s v="06-02-2026"/>
    <n v="7159"/>
    <s v="1101-03"/>
    <n v="0"/>
    <n v="62688"/>
    <s v="Pago f 7639 ascenty chile spa"/>
    <n v="-62688"/>
    <s v="Activo"/>
    <n v="-62688"/>
    <x v="1"/>
  </r>
  <r>
    <n v="2026"/>
    <n v="2"/>
    <s v="06-02-2026"/>
    <n v="7160"/>
    <s v="1101-03"/>
    <n v="0"/>
    <n v="61792"/>
    <s v="Pago f 7804 ascenty chile spa"/>
    <n v="-61792"/>
    <s v="Activo"/>
    <n v="-61792"/>
    <x v="1"/>
  </r>
  <r>
    <n v="2026"/>
    <n v="2"/>
    <s v="06-02-2026"/>
    <n v="7161"/>
    <s v="1101-03"/>
    <n v="0"/>
    <n v="61792"/>
    <s v="Pago f 7805 ascenty chile spa"/>
    <n v="-61792"/>
    <s v="Activo"/>
    <n v="-61792"/>
    <x v="1"/>
  </r>
  <r>
    <n v="2026"/>
    <n v="2"/>
    <s v="06-02-2026"/>
    <n v="7162"/>
    <s v="1101-03"/>
    <n v="0"/>
    <n v="61792"/>
    <s v="Pago f 7806 ascenty chile spa"/>
    <n v="-61792"/>
    <s v="Activo"/>
    <n v="-61792"/>
    <x v="1"/>
  </r>
  <r>
    <n v="2026"/>
    <n v="2"/>
    <s v="06-02-2026"/>
    <n v="7163"/>
    <s v="1101-03"/>
    <n v="0"/>
    <n v="59796"/>
    <s v="Pago f 7803 ascenty chile spa"/>
    <n v="-59796"/>
    <s v="Activo"/>
    <n v="-59796"/>
    <x v="1"/>
  </r>
  <r>
    <n v="2026"/>
    <n v="2"/>
    <s v="06-02-2026"/>
    <n v="7164"/>
    <s v="1101-03"/>
    <n v="0"/>
    <n v="41650"/>
    <s v="Pago f 338 41650ingenieria y proyecto"/>
    <n v="-41650"/>
    <s v="Activo"/>
    <n v="-41650"/>
    <x v="1"/>
  </r>
  <r>
    <n v="2026"/>
    <n v="2"/>
    <s v="06-02-2026"/>
    <n v="7165"/>
    <s v="1101-03"/>
    <n v="0"/>
    <n v="30000"/>
    <s v="Pago bh 202 julio orlando chaparro cares"/>
    <n v="-30000"/>
    <s v="Activo"/>
    <n v="-30000"/>
    <x v="1"/>
  </r>
  <r>
    <n v="2026"/>
    <n v="2"/>
    <s v="06-02-2026"/>
    <n v="7166"/>
    <s v="1101-03"/>
    <n v="0"/>
    <n v="30000"/>
    <s v="Pago bh 201 julio orlando chaparro cares"/>
    <n v="-30000"/>
    <s v="Activo"/>
    <n v="-30000"/>
    <x v="1"/>
  </r>
  <r>
    <n v="2026"/>
    <n v="2"/>
    <s v="06-02-2026"/>
    <n v="7167"/>
    <s v="1101-03"/>
    <n v="0"/>
    <n v="10000"/>
    <s v="Compra ravanal y kuncar"/>
    <n v="-10000"/>
    <s v="Activo"/>
    <n v="-10000"/>
    <x v="1"/>
  </r>
  <r>
    <n v="2026"/>
    <n v="2"/>
    <s v="06-02-2026"/>
    <n v="11045"/>
    <s v="1101-03"/>
    <n v="6850500"/>
    <n v="0"/>
    <s v="0966893109 abn crd db tran transba"/>
    <n v="6850500"/>
    <s v="Activo"/>
    <n v="6850500"/>
    <x v="1"/>
  </r>
  <r>
    <n v="2026"/>
    <n v="2"/>
    <s v="06-02-2026"/>
    <n v="11046"/>
    <s v="1101-03"/>
    <n v="524660"/>
    <n v="0"/>
    <s v="0761872877 transf. khipu spa"/>
    <n v="524660"/>
    <s v="Activo"/>
    <n v="524660"/>
    <x v="1"/>
  </r>
  <r>
    <n v="2026"/>
    <n v="2"/>
    <s v="09-02-2026"/>
    <n v="11047"/>
    <s v="1101-03"/>
    <n v="5902653"/>
    <n v="0"/>
    <s v="0966893109 abn crd db tran transba"/>
    <n v="5902653"/>
    <s v="Activo"/>
    <n v="5902653"/>
    <x v="1"/>
  </r>
  <r>
    <n v="2026"/>
    <n v="2"/>
    <s v="09-02-2026"/>
    <n v="11048"/>
    <s v="1101-03"/>
    <n v="642605"/>
    <n v="0"/>
    <s v="0761872877 transf. khipu spa"/>
    <n v="642605"/>
    <s v="Activo"/>
    <n v="642605"/>
    <x v="1"/>
  </r>
  <r>
    <n v="2026"/>
    <n v="2"/>
    <s v="10-02-2026"/>
    <n v="7168"/>
    <s v="1101-03"/>
    <n v="0"/>
    <n v="1593490"/>
    <s v="Pago cuota crédito n 420021082928"/>
    <n v="-1593490"/>
    <s v="Activo"/>
    <n v="-1593490"/>
    <x v="1"/>
  </r>
  <r>
    <n v="2026"/>
    <n v="2"/>
    <s v="10-02-2026"/>
    <n v="7169"/>
    <s v="1101-03"/>
    <n v="0"/>
    <n v="1586311"/>
    <s v="Pago f 4835792 telefonica empresas chile s.a."/>
    <n v="-1586311"/>
    <s v="Activo"/>
    <n v="-1586311"/>
    <x v="1"/>
  </r>
  <r>
    <n v="2026"/>
    <n v="2"/>
    <s v="10-02-2026"/>
    <n v="7170"/>
    <s v="1101-03"/>
    <n v="0"/>
    <n v="268994"/>
    <s v="Pago en linea servipag"/>
    <n v="-268994"/>
    <s v="Activo"/>
    <n v="-268994"/>
    <x v="1"/>
  </r>
  <r>
    <n v="2026"/>
    <n v="2"/>
    <s v="10-02-2026"/>
    <n v="7171"/>
    <s v="1101-03"/>
    <n v="0"/>
    <n v="159468"/>
    <s v="Consumo electrico nodo algarrobo tlink mes de diciembre 2026"/>
    <n v="-159468"/>
    <s v="Activo"/>
    <n v="-159468"/>
    <x v="1"/>
  </r>
  <r>
    <n v="2026"/>
    <n v="2"/>
    <s v="10-02-2026"/>
    <n v="7172"/>
    <s v="1101-03"/>
    <n v="0"/>
    <n v="158198"/>
    <s v="Pago en linea servipag"/>
    <n v="-158198"/>
    <s v="Activo"/>
    <n v="-158198"/>
    <x v="1"/>
  </r>
  <r>
    <n v="2026"/>
    <n v="2"/>
    <s v="10-02-2026"/>
    <n v="7173"/>
    <s v="1101-03"/>
    <n v="0"/>
    <n v="128574"/>
    <s v="Consumo electrico nodo la cruz enero 2026 tlink"/>
    <n v="-128574"/>
    <s v="Activo"/>
    <n v="-128574"/>
    <x v="1"/>
  </r>
  <r>
    <n v="2026"/>
    <n v="2"/>
    <s v="10-02-2026"/>
    <n v="7174"/>
    <s v="1101-03"/>
    <n v="0"/>
    <n v="120000"/>
    <s v="Pago bh 93 soledad del carmen maldonado z"/>
    <n v="-120000"/>
    <s v="Activo"/>
    <n v="-120000"/>
    <x v="1"/>
  </r>
  <r>
    <n v="2026"/>
    <n v="2"/>
    <s v="10-02-2026"/>
    <n v="7175"/>
    <s v="1101-03"/>
    <n v="0"/>
    <n v="100800"/>
    <s v="Nodo padre hurtado consumo electrico mes enero"/>
    <n v="-100800"/>
    <s v="Activo"/>
    <n v="-100800"/>
    <x v="1"/>
  </r>
  <r>
    <n v="2026"/>
    <n v="2"/>
    <s v="10-02-2026"/>
    <n v="7176"/>
    <s v="1101-03"/>
    <n v="0"/>
    <n v="100000"/>
    <s v="0765406986 transf a t-link spa generico 176540698"/>
    <n v="-100000"/>
    <s v="Activo"/>
    <n v="-100000"/>
    <x v="1"/>
  </r>
  <r>
    <n v="2026"/>
    <n v="2"/>
    <s v="10-02-2026"/>
    <n v="7177"/>
    <s v="1101-03"/>
    <n v="0"/>
    <n v="90000"/>
    <s v="Pago bh 111 patrick adolfo lopez nunez"/>
    <n v="-90000"/>
    <s v="Activo"/>
    <n v="-90000"/>
    <x v="1"/>
  </r>
  <r>
    <n v="2026"/>
    <n v="2"/>
    <s v="10-02-2026"/>
    <n v="11049"/>
    <s v="1101-03"/>
    <n v="5628097"/>
    <n v="0"/>
    <s v="0966893109 abn crd db tran transba"/>
    <n v="5628097"/>
    <s v="Activo"/>
    <n v="5628097"/>
    <x v="1"/>
  </r>
  <r>
    <n v="2026"/>
    <n v="2"/>
    <s v="10-02-2026"/>
    <n v="11050"/>
    <s v="1101-03"/>
    <n v="279563"/>
    <n v="0"/>
    <s v="0761872877 transf. khipu spa"/>
    <n v="279563"/>
    <s v="Activo"/>
    <n v="279563"/>
    <x v="1"/>
  </r>
  <r>
    <n v="2026"/>
    <n v="2"/>
    <s v="11-02-2026"/>
    <n v="7178"/>
    <s v="1101-03"/>
    <n v="0"/>
    <n v="4255333"/>
    <s v="Pago f 6638 telxius cable chile s.a."/>
    <n v="-4255333"/>
    <s v="Activo"/>
    <n v="-4255333"/>
    <x v="1"/>
  </r>
  <r>
    <n v="2026"/>
    <n v="2"/>
    <s v="11-02-2026"/>
    <n v="7179"/>
    <s v="1101-03"/>
    <n v="0"/>
    <n v="2064049"/>
    <s v="Pago f 258 sociedad de inversiones straubing s.a."/>
    <n v="-2064049"/>
    <s v="Activo"/>
    <n v="-2064049"/>
    <x v="1"/>
  </r>
  <r>
    <n v="2026"/>
    <n v="2"/>
    <s v="11-02-2026"/>
    <n v="7180"/>
    <s v="1101-03"/>
    <n v="0"/>
    <n v="1999249"/>
    <s v="Pago cuota crédito n 420022371370"/>
    <n v="-1999249"/>
    <s v="Activo"/>
    <n v="-1999249"/>
    <x v="1"/>
  </r>
  <r>
    <n v="2026"/>
    <n v="2"/>
    <s v="11-02-2026"/>
    <n v="7181"/>
    <s v="1101-03"/>
    <n v="0"/>
    <n v="1297100"/>
    <s v="Pago f 343263 gama leasing operativo spa"/>
    <n v="-1297100"/>
    <s v="Activo"/>
    <n v="-1297100"/>
    <x v="1"/>
  </r>
  <r>
    <n v="2026"/>
    <n v="2"/>
    <s v="11-02-2026"/>
    <n v="7182"/>
    <s v="1101-03"/>
    <n v="0"/>
    <n v="751000"/>
    <s v="Pago f 9051 globalconnect spa"/>
    <n v="-751000"/>
    <s v="Activo"/>
    <n v="-751000"/>
    <x v="1"/>
  </r>
  <r>
    <n v="2026"/>
    <n v="2"/>
    <s v="11-02-2026"/>
    <n v="7183"/>
    <s v="1101-03"/>
    <n v="0"/>
    <n v="600000"/>
    <s v="Pago bh 112 patrick adolfo lopez nunez"/>
    <n v="-600000"/>
    <s v="Activo"/>
    <n v="-600000"/>
    <x v="1"/>
  </r>
  <r>
    <n v="2026"/>
    <n v="2"/>
    <s v="11-02-2026"/>
    <n v="7184"/>
    <s v="1101-03"/>
    <n v="0"/>
    <n v="259842"/>
    <s v="Pago f 9754 central sistemas spa"/>
    <n v="-259842"/>
    <s v="Activo"/>
    <n v="-259842"/>
    <x v="1"/>
  </r>
  <r>
    <n v="2026"/>
    <n v="2"/>
    <s v="11-02-2026"/>
    <n v="7185"/>
    <s v="1101-03"/>
    <n v="0"/>
    <n v="250000"/>
    <s v="Pago bh 99 matias alejandro henriquez tobar"/>
    <n v="-250000"/>
    <s v="Activo"/>
    <n v="-250000"/>
    <x v="1"/>
  </r>
  <r>
    <n v="2026"/>
    <n v="2"/>
    <s v="11-02-2026"/>
    <n v="7186"/>
    <s v="1101-03"/>
    <n v="0"/>
    <n v="250000"/>
    <s v="Pago bh 82 abraham issaac garate gonzalez"/>
    <n v="-250000"/>
    <s v="Activo"/>
    <n v="-250000"/>
    <x v="1"/>
  </r>
  <r>
    <n v="2026"/>
    <n v="2"/>
    <s v="11-02-2026"/>
    <n v="7187"/>
    <s v="1101-03"/>
    <n v="0"/>
    <n v="232092"/>
    <s v="Pago f 269398 buk spa"/>
    <n v="-232092"/>
    <s v="Activo"/>
    <n v="-232092"/>
    <x v="1"/>
  </r>
  <r>
    <n v="2026"/>
    <n v="2"/>
    <s v="11-02-2026"/>
    <n v="7188"/>
    <s v="1101-03"/>
    <n v="0"/>
    <n v="230435"/>
    <s v="Consumo electrico nodo casas del recuerdo tlink mes de enero 2026"/>
    <n v="-230435"/>
    <s v="Activo"/>
    <n v="-230435"/>
    <x v="1"/>
  </r>
  <r>
    <n v="2026"/>
    <n v="2"/>
    <s v="11-02-2026"/>
    <n v="7189"/>
    <s v="1101-03"/>
    <n v="0"/>
    <n v="218911"/>
    <s v="Pago f 11887480 dimerc sa"/>
    <n v="-218911"/>
    <s v="Activo"/>
    <n v="-218911"/>
    <x v="1"/>
  </r>
  <r>
    <n v="2026"/>
    <n v="2"/>
    <s v="11-02-2026"/>
    <n v="7190"/>
    <s v="1101-03"/>
    <n v="0"/>
    <n v="183817"/>
    <s v="Consumo electrico nodo aromos tlink mes de enero 2026 y diferencia 2025"/>
    <n v="-183817"/>
    <s v="Activo"/>
    <n v="-183817"/>
    <x v="1"/>
  </r>
  <r>
    <n v="2026"/>
    <n v="2"/>
    <s v="11-02-2026"/>
    <n v="7191"/>
    <s v="1101-03"/>
    <n v="0"/>
    <n v="134350"/>
    <s v="Consumo electrico nodo carampangue tlink mes de enero 2026"/>
    <n v="-134350"/>
    <s v="Activo"/>
    <n v="-134350"/>
    <x v="1"/>
  </r>
  <r>
    <n v="2026"/>
    <n v="2"/>
    <s v="11-02-2026"/>
    <n v="7192"/>
    <s v="1101-03"/>
    <n v="0"/>
    <n v="118399"/>
    <s v="Pago f 343344 gama leasing operativo spa"/>
    <n v="-118399"/>
    <s v="Activo"/>
    <n v="-118399"/>
    <x v="1"/>
  </r>
  <r>
    <n v="2026"/>
    <n v="2"/>
    <s v="11-02-2026"/>
    <n v="7193"/>
    <s v="1101-03"/>
    <n v="0"/>
    <n v="100791"/>
    <s v="Pago f 193072 regus management de chile limitada"/>
    <n v="-100791"/>
    <s v="Activo"/>
    <n v="-100791"/>
    <x v="1"/>
  </r>
  <r>
    <n v="2026"/>
    <n v="2"/>
    <s v="11-02-2026"/>
    <n v="7194"/>
    <s v="1101-03"/>
    <n v="0"/>
    <n v="90000"/>
    <s v="Pago bh 57 christian italo quezada pereir"/>
    <n v="-90000"/>
    <s v="Activo"/>
    <n v="-90000"/>
    <x v="1"/>
  </r>
  <r>
    <n v="2026"/>
    <n v="2"/>
    <s v="11-02-2026"/>
    <n v="7195"/>
    <s v="1101-03"/>
    <n v="0"/>
    <n v="90000"/>
    <s v="Pago bh 55 alejandro antonio ambiado oliv"/>
    <n v="-90000"/>
    <s v="Activo"/>
    <n v="-90000"/>
    <x v="1"/>
  </r>
  <r>
    <n v="2026"/>
    <n v="2"/>
    <s v="11-02-2026"/>
    <n v="11051"/>
    <s v="1101-03"/>
    <n v="3000000"/>
    <n v="0"/>
    <s v="0765406986 transf. itau 0207015225"/>
    <n v="3000000"/>
    <s v="Activo"/>
    <n v="3000000"/>
    <x v="1"/>
  </r>
  <r>
    <n v="2026"/>
    <n v="2"/>
    <s v="11-02-2026"/>
    <n v="11052"/>
    <s v="1101-03"/>
    <n v="1852299"/>
    <n v="0"/>
    <s v="0966893109 abn crd db tran transba"/>
    <n v="1852299"/>
    <s v="Activo"/>
    <n v="1852299"/>
    <x v="1"/>
  </r>
  <r>
    <n v="2026"/>
    <n v="2"/>
    <s v="11-02-2026"/>
    <n v="11053"/>
    <s v="1101-03"/>
    <n v="1155462"/>
    <n v="0"/>
    <s v="0765406986 transf. itau 0207015225"/>
    <n v="1155462"/>
    <s v="Activo"/>
    <n v="1155462"/>
    <x v="1"/>
  </r>
  <r>
    <n v="2026"/>
    <n v="2"/>
    <s v="11-02-2026"/>
    <n v="11054"/>
    <s v="1101-03"/>
    <n v="178758"/>
    <n v="0"/>
    <s v="0761872877 transf. khipu spa"/>
    <n v="178758"/>
    <s v="Activo"/>
    <n v="178758"/>
    <x v="1"/>
  </r>
  <r>
    <n v="2026"/>
    <n v="2"/>
    <s v="12-02-2026"/>
    <n v="7196"/>
    <s v="1101-03"/>
    <n v="0"/>
    <n v="500000"/>
    <s v="Pago f 30822871 copec s.a."/>
    <n v="-500000"/>
    <s v="Activo"/>
    <n v="-500000"/>
    <x v="1"/>
  </r>
  <r>
    <n v="2026"/>
    <n v="2"/>
    <s v="12-02-2026"/>
    <n v="7197"/>
    <s v="1101-03"/>
    <n v="0"/>
    <n v="357000"/>
    <s v="Pago f 2054 erika del carmen celis fernandez"/>
    <n v="-357000"/>
    <s v="Activo"/>
    <n v="-357000"/>
    <x v="1"/>
  </r>
  <r>
    <n v="2026"/>
    <n v="2"/>
    <s v="12-02-2026"/>
    <n v="7198"/>
    <s v="1101-03"/>
    <n v="0"/>
    <n v="150000"/>
    <s v="0765406986 transf a t-link spa generico 176540698"/>
    <n v="-150000"/>
    <s v="Activo"/>
    <n v="-150000"/>
    <x v="1"/>
  </r>
  <r>
    <n v="2026"/>
    <n v="2"/>
    <s v="12-02-2026"/>
    <n v="7199"/>
    <s v="1101-03"/>
    <n v="0"/>
    <n v="87790"/>
    <s v="Compra colacion"/>
    <n v="-87790"/>
    <s v="Activo"/>
    <n v="-87790"/>
    <x v="1"/>
  </r>
  <r>
    <n v="2026"/>
    <n v="2"/>
    <s v="12-02-2026"/>
    <n v="7200"/>
    <s v="1101-03"/>
    <n v="0"/>
    <n v="60000"/>
    <s v="Retiro basura basura"/>
    <n v="-60000"/>
    <s v="Activo"/>
    <n v="-60000"/>
    <x v="1"/>
  </r>
  <r>
    <n v="2026"/>
    <n v="2"/>
    <s v="12-02-2026"/>
    <n v="7201"/>
    <s v="1101-03"/>
    <n v="0"/>
    <n v="17750"/>
    <s v="Compra colacion"/>
    <n v="-17750"/>
    <s v="Activo"/>
    <n v="-17750"/>
    <x v="1"/>
  </r>
  <r>
    <n v="2026"/>
    <n v="2"/>
    <s v="12-02-2026"/>
    <n v="11055"/>
    <s v="1101-03"/>
    <n v="9753043"/>
    <n v="0"/>
    <s v="0966893109 abn crd db tran transba"/>
    <n v="9753043"/>
    <s v="Activo"/>
    <n v="9753043"/>
    <x v="1"/>
  </r>
  <r>
    <n v="2026"/>
    <n v="2"/>
    <s v="12-02-2026"/>
    <n v="11056"/>
    <s v="1101-03"/>
    <n v="1532136"/>
    <n v="0"/>
    <s v="0761872877 transf. khipu spa"/>
    <n v="1532136"/>
    <s v="Activo"/>
    <n v="1532136"/>
    <x v="1"/>
  </r>
  <r>
    <n v="2026"/>
    <n v="2"/>
    <s v="12-02-2026"/>
    <n v="11057"/>
    <s v="1101-03"/>
    <n v="500000"/>
    <n v="0"/>
    <s v="0765406986 transf. itau 0207015225"/>
    <n v="500000"/>
    <s v="Activo"/>
    <n v="500000"/>
    <x v="1"/>
  </r>
  <r>
    <n v="2026"/>
    <n v="2"/>
    <s v="13-02-2026"/>
    <n v="7202"/>
    <s v="1101-03"/>
    <n v="0"/>
    <n v="800000"/>
    <s v="Rodrigo bernar anticipo mes de febrero 2026 tlink"/>
    <n v="-800000"/>
    <s v="Activo"/>
    <n v="-800000"/>
    <x v="1"/>
  </r>
  <r>
    <n v="2026"/>
    <n v="2"/>
    <s v="13-02-2026"/>
    <n v="7203"/>
    <s v="1101-03"/>
    <n v="0"/>
    <n v="535500"/>
    <s v="Pago f 1572 cinthya margarita catalan pizarro"/>
    <n v="-535500"/>
    <s v="Activo"/>
    <n v="-535500"/>
    <x v="1"/>
  </r>
  <r>
    <n v="2026"/>
    <n v="2"/>
    <s v="13-02-2026"/>
    <n v="7204"/>
    <s v="1101-03"/>
    <n v="0"/>
    <n v="130000"/>
    <s v="0765406986 transf a t-link spa generico 176540698"/>
    <n v="-130000"/>
    <s v="Activo"/>
    <n v="-130000"/>
    <x v="1"/>
  </r>
  <r>
    <n v="2026"/>
    <n v="2"/>
    <s v="13-02-2026"/>
    <n v="7205"/>
    <s v="1101-03"/>
    <n v="0"/>
    <n v="104720"/>
    <s v="Pago f 1568 cinthya margarita catalan pizarro"/>
    <n v="-104720"/>
    <s v="Activo"/>
    <n v="-104720"/>
    <x v="1"/>
  </r>
  <r>
    <n v="2026"/>
    <n v="2"/>
    <s v="13-02-2026"/>
    <n v="11058"/>
    <s v="1101-03"/>
    <n v="8862918"/>
    <n v="0"/>
    <s v="0966893109 abn crd db tran transba"/>
    <n v="8862918"/>
    <s v="Activo"/>
    <n v="8862918"/>
    <x v="1"/>
  </r>
  <r>
    <n v="2026"/>
    <n v="2"/>
    <s v="13-02-2026"/>
    <n v="11059"/>
    <s v="1101-03"/>
    <n v="5000000"/>
    <n v="0"/>
    <s v="0765406986 transf. itau 0207015225"/>
    <n v="5000000"/>
    <s v="Activo"/>
    <n v="5000000"/>
    <x v="1"/>
  </r>
  <r>
    <n v="2026"/>
    <n v="2"/>
    <s v="13-02-2026"/>
    <n v="11060"/>
    <s v="1101-03"/>
    <n v="71105"/>
    <n v="0"/>
    <s v="0761872877 transf. khipu spa"/>
    <n v="71105"/>
    <s v="Activo"/>
    <n v="71105"/>
    <x v="1"/>
  </r>
  <r>
    <n v="2026"/>
    <n v="2"/>
    <s v="16-02-2026"/>
    <n v="7105"/>
    <s v="1101-03"/>
    <n v="0"/>
    <n v="418569"/>
    <s v="Pago previred enero"/>
    <n v="-418569"/>
    <s v="Activo"/>
    <n v="-418569"/>
    <x v="1"/>
  </r>
  <r>
    <n v="2026"/>
    <n v="2"/>
    <s v="16-02-2026"/>
    <n v="7206"/>
    <s v="1101-03"/>
    <n v="0"/>
    <n v="5000000"/>
    <s v="0765406986 transf. itau 0207015225"/>
    <n v="-5000000"/>
    <s v="Activo"/>
    <n v="-5000000"/>
    <x v="1"/>
  </r>
  <r>
    <n v="2026"/>
    <n v="2"/>
    <s v="16-02-2026"/>
    <n v="7207"/>
    <s v="1101-03"/>
    <n v="0"/>
    <n v="5000000"/>
    <s v="0765406986 transf. itau 0207015225"/>
    <n v="-5000000"/>
    <s v="Activo"/>
    <n v="-5000000"/>
    <x v="1"/>
  </r>
  <r>
    <n v="2026"/>
    <n v="2"/>
    <s v="16-02-2026"/>
    <n v="7208"/>
    <s v="1101-03"/>
    <n v="0"/>
    <n v="5000000"/>
    <s v="0765406986 transf. itau 0207015225"/>
    <n v="-5000000"/>
    <s v="Activo"/>
    <n v="-5000000"/>
    <x v="1"/>
  </r>
  <r>
    <n v="2026"/>
    <n v="2"/>
    <s v="16-02-2026"/>
    <n v="7209"/>
    <s v="1101-03"/>
    <n v="0"/>
    <n v="3500000"/>
    <s v="0774344497 transf a botsch spa"/>
    <n v="-3500000"/>
    <s v="Activo"/>
    <n v="-3500000"/>
    <x v="1"/>
  </r>
  <r>
    <n v="2026"/>
    <n v="2"/>
    <s v="16-02-2026"/>
    <n v="7210"/>
    <s v="1101-03"/>
    <n v="0"/>
    <n v="2000000"/>
    <s v="0774344497 transf a botsch spa"/>
    <n v="-2000000"/>
    <s v="Activo"/>
    <n v="-2000000"/>
    <x v="1"/>
  </r>
  <r>
    <n v="2026"/>
    <n v="2"/>
    <s v="16-02-2026"/>
    <n v="7211"/>
    <s v="1101-03"/>
    <n v="0"/>
    <n v="1939700"/>
    <s v="Pago f 642 hayex technology spa"/>
    <n v="-1939700"/>
    <s v="Activo"/>
    <n v="-1939700"/>
    <x v="1"/>
  </r>
  <r>
    <n v="2026"/>
    <n v="2"/>
    <s v="16-02-2026"/>
    <n v="7212"/>
    <s v="1101-03"/>
    <n v="0"/>
    <n v="1010728"/>
    <s v="Pago f 404001 tecnologia lk spa"/>
    <n v="-1010728"/>
    <s v="Activo"/>
    <n v="-1010728"/>
    <x v="1"/>
  </r>
  <r>
    <n v="2026"/>
    <n v="2"/>
    <s v="16-02-2026"/>
    <n v="7213"/>
    <s v="1101-03"/>
    <n v="0"/>
    <n v="1000000"/>
    <s v="Traspaso internet a t. crédito santander 6647"/>
    <n v="-1000000"/>
    <s v="Activo"/>
    <n v="-1000000"/>
    <x v="1"/>
  </r>
  <r>
    <n v="2026"/>
    <n v="2"/>
    <s v="16-02-2026"/>
    <n v="7214"/>
    <s v="1101-03"/>
    <n v="0"/>
    <n v="781235"/>
    <s v="Pago f 400969 tecnologia lk spa"/>
    <n v="-781235"/>
    <s v="Activo"/>
    <n v="-781235"/>
    <x v="1"/>
  </r>
  <r>
    <n v="2026"/>
    <n v="2"/>
    <s v="16-02-2026"/>
    <n v="7215"/>
    <s v="1101-03"/>
    <n v="0"/>
    <n v="733199"/>
    <s v="Pago f 24719 enertik chile spa"/>
    <n v="-733199"/>
    <s v="Activo"/>
    <n v="-733199"/>
    <x v="1"/>
  </r>
  <r>
    <n v="2026"/>
    <n v="2"/>
    <s v="16-02-2026"/>
    <n v="7216"/>
    <s v="1101-03"/>
    <n v="0"/>
    <n v="338508"/>
    <s v="Pago f 401011 tecnologia lk spa"/>
    <n v="-338508"/>
    <s v="Activo"/>
    <n v="-338508"/>
    <x v="1"/>
  </r>
  <r>
    <n v="2026"/>
    <n v="2"/>
    <s v="16-02-2026"/>
    <n v="7217"/>
    <s v="1101-03"/>
    <n v="0"/>
    <n v="120000"/>
    <s v="Pago bh 94 soledad del carmen maldonado z"/>
    <n v="-120000"/>
    <s v="Activo"/>
    <n v="-120000"/>
    <x v="1"/>
  </r>
  <r>
    <n v="2026"/>
    <n v="2"/>
    <s v="16-02-2026"/>
    <n v="7218"/>
    <s v="1101-03"/>
    <n v="0"/>
    <n v="70853"/>
    <s v="Pago f 332 mdd soluciones spa"/>
    <n v="-70853"/>
    <s v="Activo"/>
    <n v="-70853"/>
    <x v="1"/>
  </r>
  <r>
    <n v="2026"/>
    <n v="2"/>
    <s v="16-02-2026"/>
    <n v="11061"/>
    <s v="1101-03"/>
    <n v="3500000"/>
    <n v="0"/>
    <s v="0765406986 transf. itau 0207015225"/>
    <n v="3500000"/>
    <s v="Activo"/>
    <n v="3500000"/>
    <x v="1"/>
  </r>
  <r>
    <n v="2026"/>
    <n v="2"/>
    <s v="16-02-2026"/>
    <n v="11062"/>
    <s v="1101-03"/>
    <n v="2846777"/>
    <n v="0"/>
    <s v="0966893109 abn crd db tran transba"/>
    <n v="2846777"/>
    <s v="Activo"/>
    <n v="2846777"/>
    <x v="1"/>
  </r>
  <r>
    <n v="2026"/>
    <n v="2"/>
    <s v="16-02-2026"/>
    <n v="11063"/>
    <s v="1101-03"/>
    <n v="529485"/>
    <n v="0"/>
    <s v="0761872877 transf. khipu spa"/>
    <n v="529485"/>
    <s v="Activo"/>
    <n v="529485"/>
    <x v="1"/>
  </r>
  <r>
    <n v="2026"/>
    <n v="2"/>
    <s v="17-02-2026"/>
    <n v="7219"/>
    <s v="1101-03"/>
    <n v="0"/>
    <n v="300000"/>
    <s v="Pago f 30501304 copec s.a."/>
    <n v="-300000"/>
    <s v="Activo"/>
    <n v="-300000"/>
    <x v="1"/>
  </r>
  <r>
    <n v="2026"/>
    <n v="2"/>
    <s v="17-02-2026"/>
    <n v="7220"/>
    <s v="1101-03"/>
    <n v="0"/>
    <n v="270000"/>
    <s v="0765406986 transf a t-link spa generico 176540698"/>
    <n v="-270000"/>
    <s v="Activo"/>
    <n v="-270000"/>
    <x v="1"/>
  </r>
  <r>
    <n v="2026"/>
    <n v="2"/>
    <s v="17-02-2026"/>
    <n v="11064"/>
    <s v="1101-03"/>
    <n v="6939358"/>
    <n v="0"/>
    <s v="0966893109 abn crd db tran transba"/>
    <n v="6939358"/>
    <s v="Activo"/>
    <n v="6939358"/>
    <x v="1"/>
  </r>
  <r>
    <n v="2026"/>
    <n v="2"/>
    <s v="17-02-2026"/>
    <n v="11065"/>
    <s v="1101-03"/>
    <n v="551752"/>
    <n v="0"/>
    <s v="0761872877 transf. khipu spa"/>
    <n v="551752"/>
    <s v="Activo"/>
    <n v="551752"/>
    <x v="1"/>
  </r>
  <r>
    <n v="2026"/>
    <n v="2"/>
    <s v="18-02-2026"/>
    <n v="11066"/>
    <s v="1101-03"/>
    <n v="6284324"/>
    <n v="0"/>
    <s v="0966893109 abn crd db tran transba"/>
    <n v="6284324"/>
    <s v="Activo"/>
    <n v="6284324"/>
    <x v="1"/>
  </r>
  <r>
    <n v="2026"/>
    <n v="2"/>
    <s v="18-02-2026"/>
    <n v="11067"/>
    <s v="1101-03"/>
    <n v="325027"/>
    <n v="0"/>
    <s v="0761872877 transf. khipu spa"/>
    <n v="325027"/>
    <s v="Activo"/>
    <n v="325027"/>
    <x v="1"/>
  </r>
  <r>
    <n v="2026"/>
    <n v="2"/>
    <s v="19-02-2026"/>
    <n v="7221"/>
    <s v="1101-03"/>
    <n v="0"/>
    <n v="30656670"/>
    <s v="Pago f29 enero"/>
    <n v="-30656670"/>
    <s v="Activo"/>
    <n v="-30656670"/>
    <x v="1"/>
  </r>
  <r>
    <n v="2026"/>
    <n v="2"/>
    <s v="19-02-2026"/>
    <n v="11068"/>
    <s v="1101-03"/>
    <n v="5000000"/>
    <n v="0"/>
    <s v="0765406986 transf. itau 0207015225"/>
    <n v="5000000"/>
    <s v="Activo"/>
    <n v="5000000"/>
    <x v="1"/>
  </r>
  <r>
    <n v="2026"/>
    <n v="2"/>
    <s v="19-02-2026"/>
    <n v="11069"/>
    <s v="1101-03"/>
    <n v="5000000"/>
    <n v="0"/>
    <s v="0765406986 transf. itau 0207015225"/>
    <n v="5000000"/>
    <s v="Activo"/>
    <n v="5000000"/>
    <x v="1"/>
  </r>
  <r>
    <n v="2026"/>
    <n v="2"/>
    <s v="19-02-2026"/>
    <n v="11070"/>
    <s v="1101-03"/>
    <n v="4934090"/>
    <n v="0"/>
    <s v="0966893109 abn crd db tran transba"/>
    <n v="4934090"/>
    <s v="Activo"/>
    <n v="4934090"/>
    <x v="1"/>
  </r>
  <r>
    <n v="2026"/>
    <n v="2"/>
    <s v="19-02-2026"/>
    <n v="11071"/>
    <s v="1101-03"/>
    <n v="3000000"/>
    <n v="0"/>
    <s v="0765406986 transf. itau 0207015225"/>
    <n v="3000000"/>
    <s v="Activo"/>
    <n v="3000000"/>
    <x v="1"/>
  </r>
  <r>
    <n v="2026"/>
    <n v="2"/>
    <s v="19-02-2026"/>
    <n v="11072"/>
    <s v="1101-03"/>
    <n v="191662"/>
    <n v="0"/>
    <s v="0761872877 transf. khipu spa"/>
    <n v="191662"/>
    <s v="Activo"/>
    <n v="191662"/>
    <x v="1"/>
  </r>
  <r>
    <n v="2026"/>
    <n v="2"/>
    <s v="20-02-2026"/>
    <n v="7222"/>
    <s v="1101-03"/>
    <n v="0"/>
    <n v="300000"/>
    <s v="Pago f 30501304 copec s.a."/>
    <n v="-300000"/>
    <s v="Activo"/>
    <n v="-300000"/>
    <x v="1"/>
  </r>
  <r>
    <n v="2026"/>
    <n v="2"/>
    <s v="20-02-2026"/>
    <n v="11073"/>
    <s v="1101-03"/>
    <n v="3171945"/>
    <n v="0"/>
    <s v="0966893109 abn crd db tran transba"/>
    <n v="3171945"/>
    <s v="Activo"/>
    <n v="3171945"/>
    <x v="1"/>
  </r>
  <r>
    <n v="2026"/>
    <n v="2"/>
    <s v="20-02-2026"/>
    <n v="11074"/>
    <s v="1101-03"/>
    <n v="73080"/>
    <n v="0"/>
    <s v="0761872877 transf. khipu spa"/>
    <n v="73080"/>
    <s v="Activo"/>
    <n v="73080"/>
    <x v="1"/>
  </r>
  <r>
    <n v="2026"/>
    <n v="2"/>
    <s v="23-02-2026"/>
    <n v="7223"/>
    <s v="1101-03"/>
    <n v="0"/>
    <n v="5000000"/>
    <s v="0774344497 transf a botsch spa"/>
    <n v="-5000000"/>
    <s v="Activo"/>
    <n v="-5000000"/>
    <x v="1"/>
  </r>
  <r>
    <n v="2026"/>
    <n v="2"/>
    <s v="23-02-2026"/>
    <n v="7224"/>
    <s v="1101-03"/>
    <n v="0"/>
    <n v="5000000"/>
    <s v="0774344497 transf a botsch spa"/>
    <n v="-5000000"/>
    <s v="Activo"/>
    <n v="-5000000"/>
    <x v="1"/>
  </r>
  <r>
    <n v="2026"/>
    <n v="2"/>
    <s v="23-02-2026"/>
    <n v="7225"/>
    <s v="1101-03"/>
    <n v="0"/>
    <n v="5000000"/>
    <s v="0774344497 transf a botsch spa"/>
    <n v="-5000000"/>
    <s v="Activo"/>
    <n v="-5000000"/>
    <x v="1"/>
  </r>
  <r>
    <n v="2026"/>
    <n v="2"/>
    <s v="23-02-2026"/>
    <n v="7226"/>
    <s v="1101-03"/>
    <n v="0"/>
    <n v="5000000"/>
    <s v="0774344497 transf a botsch spa"/>
    <n v="-5000000"/>
    <s v="Activo"/>
    <n v="-5000000"/>
    <x v="1"/>
  </r>
  <r>
    <n v="2026"/>
    <n v="2"/>
    <s v="23-02-2026"/>
    <n v="7227"/>
    <s v="1101-03"/>
    <n v="0"/>
    <n v="5000000"/>
    <s v="0774344497 transf a botsch spa"/>
    <n v="-5000000"/>
    <s v="Activo"/>
    <n v="-5000000"/>
    <x v="1"/>
  </r>
  <r>
    <n v="2026"/>
    <n v="2"/>
    <s v="23-02-2026"/>
    <n v="7228"/>
    <s v="1101-03"/>
    <n v="0"/>
    <n v="5000000"/>
    <s v="0774344497 transf a botsch spa"/>
    <n v="-5000000"/>
    <s v="Activo"/>
    <n v="-5000000"/>
    <x v="1"/>
  </r>
  <r>
    <n v="2026"/>
    <n v="2"/>
    <s v="23-02-2026"/>
    <n v="7229"/>
    <s v="1101-03"/>
    <n v="0"/>
    <n v="5000000"/>
    <s v="0774344497 transf a botsch spa"/>
    <n v="-5000000"/>
    <s v="Activo"/>
    <n v="-5000000"/>
    <x v="1"/>
  </r>
  <r>
    <n v="2026"/>
    <n v="2"/>
    <s v="23-02-2026"/>
    <n v="7230"/>
    <s v="1101-03"/>
    <n v="0"/>
    <n v="5000000"/>
    <s v="0774344497 transf a botsch spa"/>
    <n v="-5000000"/>
    <s v="Activo"/>
    <n v="-5000000"/>
    <x v="1"/>
  </r>
  <r>
    <n v="2026"/>
    <n v="2"/>
    <s v="23-02-2026"/>
    <n v="7231"/>
    <s v="1101-03"/>
    <n v="0"/>
    <n v="5000000"/>
    <s v="0774344497 transf a botsch spa"/>
    <n v="-5000000"/>
    <s v="Activo"/>
    <n v="-5000000"/>
    <x v="1"/>
  </r>
  <r>
    <n v="2026"/>
    <n v="2"/>
    <s v="23-02-2026"/>
    <n v="7232"/>
    <s v="1101-03"/>
    <n v="0"/>
    <n v="5000000"/>
    <s v="0774344497 transf a botsch spa"/>
    <n v="-5000000"/>
    <s v="Activo"/>
    <n v="-5000000"/>
    <x v="1"/>
  </r>
  <r>
    <n v="2026"/>
    <n v="2"/>
    <s v="23-02-2026"/>
    <n v="7233"/>
    <s v="1101-03"/>
    <n v="0"/>
    <n v="5000000"/>
    <s v="0774344497 transf a botsch spa"/>
    <n v="-5000000"/>
    <s v="Activo"/>
    <n v="-5000000"/>
    <x v="1"/>
  </r>
  <r>
    <n v="2026"/>
    <n v="2"/>
    <s v="23-02-2026"/>
    <n v="7234"/>
    <s v="1101-03"/>
    <n v="0"/>
    <n v="5000000"/>
    <s v="0774344497 transf a botsch spa"/>
    <n v="-5000000"/>
    <s v="Activo"/>
    <n v="-5000000"/>
    <x v="1"/>
  </r>
  <r>
    <n v="2026"/>
    <n v="2"/>
    <s v="23-02-2026"/>
    <n v="7235"/>
    <s v="1101-03"/>
    <n v="0"/>
    <n v="5000000"/>
    <s v="0774344497 transf a botsch spa"/>
    <n v="-5000000"/>
    <s v="Activo"/>
    <n v="-5000000"/>
    <x v="1"/>
  </r>
  <r>
    <n v="2026"/>
    <n v="2"/>
    <s v="23-02-2026"/>
    <n v="7236"/>
    <s v="1101-03"/>
    <n v="0"/>
    <n v="5000000"/>
    <s v="0774344497 transf a botsch spa"/>
    <n v="-5000000"/>
    <s v="Activo"/>
    <n v="-5000000"/>
    <x v="1"/>
  </r>
  <r>
    <n v="2026"/>
    <n v="2"/>
    <s v="23-02-2026"/>
    <n v="7237"/>
    <s v="1101-03"/>
    <n v="0"/>
    <n v="5000000"/>
    <s v="0774344497 transf a botsch spa"/>
    <n v="-5000000"/>
    <s v="Activo"/>
    <n v="-5000000"/>
    <x v="1"/>
  </r>
  <r>
    <n v="2026"/>
    <n v="2"/>
    <s v="23-02-2026"/>
    <n v="7238"/>
    <s v="1101-03"/>
    <n v="0"/>
    <n v="5000000"/>
    <s v="0774344497 transf a botsch spa"/>
    <n v="-5000000"/>
    <s v="Activo"/>
    <n v="-5000000"/>
    <x v="1"/>
  </r>
  <r>
    <n v="2026"/>
    <n v="2"/>
    <s v="23-02-2026"/>
    <n v="7239"/>
    <s v="1101-03"/>
    <n v="0"/>
    <n v="5000000"/>
    <s v="0774344497 transf a botsch spa"/>
    <n v="-5000000"/>
    <s v="Activo"/>
    <n v="-5000000"/>
    <x v="1"/>
  </r>
  <r>
    <n v="2026"/>
    <n v="2"/>
    <s v="23-02-2026"/>
    <n v="7240"/>
    <s v="1101-03"/>
    <n v="0"/>
    <n v="5000000"/>
    <s v="0774344497 transf a botsch spa"/>
    <n v="-5000000"/>
    <s v="Activo"/>
    <n v="-5000000"/>
    <x v="1"/>
  </r>
  <r>
    <n v="2026"/>
    <n v="2"/>
    <s v="23-02-2026"/>
    <n v="7241"/>
    <s v="1101-03"/>
    <n v="0"/>
    <n v="5000000"/>
    <s v="0774344497 transf a botsch spa"/>
    <n v="-5000000"/>
    <s v="Activo"/>
    <n v="-5000000"/>
    <x v="1"/>
  </r>
  <r>
    <n v="2026"/>
    <n v="2"/>
    <s v="23-02-2026"/>
    <n v="7242"/>
    <s v="1101-03"/>
    <n v="0"/>
    <n v="4879958"/>
    <s v="Pago cuota crédito n 420050694789"/>
    <n v="-4879958"/>
    <s v="Activo"/>
    <n v="-4879958"/>
    <x v="1"/>
  </r>
  <r>
    <n v="2026"/>
    <n v="2"/>
    <s v="23-02-2026"/>
    <n v="7243"/>
    <s v="1101-03"/>
    <n v="0"/>
    <n v="2729343"/>
    <s v="0774344497 transf a botsch spa"/>
    <n v="-2729343"/>
    <s v="Activo"/>
    <n v="-2729343"/>
    <x v="1"/>
  </r>
  <r>
    <n v="2026"/>
    <n v="2"/>
    <s v="23-02-2026"/>
    <n v="7244"/>
    <s v="1101-03"/>
    <n v="0"/>
    <n v="2000000"/>
    <s v="Traspaso internet a t. crédito santander 6647"/>
    <n v="-2000000"/>
    <s v="Activo"/>
    <n v="-2000000"/>
    <x v="1"/>
  </r>
  <r>
    <n v="2026"/>
    <n v="2"/>
    <s v="23-02-2026"/>
    <n v="11075"/>
    <s v="1101-03"/>
    <n v="5000000"/>
    <n v="0"/>
    <s v="0765406986 transf. bco estado 347"/>
    <n v="5000000"/>
    <s v="Activo"/>
    <n v="5000000"/>
    <x v="1"/>
  </r>
  <r>
    <n v="2026"/>
    <n v="2"/>
    <s v="23-02-2026"/>
    <n v="11076"/>
    <s v="1101-03"/>
    <n v="5000000"/>
    <n v="0"/>
    <s v="0765406986 transf. bco estado 347"/>
    <n v="5000000"/>
    <s v="Activo"/>
    <n v="5000000"/>
    <x v="1"/>
  </r>
  <r>
    <n v="2026"/>
    <n v="2"/>
    <s v="23-02-2026"/>
    <n v="11077"/>
    <s v="1101-03"/>
    <n v="5000000"/>
    <n v="0"/>
    <s v="0765406986 transf. itau 0207015225"/>
    <n v="5000000"/>
    <s v="Activo"/>
    <n v="5000000"/>
    <x v="1"/>
  </r>
  <r>
    <n v="2026"/>
    <n v="2"/>
    <s v="23-02-2026"/>
    <n v="11078"/>
    <s v="1101-03"/>
    <n v="5000000"/>
    <n v="0"/>
    <s v="0765406986 transf. bco estado 347"/>
    <n v="5000000"/>
    <s v="Activo"/>
    <n v="5000000"/>
    <x v="1"/>
  </r>
  <r>
    <n v="2026"/>
    <n v="2"/>
    <s v="23-02-2026"/>
    <n v="11079"/>
    <s v="1101-03"/>
    <n v="5000000"/>
    <n v="0"/>
    <s v="0765406986 transf. bco estado 347"/>
    <n v="5000000"/>
    <s v="Activo"/>
    <n v="5000000"/>
    <x v="1"/>
  </r>
  <r>
    <n v="2026"/>
    <n v="2"/>
    <s v="23-02-2026"/>
    <n v="11080"/>
    <s v="1101-03"/>
    <n v="5000000"/>
    <n v="0"/>
    <s v="0765406986 transf. itau 0207015225"/>
    <n v="5000000"/>
    <s v="Activo"/>
    <n v="5000000"/>
    <x v="1"/>
  </r>
  <r>
    <n v="2026"/>
    <n v="2"/>
    <s v="23-02-2026"/>
    <n v="11081"/>
    <s v="1101-03"/>
    <n v="5000000"/>
    <n v="0"/>
    <s v="0765406986 transf. itau 0207015225"/>
    <n v="5000000"/>
    <s v="Activo"/>
    <n v="5000000"/>
    <x v="1"/>
  </r>
  <r>
    <n v="2026"/>
    <n v="2"/>
    <s v="23-02-2026"/>
    <n v="11082"/>
    <s v="1101-03"/>
    <n v="5000000"/>
    <n v="0"/>
    <s v="0765406986 transf. itau 0207015225"/>
    <n v="5000000"/>
    <s v="Activo"/>
    <n v="5000000"/>
    <x v="1"/>
  </r>
  <r>
    <n v="2026"/>
    <n v="2"/>
    <s v="23-02-2026"/>
    <n v="11083"/>
    <s v="1101-03"/>
    <n v="5000000"/>
    <n v="0"/>
    <s v="0765406986 transf. itau 0207015225"/>
    <n v="5000000"/>
    <s v="Activo"/>
    <n v="5000000"/>
    <x v="1"/>
  </r>
  <r>
    <n v="2026"/>
    <n v="2"/>
    <s v="23-02-2026"/>
    <n v="11084"/>
    <s v="1101-03"/>
    <n v="5000000"/>
    <n v="0"/>
    <s v="0765406986 transf. itau 0207015225"/>
    <n v="5000000"/>
    <s v="Activo"/>
    <n v="5000000"/>
    <x v="1"/>
  </r>
  <r>
    <n v="2026"/>
    <n v="2"/>
    <s v="23-02-2026"/>
    <n v="11085"/>
    <s v="1101-03"/>
    <n v="5000000"/>
    <n v="0"/>
    <s v="0765406986 transf. itau 0207015225"/>
    <n v="5000000"/>
    <s v="Activo"/>
    <n v="5000000"/>
    <x v="1"/>
  </r>
  <r>
    <n v="2026"/>
    <n v="2"/>
    <s v="23-02-2026"/>
    <n v="11086"/>
    <s v="1101-03"/>
    <n v="5000000"/>
    <n v="0"/>
    <s v="0765406986 transf. itau 0207015225"/>
    <n v="5000000"/>
    <s v="Activo"/>
    <n v="5000000"/>
    <x v="1"/>
  </r>
  <r>
    <n v="2026"/>
    <n v="2"/>
    <s v="23-02-2026"/>
    <n v="11087"/>
    <s v="1101-03"/>
    <n v="5000000"/>
    <n v="0"/>
    <s v="0765406986 transf. itau 0207015225"/>
    <n v="5000000"/>
    <s v="Activo"/>
    <n v="5000000"/>
    <x v="1"/>
  </r>
  <r>
    <n v="2026"/>
    <n v="2"/>
    <s v="23-02-2026"/>
    <n v="11088"/>
    <s v="1101-03"/>
    <n v="5000000"/>
    <n v="0"/>
    <s v="0765406986 transf. itau 0207015225"/>
    <n v="5000000"/>
    <s v="Activo"/>
    <n v="5000000"/>
    <x v="1"/>
  </r>
  <r>
    <n v="2026"/>
    <n v="2"/>
    <s v="23-02-2026"/>
    <n v="11089"/>
    <s v="1101-03"/>
    <n v="5000000"/>
    <n v="0"/>
    <s v="0765406986 transf. itau 0207015225"/>
    <n v="5000000"/>
    <s v="Activo"/>
    <n v="5000000"/>
    <x v="1"/>
  </r>
  <r>
    <n v="2026"/>
    <n v="2"/>
    <s v="23-02-2026"/>
    <n v="11090"/>
    <s v="1101-03"/>
    <n v="5000000"/>
    <n v="0"/>
    <s v="0765406986 transf. itau 0207015225"/>
    <n v="5000000"/>
    <s v="Activo"/>
    <n v="5000000"/>
    <x v="1"/>
  </r>
  <r>
    <n v="2026"/>
    <n v="2"/>
    <s v="23-02-2026"/>
    <n v="11091"/>
    <s v="1101-03"/>
    <n v="5000000"/>
    <n v="0"/>
    <s v="0765406986 transf. itau 0207015225"/>
    <n v="5000000"/>
    <s v="Activo"/>
    <n v="5000000"/>
    <x v="1"/>
  </r>
  <r>
    <n v="2026"/>
    <n v="2"/>
    <s v="23-02-2026"/>
    <n v="11092"/>
    <s v="1101-03"/>
    <n v="5000000"/>
    <n v="0"/>
    <s v="0765406986 transf. itau 0207015225"/>
    <n v="5000000"/>
    <s v="Activo"/>
    <n v="5000000"/>
    <x v="1"/>
  </r>
  <r>
    <n v="2026"/>
    <n v="2"/>
    <s v="23-02-2026"/>
    <n v="11093"/>
    <s v="1101-03"/>
    <n v="5000000"/>
    <n v="0"/>
    <s v="0765406986 transf. itau 0207015225"/>
    <n v="5000000"/>
    <s v="Activo"/>
    <n v="5000000"/>
    <x v="1"/>
  </r>
  <r>
    <n v="2026"/>
    <n v="2"/>
    <s v="23-02-2026"/>
    <n v="11094"/>
    <s v="1101-03"/>
    <n v="4000000"/>
    <n v="0"/>
    <s v="0765406986 transf. itau 0207015225"/>
    <n v="4000000"/>
    <s v="Activo"/>
    <n v="4000000"/>
    <x v="1"/>
  </r>
  <r>
    <n v="2026"/>
    <n v="2"/>
    <s v="23-02-2026"/>
    <n v="11095"/>
    <s v="1101-03"/>
    <n v="1317469"/>
    <n v="0"/>
    <s v="0966893109 abn crd db tran transba"/>
    <n v="1317469"/>
    <s v="Activo"/>
    <n v="1317469"/>
    <x v="1"/>
  </r>
  <r>
    <n v="2026"/>
    <n v="2"/>
    <s v="23-02-2026"/>
    <n v="11096"/>
    <s v="1101-03"/>
    <n v="67151"/>
    <n v="0"/>
    <s v="0761872877 transf. khipu spa"/>
    <n v="67151"/>
    <s v="Activo"/>
    <n v="67151"/>
    <x v="1"/>
  </r>
  <r>
    <n v="2026"/>
    <n v="2"/>
    <s v="24-02-2026"/>
    <n v="11097"/>
    <s v="1101-03"/>
    <n v="99198500"/>
    <n v="0"/>
    <s v="Otorg. crédito comercial n 420051"/>
    <n v="99198500"/>
    <s v="Activo"/>
    <n v="99198500"/>
    <x v="1"/>
  </r>
  <r>
    <n v="2026"/>
    <n v="2"/>
    <s v="24-02-2026"/>
    <n v="11098"/>
    <s v="1101-03"/>
    <n v="4656741"/>
    <n v="0"/>
    <s v="0966893109 abn crd db tran transba"/>
    <n v="4656741"/>
    <s v="Activo"/>
    <n v="4656741"/>
    <x v="1"/>
  </r>
  <r>
    <n v="2026"/>
    <n v="2"/>
    <s v="24-02-2026"/>
    <n v="11099"/>
    <s v="1101-03"/>
    <n v="4656741"/>
    <n v="0"/>
    <s v="0966893109 abn crd db tran transba"/>
    <n v="4656741"/>
    <s v="Activo"/>
    <n v="4656741"/>
    <x v="1"/>
  </r>
  <r>
    <n v="2026"/>
    <n v="2"/>
    <s v="24-02-2026"/>
    <n v="11100"/>
    <s v="1101-03"/>
    <n v="183718"/>
    <n v="0"/>
    <s v="0761872877 transf. khipu spa"/>
    <n v="183718"/>
    <s v="Activo"/>
    <n v="183718"/>
    <x v="1"/>
  </r>
  <r>
    <n v="2026"/>
    <n v="2"/>
    <s v="25-02-2026"/>
    <n v="7245"/>
    <s v="1101-03"/>
    <n v="0"/>
    <n v="4656741"/>
    <s v="Cargo pagos masivos"/>
    <n v="-4656741"/>
    <s v="Activo"/>
    <n v="-4656741"/>
    <x v="1"/>
  </r>
  <r>
    <n v="2026"/>
    <n v="2"/>
    <s v="25-02-2026"/>
    <n v="7246"/>
    <s v="1101-03"/>
    <n v="0"/>
    <n v="1000000"/>
    <s v="Traspaso internet a t. crédito santander 6647"/>
    <n v="-1000000"/>
    <s v="Activo"/>
    <n v="-1000000"/>
    <x v="1"/>
  </r>
  <r>
    <n v="2026"/>
    <n v="2"/>
    <s v="25-02-2026"/>
    <n v="7247"/>
    <s v="1101-03"/>
    <n v="0"/>
    <n v="880000"/>
    <s v="Pago f 4 altaseo limitada"/>
    <n v="-880000"/>
    <s v="Activo"/>
    <n v="-880000"/>
    <x v="1"/>
  </r>
  <r>
    <n v="2026"/>
    <n v="2"/>
    <s v="25-02-2026"/>
    <n v="7248"/>
    <s v="1101-03"/>
    <n v="0"/>
    <n v="500000"/>
    <s v="Pago f 30501304 copec s.a."/>
    <n v="-500000"/>
    <s v="Activo"/>
    <n v="-500000"/>
    <x v="1"/>
  </r>
  <r>
    <n v="2026"/>
    <n v="2"/>
    <s v="25-02-2026"/>
    <n v="7249"/>
    <s v="1101-03"/>
    <n v="0"/>
    <n v="240975"/>
    <s v="0769224815 transf a soluciones grá"/>
    <n v="-240975"/>
    <s v="Activo"/>
    <n v="-240975"/>
    <x v="1"/>
  </r>
  <r>
    <n v="2026"/>
    <n v="2"/>
    <s v="25-02-2026"/>
    <n v="7250"/>
    <s v="1101-03"/>
    <n v="0"/>
    <n v="150000"/>
    <s v="0765406986 transf a t-link spa generico 176540698"/>
    <n v="-150000"/>
    <s v="Activo"/>
    <n v="-150000"/>
    <x v="1"/>
  </r>
  <r>
    <n v="2026"/>
    <n v="2"/>
    <s v="25-02-2026"/>
    <n v="7251"/>
    <s v="1101-03"/>
    <n v="0"/>
    <n v="94553"/>
    <s v="Pago f 2343 sociedad emisora de tarjetas los héroes s.a"/>
    <n v="-94553"/>
    <s v="Activo"/>
    <n v="-94553"/>
    <x v="1"/>
  </r>
  <r>
    <n v="2026"/>
    <n v="2"/>
    <s v="25-02-2026"/>
    <n v="7252"/>
    <s v="1101-03"/>
    <n v="0"/>
    <n v="23432"/>
    <s v="Com.mantencion plan"/>
    <n v="-23432"/>
    <s v="Activo"/>
    <n v="-23432"/>
    <x v="1"/>
  </r>
  <r>
    <n v="2026"/>
    <n v="2"/>
    <s v="25-02-2026"/>
    <n v="11101"/>
    <s v="1101-03"/>
    <n v="5000000"/>
    <n v="0"/>
    <s v="0765406986 transf. itau 0207015225"/>
    <n v="5000000"/>
    <s v="Activo"/>
    <n v="5000000"/>
    <x v="1"/>
  </r>
  <r>
    <n v="2026"/>
    <n v="2"/>
    <s v="25-02-2026"/>
    <n v="11102"/>
    <s v="1101-03"/>
    <n v="2821696"/>
    <n v="0"/>
    <s v="0966893109 abn crd db tran transba"/>
    <n v="2821696"/>
    <s v="Activo"/>
    <n v="2821696"/>
    <x v="1"/>
  </r>
  <r>
    <n v="2026"/>
    <n v="2"/>
    <s v="25-02-2026"/>
    <n v="11103"/>
    <s v="1101-03"/>
    <n v="2259306"/>
    <n v="0"/>
    <s v="0765406986 transf. itau 0207015225"/>
    <n v="2259306"/>
    <s v="Activo"/>
    <n v="2259306"/>
    <x v="1"/>
  </r>
  <r>
    <n v="2026"/>
    <n v="2"/>
    <s v="25-02-2026"/>
    <n v="11104"/>
    <s v="1101-03"/>
    <n v="2000000"/>
    <n v="0"/>
    <s v="0765406986 transf. itau 0207015225"/>
    <n v="2000000"/>
    <s v="Activo"/>
    <n v="2000000"/>
    <x v="1"/>
  </r>
  <r>
    <n v="2026"/>
    <n v="2"/>
    <s v="25-02-2026"/>
    <n v="11105"/>
    <s v="1101-03"/>
    <n v="478026"/>
    <n v="0"/>
    <s v="0761872877 transf. khipu spa"/>
    <n v="478026"/>
    <s v="Activo"/>
    <n v="478026"/>
    <x v="1"/>
  </r>
  <r>
    <n v="2026"/>
    <n v="2"/>
    <s v="26-02-2026"/>
    <n v="7253"/>
    <s v="1101-03"/>
    <n v="0"/>
    <n v="7000000"/>
    <s v="0765406986 transf. bco estado 347"/>
    <n v="-7000000"/>
    <s v="Activo"/>
    <n v="-7000000"/>
    <x v="1"/>
  </r>
  <r>
    <n v="2026"/>
    <n v="2"/>
    <s v="26-02-2026"/>
    <n v="7254"/>
    <s v="1101-03"/>
    <n v="0"/>
    <n v="7000000"/>
    <s v="0765406986 transf. bco estado 347"/>
    <n v="-7000000"/>
    <s v="Activo"/>
    <n v="-7000000"/>
    <x v="1"/>
  </r>
  <r>
    <n v="2026"/>
    <n v="2"/>
    <s v="26-02-2026"/>
    <n v="7255"/>
    <s v="1101-03"/>
    <n v="0"/>
    <n v="7000000"/>
    <s v="0765406986 transf. bco estado 347"/>
    <n v="-7000000"/>
    <s v="Activo"/>
    <n v="-7000000"/>
    <x v="1"/>
  </r>
  <r>
    <n v="2026"/>
    <n v="2"/>
    <s v="26-02-2026"/>
    <n v="7256"/>
    <s v="1101-03"/>
    <n v="0"/>
    <n v="7000000"/>
    <s v="0765406986 transf. bco estado 347"/>
    <n v="-7000000"/>
    <s v="Activo"/>
    <n v="-7000000"/>
    <x v="1"/>
  </r>
  <r>
    <n v="2026"/>
    <n v="2"/>
    <s v="26-02-2026"/>
    <n v="7257"/>
    <s v="1101-03"/>
    <n v="0"/>
    <n v="7000000"/>
    <s v="0765406986 transf. bco estado 347"/>
    <n v="-7000000"/>
    <s v="Activo"/>
    <n v="-7000000"/>
    <x v="1"/>
  </r>
  <r>
    <n v="2026"/>
    <n v="2"/>
    <s v="26-02-2026"/>
    <n v="7258"/>
    <s v="1101-03"/>
    <n v="0"/>
    <n v="7000000"/>
    <s v="0765406986 transf. bco estado 347"/>
    <n v="-7000000"/>
    <s v="Activo"/>
    <n v="-7000000"/>
    <x v="1"/>
  </r>
  <r>
    <n v="2026"/>
    <n v="2"/>
    <s v="26-02-2026"/>
    <n v="7259"/>
    <s v="1101-03"/>
    <n v="0"/>
    <n v="7000000"/>
    <s v="0765406986 transf. bco estado 347"/>
    <n v="-7000000"/>
    <s v="Activo"/>
    <n v="-7000000"/>
    <x v="1"/>
  </r>
  <r>
    <n v="2026"/>
    <n v="2"/>
    <s v="26-02-2026"/>
    <n v="7260"/>
    <s v="1101-03"/>
    <n v="0"/>
    <n v="7000000"/>
    <s v="0765406986 transf. bco estado 347"/>
    <n v="-7000000"/>
    <s v="Activo"/>
    <n v="-7000000"/>
    <x v="1"/>
  </r>
  <r>
    <n v="2026"/>
    <n v="2"/>
    <s v="26-02-2026"/>
    <n v="7261"/>
    <s v="1101-03"/>
    <n v="0"/>
    <n v="7000000"/>
    <s v="0765406986 transf. bco estado 347"/>
    <n v="-7000000"/>
    <s v="Activo"/>
    <n v="-7000000"/>
    <x v="1"/>
  </r>
  <r>
    <n v="2026"/>
    <n v="2"/>
    <s v="26-02-2026"/>
    <n v="7262"/>
    <s v="1101-03"/>
    <n v="0"/>
    <n v="7000000"/>
    <s v="0765406986 transf. bco estado 347"/>
    <n v="-7000000"/>
    <s v="Activo"/>
    <n v="-7000000"/>
    <x v="1"/>
  </r>
  <r>
    <n v="2026"/>
    <n v="2"/>
    <s v="26-02-2026"/>
    <n v="7263"/>
    <s v="1101-03"/>
    <n v="0"/>
    <n v="7000000"/>
    <s v="0765406986 transf. bco estado 347"/>
    <n v="-7000000"/>
    <s v="Activo"/>
    <n v="-7000000"/>
    <x v="1"/>
  </r>
  <r>
    <n v="2026"/>
    <n v="2"/>
    <s v="26-02-2026"/>
    <n v="7264"/>
    <s v="1101-03"/>
    <n v="0"/>
    <n v="7000000"/>
    <s v="0765406986 transf. bco estado 347"/>
    <n v="-7000000"/>
    <s v="Activo"/>
    <n v="-7000000"/>
    <x v="1"/>
  </r>
  <r>
    <n v="2026"/>
    <n v="2"/>
    <s v="26-02-2026"/>
    <n v="7265"/>
    <s v="1101-03"/>
    <n v="0"/>
    <n v="7000000"/>
    <s v="0765406986 transf. bco estado 347"/>
    <n v="-7000000"/>
    <s v="Activo"/>
    <n v="-7000000"/>
    <x v="1"/>
  </r>
  <r>
    <n v="2026"/>
    <n v="2"/>
    <s v="26-02-2026"/>
    <n v="7266"/>
    <s v="1101-03"/>
    <n v="0"/>
    <n v="7000000"/>
    <s v="0765406986 transf. bco estado 347"/>
    <n v="-7000000"/>
    <s v="Activo"/>
    <n v="-7000000"/>
    <x v="1"/>
  </r>
  <r>
    <n v="2026"/>
    <n v="2"/>
    <s v="26-02-2026"/>
    <n v="7267"/>
    <s v="1101-03"/>
    <n v="0"/>
    <n v="4819500"/>
    <s v="Pago f 37988 tac communications s.a."/>
    <n v="-4819500"/>
    <s v="Activo"/>
    <n v="-4819500"/>
    <x v="1"/>
  </r>
  <r>
    <n v="2026"/>
    <n v="2"/>
    <s v="26-02-2026"/>
    <n v="7268"/>
    <s v="1101-03"/>
    <n v="0"/>
    <n v="4124271"/>
    <s v="Pago f 6734 telxius cable chile s.a."/>
    <n v="-4124271"/>
    <s v="Activo"/>
    <n v="-4124271"/>
    <x v="1"/>
  </r>
  <r>
    <n v="2026"/>
    <n v="2"/>
    <s v="26-02-2026"/>
    <n v="7269"/>
    <s v="1101-03"/>
    <n v="0"/>
    <n v="1198500"/>
    <s v="0765406986 transf. bco estado 347"/>
    <n v="-1198500"/>
    <s v="Activo"/>
    <n v="-1198500"/>
    <x v="1"/>
  </r>
  <r>
    <n v="2026"/>
    <n v="2"/>
    <s v="26-02-2026"/>
    <n v="7270"/>
    <s v="1101-03"/>
    <n v="0"/>
    <n v="1094800"/>
    <s v="Pago f 37987 tac communications s.a."/>
    <n v="-1094800"/>
    <s v="Activo"/>
    <n v="-1094800"/>
    <x v="1"/>
  </r>
  <r>
    <n v="2026"/>
    <n v="2"/>
    <s v="26-02-2026"/>
    <n v="7271"/>
    <s v="1101-03"/>
    <n v="0"/>
    <n v="1094800"/>
    <s v="Pago f 37987 tac communications s.a."/>
    <n v="-1094800"/>
    <s v="Activo"/>
    <n v="-1094800"/>
    <x v="1"/>
  </r>
  <r>
    <n v="2026"/>
    <n v="2"/>
    <s v="26-02-2026"/>
    <n v="7272"/>
    <s v="1101-03"/>
    <n v="0"/>
    <n v="584337"/>
    <s v="Pago f 404248 tecnologia lk spa"/>
    <n v="-584337"/>
    <s v="Activo"/>
    <n v="-584337"/>
    <x v="1"/>
  </r>
  <r>
    <n v="2026"/>
    <n v="2"/>
    <s v="26-02-2026"/>
    <n v="7273"/>
    <s v="1101-03"/>
    <n v="0"/>
    <n v="535500"/>
    <s v="Pago f 9 luxconnect spa"/>
    <n v="-535500"/>
    <s v="Activo"/>
    <n v="-535500"/>
    <x v="1"/>
  </r>
  <r>
    <n v="2026"/>
    <n v="2"/>
    <s v="26-02-2026"/>
    <n v="7274"/>
    <s v="1101-03"/>
    <n v="0"/>
    <n v="500000"/>
    <s v="Felipe ignacio luengo moreira"/>
    <n v="-500000"/>
    <s v="Activo"/>
    <n v="-500000"/>
    <x v="1"/>
  </r>
  <r>
    <n v="2026"/>
    <n v="2"/>
    <s v="26-02-2026"/>
    <n v="7275"/>
    <s v="1101-03"/>
    <n v="0"/>
    <n v="414809"/>
    <s v="0799131609 transf a estec f 805425"/>
    <n v="-414809"/>
    <s v="Activo"/>
    <n v="-414809"/>
    <x v="1"/>
  </r>
  <r>
    <n v="2026"/>
    <n v="2"/>
    <s v="26-02-2026"/>
    <n v="7276"/>
    <s v="1101-03"/>
    <n v="0"/>
    <n v="394607"/>
    <s v="Pago f 37752 tac communications s.a."/>
    <n v="-394607"/>
    <s v="Activo"/>
    <n v="-394607"/>
    <x v="1"/>
  </r>
  <r>
    <n v="2026"/>
    <n v="2"/>
    <s v="26-02-2026"/>
    <n v="7277"/>
    <s v="1101-03"/>
    <n v="0"/>
    <n v="322729"/>
    <s v="Alvaro millan diferencia remuneracion enero 2026"/>
    <n v="-322729"/>
    <s v="Activo"/>
    <n v="-322729"/>
    <x v="1"/>
  </r>
  <r>
    <n v="2026"/>
    <n v="2"/>
    <s v="26-02-2026"/>
    <n v="7278"/>
    <s v="1101-03"/>
    <n v="0"/>
    <n v="250000"/>
    <s v="Pago f 58090 voissnet cloud services s.p.a."/>
    <n v="-250000"/>
    <s v="Activo"/>
    <n v="-250000"/>
    <x v="1"/>
  </r>
  <r>
    <n v="2026"/>
    <n v="2"/>
    <s v="26-02-2026"/>
    <n v="7279"/>
    <s v="1101-03"/>
    <n v="0"/>
    <n v="203524"/>
    <s v="Poslin joachin pago saldo pendiente remuneracion enero 2026"/>
    <n v="-203524"/>
    <s v="Activo"/>
    <n v="-203524"/>
    <x v="1"/>
  </r>
  <r>
    <n v="2026"/>
    <n v="2"/>
    <s v="26-02-2026"/>
    <n v="7280"/>
    <s v="1101-03"/>
    <n v="0"/>
    <n v="202300"/>
    <s v="Pago f 536 ingsor spa"/>
    <n v="-202300"/>
    <s v="Activo"/>
    <n v="-202300"/>
    <x v="1"/>
  </r>
  <r>
    <n v="2026"/>
    <n v="2"/>
    <s v="26-02-2026"/>
    <n v="7281"/>
    <s v="1101-03"/>
    <n v="0"/>
    <n v="169243"/>
    <s v="Pago f 187983 contempora compania de seguros generales s.a"/>
    <n v="-169243"/>
    <s v="Activo"/>
    <n v="-169243"/>
    <x v="1"/>
  </r>
  <r>
    <n v="2026"/>
    <n v="2"/>
    <s v="26-02-2026"/>
    <n v="7282"/>
    <s v="1101-03"/>
    <n v="0"/>
    <n v="120000"/>
    <s v="Retiro basura retiro basura"/>
    <n v="-120000"/>
    <s v="Activo"/>
    <n v="-120000"/>
    <x v="1"/>
  </r>
  <r>
    <n v="2026"/>
    <n v="2"/>
    <s v="26-02-2026"/>
    <n v="7283"/>
    <s v="1101-03"/>
    <n v="0"/>
    <n v="120000"/>
    <s v="Pago bh 95 soledad del carmen maldonado z"/>
    <n v="-120000"/>
    <s v="Activo"/>
    <n v="-120000"/>
    <x v="1"/>
  </r>
  <r>
    <n v="2026"/>
    <n v="2"/>
    <s v="26-02-2026"/>
    <n v="7284"/>
    <s v="1101-03"/>
    <n v="0"/>
    <n v="117532"/>
    <s v="Pago f 19370567 soc concesionaria autopista central s a"/>
    <n v="-117532"/>
    <s v="Activo"/>
    <n v="-117532"/>
    <x v="1"/>
  </r>
  <r>
    <n v="2026"/>
    <n v="2"/>
    <s v="26-02-2026"/>
    <n v="7285"/>
    <s v="1101-03"/>
    <n v="0"/>
    <n v="85000"/>
    <s v="Pago f 58084 voissnet cloud services s.p.a."/>
    <n v="-85000"/>
    <s v="Activo"/>
    <n v="-85000"/>
    <x v="1"/>
  </r>
  <r>
    <n v="2026"/>
    <n v="2"/>
    <s v="26-02-2026"/>
    <n v="7286"/>
    <s v="1101-03"/>
    <n v="0"/>
    <n v="65000"/>
    <s v="Pago f 58083 voissnet cloud services s.p.a."/>
    <n v="-65000"/>
    <s v="Activo"/>
    <n v="-65000"/>
    <x v="1"/>
  </r>
  <r>
    <n v="2026"/>
    <n v="2"/>
    <s v="26-02-2026"/>
    <n v="7287"/>
    <s v="1101-03"/>
    <n v="0"/>
    <n v="44000"/>
    <s v="Pago f 58265 voissnet cloud services s.p.a."/>
    <n v="-44000"/>
    <s v="Activo"/>
    <n v="-44000"/>
    <x v="1"/>
  </r>
  <r>
    <n v="2026"/>
    <n v="2"/>
    <s v="26-02-2026"/>
    <n v="7288"/>
    <s v="1101-03"/>
    <n v="0"/>
    <n v="42000"/>
    <s v="Pago f 55850 voissnet cloud services s.p.a."/>
    <n v="-42000"/>
    <s v="Activo"/>
    <n v="-42000"/>
    <x v="1"/>
  </r>
  <r>
    <n v="2026"/>
    <n v="2"/>
    <s v="26-02-2026"/>
    <n v="7289"/>
    <s v="1101-03"/>
    <n v="0"/>
    <n v="42000"/>
    <s v="Pago f 58079 voissnet cloud services s.p.a."/>
    <n v="-42000"/>
    <s v="Activo"/>
    <n v="-42000"/>
    <x v="1"/>
  </r>
  <r>
    <n v="2026"/>
    <n v="2"/>
    <s v="26-02-2026"/>
    <n v="7290"/>
    <s v="1101-03"/>
    <n v="0"/>
    <n v="42000"/>
    <s v="Pago f 58080 voissnet cloud services s.p.a."/>
    <n v="-42000"/>
    <s v="Activo"/>
    <n v="-42000"/>
    <x v="1"/>
  </r>
  <r>
    <n v="2026"/>
    <n v="2"/>
    <s v="26-02-2026"/>
    <n v="7291"/>
    <s v="1101-03"/>
    <n v="0"/>
    <n v="42000"/>
    <s v="Pago f 58081 voissnet cloud services s.p.a."/>
    <n v="-42000"/>
    <s v="Activo"/>
    <n v="-42000"/>
    <x v="1"/>
  </r>
  <r>
    <n v="2026"/>
    <n v="2"/>
    <s v="26-02-2026"/>
    <n v="7292"/>
    <s v="1101-03"/>
    <n v="0"/>
    <n v="42000"/>
    <s v="Pago f 58082 voissnet cloud services s.p.a."/>
    <n v="-42000"/>
    <s v="Activo"/>
    <n v="-42000"/>
    <x v="1"/>
  </r>
  <r>
    <n v="2026"/>
    <n v="2"/>
    <s v="26-02-2026"/>
    <n v="7293"/>
    <s v="1101-03"/>
    <n v="0"/>
    <n v="42000"/>
    <s v="Pago f 58085 voissnet cloud services s.p.a."/>
    <n v="-42000"/>
    <s v="Activo"/>
    <n v="-42000"/>
    <x v="1"/>
  </r>
  <r>
    <n v="2026"/>
    <n v="2"/>
    <s v="26-02-2026"/>
    <n v="7294"/>
    <s v="1101-03"/>
    <n v="0"/>
    <n v="42000"/>
    <s v="Pago f 58086 voissnet cloud services s.p.a."/>
    <n v="-42000"/>
    <s v="Activo"/>
    <n v="-42000"/>
    <x v="1"/>
  </r>
  <r>
    <n v="2026"/>
    <n v="2"/>
    <s v="26-02-2026"/>
    <n v="7295"/>
    <s v="1101-03"/>
    <n v="0"/>
    <n v="42000"/>
    <s v="Pago f 58087 voissnet cloud services s.p.a."/>
    <n v="-42000"/>
    <s v="Activo"/>
    <n v="-42000"/>
    <x v="1"/>
  </r>
  <r>
    <n v="2026"/>
    <n v="2"/>
    <s v="26-02-2026"/>
    <n v="7296"/>
    <s v="1101-03"/>
    <n v="0"/>
    <n v="15000"/>
    <s v="Pago bh 101 camila elizabeth ortiz cruz"/>
    <n v="-15000"/>
    <s v="Activo"/>
    <n v="-15000"/>
    <x v="1"/>
  </r>
  <r>
    <n v="2026"/>
    <n v="2"/>
    <s v="26-02-2026"/>
    <n v="11106"/>
    <s v="1101-03"/>
    <n v="2209792"/>
    <n v="0"/>
    <s v="0966893109 abn crd db tran transba"/>
    <n v="2209792"/>
    <s v="Activo"/>
    <n v="2209792"/>
    <x v="1"/>
  </r>
  <r>
    <n v="2026"/>
    <n v="2"/>
    <s v="26-02-2026"/>
    <n v="11107"/>
    <s v="1101-03"/>
    <n v="807505"/>
    <n v="0"/>
    <s v="0761872877 transf. khipu spa"/>
    <n v="807505"/>
    <s v="Activo"/>
    <n v="807505"/>
    <x v="1"/>
  </r>
  <r>
    <n v="2026"/>
    <n v="2"/>
    <s v="27-02-2026"/>
    <n v="7297"/>
    <s v="1101-03"/>
    <n v="0"/>
    <n v="5000000"/>
    <s v="012646150k transf a ambiado olivar"/>
    <n v="-5000000"/>
    <s v="Activo"/>
    <n v="-5000000"/>
    <x v="1"/>
  </r>
  <r>
    <n v="2026"/>
    <n v="2"/>
    <s v="27-02-2026"/>
    <n v="7298"/>
    <s v="1101-03"/>
    <n v="0"/>
    <n v="5000000"/>
    <s v="0774344497 transf a botsch spa"/>
    <n v="-5000000"/>
    <s v="Activo"/>
    <n v="-5000000"/>
    <x v="1"/>
  </r>
  <r>
    <n v="2026"/>
    <n v="2"/>
    <s v="27-02-2026"/>
    <n v="7299"/>
    <s v="1101-03"/>
    <n v="0"/>
    <n v="5000000"/>
    <s v="0774344497 transf a botsch spa"/>
    <n v="-5000000"/>
    <s v="Activo"/>
    <n v="-5000000"/>
    <x v="1"/>
  </r>
  <r>
    <n v="2026"/>
    <n v="2"/>
    <s v="27-02-2026"/>
    <n v="7300"/>
    <s v="1101-03"/>
    <n v="0"/>
    <n v="4264900"/>
    <s v="012646150k transf a ambiado olivar"/>
    <n v="-4264900"/>
    <s v="Activo"/>
    <n v="-4264900"/>
    <x v="1"/>
  </r>
  <r>
    <n v="2026"/>
    <n v="2"/>
    <s v="27-02-2026"/>
    <n v="7301"/>
    <s v="1101-03"/>
    <n v="0"/>
    <n v="1150611"/>
    <s v="Pago f 172 telecomunicaciones ccp limitada"/>
    <n v="-1150611"/>
    <s v="Activo"/>
    <n v="-1150611"/>
    <x v="1"/>
  </r>
  <r>
    <n v="2026"/>
    <n v="2"/>
    <s v="27-02-2026"/>
    <n v="7302"/>
    <s v="1101-03"/>
    <n v="0"/>
    <n v="1117524"/>
    <s v="0774344497 transf a botsch spa"/>
    <n v="-1117524"/>
    <s v="Activo"/>
    <n v="-1117524"/>
    <x v="1"/>
  </r>
  <r>
    <n v="2026"/>
    <n v="2"/>
    <s v="27-02-2026"/>
    <n v="7303"/>
    <s v="1101-03"/>
    <n v="0"/>
    <n v="9240"/>
    <s v="Compra colacion"/>
    <n v="-9240"/>
    <s v="Activo"/>
    <n v="-9240"/>
    <x v="1"/>
  </r>
  <r>
    <n v="2026"/>
    <n v="2"/>
    <s v="27-02-2026"/>
    <n v="11108"/>
    <s v="1101-03"/>
    <n v="8319430"/>
    <n v="0"/>
    <s v="0966893109 abn crd db tran transba"/>
    <n v="8319430"/>
    <s v="Activo"/>
    <n v="8319430"/>
    <x v="1"/>
  </r>
  <r>
    <n v="2026"/>
    <n v="2"/>
    <s v="27-02-2026"/>
    <n v="11109"/>
    <s v="1101-03"/>
    <n v="5000000"/>
    <n v="0"/>
    <s v="0765406986 transf. itau 0207015225"/>
    <n v="5000000"/>
    <s v="Activo"/>
    <n v="5000000"/>
    <x v="1"/>
  </r>
  <r>
    <n v="2026"/>
    <n v="2"/>
    <s v="27-02-2026"/>
    <n v="11110"/>
    <s v="1101-03"/>
    <n v="5000000"/>
    <n v="0"/>
    <s v="0765406986 transf. itau 0207015225"/>
    <n v="5000000"/>
    <s v="Activo"/>
    <n v="5000000"/>
    <x v="1"/>
  </r>
  <r>
    <n v="2026"/>
    <n v="2"/>
    <s v="27-02-2026"/>
    <n v="11111"/>
    <s v="1101-03"/>
    <n v="5000000"/>
    <n v="0"/>
    <s v="0765406986 transf. itau 0207015225"/>
    <n v="5000000"/>
    <s v="Activo"/>
    <n v="5000000"/>
    <x v="1"/>
  </r>
  <r>
    <n v="2026"/>
    <n v="2"/>
    <s v="27-02-2026"/>
    <n v="11112"/>
    <s v="1101-03"/>
    <n v="3530833"/>
    <n v="0"/>
    <s v="0765406986 transf. itau 0207015225"/>
    <n v="3530833"/>
    <s v="Activo"/>
    <n v="3530833"/>
    <x v="1"/>
  </r>
  <r>
    <n v="2026"/>
    <n v="2"/>
    <s v="27-02-2026"/>
    <n v="11113"/>
    <s v="1101-03"/>
    <n v="463217"/>
    <n v="0"/>
    <s v="0761872877 transf. khipu spa"/>
    <n v="463217"/>
    <s v="Activo"/>
    <n v="463217"/>
    <x v="1"/>
  </r>
  <r>
    <n v="2026"/>
    <n v="3"/>
    <s v="02-03-2026"/>
    <n v="7309"/>
    <s v="1101-03"/>
    <n v="0"/>
    <n v="778428"/>
    <s v="Compra google workspace_"/>
    <n v="-778428"/>
    <s v="Activo"/>
    <n v="-778428"/>
    <x v="1"/>
  </r>
  <r>
    <n v="2026"/>
    <n v="3"/>
    <s v="02-03-2026"/>
    <n v="7310"/>
    <s v="1101-03"/>
    <n v="0"/>
    <n v="500000"/>
    <s v="0995200007 transf a muevo copec em"/>
    <n v="-500000"/>
    <s v="Activo"/>
    <n v="-500000"/>
    <x v="1"/>
  </r>
  <r>
    <n v="2026"/>
    <n v="3"/>
    <s v="02-03-2026"/>
    <n v="7311"/>
    <s v="1101-03"/>
    <n v="0"/>
    <n v="53967"/>
    <s v="Compra hiper penaflor ba"/>
    <n v="-53967"/>
    <s v="Activo"/>
    <n v="-53967"/>
    <x v="1"/>
  </r>
  <r>
    <n v="2026"/>
    <n v="3"/>
    <s v="02-03-2026"/>
    <n v="7312"/>
    <s v="1101-03"/>
    <n v="0"/>
    <n v="16280"/>
    <s v="Compra pc factory plaza"/>
    <n v="-16280"/>
    <s v="Activo"/>
    <n v="-16280"/>
    <x v="1"/>
  </r>
  <r>
    <n v="2026"/>
    <n v="3"/>
    <s v="02-03-2026"/>
    <n v="11114"/>
    <s v="1101-03"/>
    <n v="7660301"/>
    <n v="0"/>
    <s v="0966893109 abn crd db tran transba"/>
    <n v="7660301"/>
    <s v="Activo"/>
    <n v="7660301"/>
    <x v="1"/>
  </r>
  <r>
    <n v="2026"/>
    <n v="3"/>
    <s v="02-03-2026"/>
    <n v="11115"/>
    <s v="1101-03"/>
    <n v="2222235"/>
    <n v="0"/>
    <s v="0761872877 transf. khipu spa"/>
    <n v="2222235"/>
    <s v="Activo"/>
    <n v="2222235"/>
    <x v="1"/>
  </r>
  <r>
    <n v="2026"/>
    <n v="3"/>
    <s v="03-03-2026"/>
    <n v="7313"/>
    <s v="1101-03"/>
    <n v="0"/>
    <n v="125000"/>
    <s v="0764962230 transf a master glass l"/>
    <n v="-125000"/>
    <s v="Activo"/>
    <n v="-125000"/>
    <x v="1"/>
  </r>
  <r>
    <n v="2026"/>
    <n v="3"/>
    <s v="03-03-2026"/>
    <n v="7314"/>
    <s v="1101-03"/>
    <n v="0"/>
    <n v="112492"/>
    <s v="Compra mercadopago papa"/>
    <n v="-112492"/>
    <s v="Activo"/>
    <n v="-112492"/>
    <x v="1"/>
  </r>
  <r>
    <n v="2026"/>
    <n v="3"/>
    <s v="03-03-2026"/>
    <n v="7315"/>
    <s v="1101-03"/>
    <n v="0"/>
    <n v="26570"/>
    <s v="Compra hiper penaflor ba"/>
    <n v="-26570"/>
    <s v="Activo"/>
    <n v="-26570"/>
    <x v="1"/>
  </r>
  <r>
    <n v="2026"/>
    <n v="3"/>
    <s v="03-03-2026"/>
    <n v="11116"/>
    <s v="1101-03"/>
    <n v="36311677"/>
    <n v="0"/>
    <s v="0966893109 abn crd db tran transba"/>
    <n v="36311677"/>
    <s v="Activo"/>
    <n v="36311677"/>
    <x v="1"/>
  </r>
  <r>
    <n v="2026"/>
    <n v="3"/>
    <s v="03-03-2026"/>
    <n v="11117"/>
    <s v="1101-03"/>
    <n v="3045559"/>
    <n v="0"/>
    <s v="0761872877 transf. khipu spa"/>
    <n v="3045559"/>
    <s v="Activo"/>
    <n v="3045559"/>
    <x v="1"/>
  </r>
  <r>
    <n v="2026"/>
    <n v="3"/>
    <s v="04-03-2026"/>
    <n v="7316"/>
    <s v="1101-03"/>
    <n v="0"/>
    <n v="48866638"/>
    <s v="Remuneraciones febrero 2026"/>
    <n v="-48866638"/>
    <s v="Activo"/>
    <n v="-48866638"/>
    <x v="1"/>
  </r>
  <r>
    <n v="2026"/>
    <n v="3"/>
    <s v="04-03-2026"/>
    <n v="7317"/>
    <s v="1101-03"/>
    <n v="0"/>
    <n v="495096"/>
    <s v="Nodo cartagena consumo electrico mes feb"/>
    <n v="-495096"/>
    <s v="Activo"/>
    <n v="-495096"/>
    <x v="1"/>
  </r>
  <r>
    <n v="2026"/>
    <n v="3"/>
    <s v="04-03-2026"/>
    <n v="7318"/>
    <s v="1101-03"/>
    <n v="0"/>
    <n v="150000"/>
    <s v="0765406986 transf a t-link spa"/>
    <n v="-150000"/>
    <s v="Activo"/>
    <n v="-150000"/>
    <x v="1"/>
  </r>
  <r>
    <n v="2026"/>
    <n v="3"/>
    <s v="04-03-2026"/>
    <n v="11118"/>
    <s v="1101-03"/>
    <n v="22592398"/>
    <n v="0"/>
    <s v="0966893109 abn crd db tran transba"/>
    <n v="22592398"/>
    <s v="Activo"/>
    <n v="22592398"/>
    <x v="1"/>
  </r>
  <r>
    <n v="2026"/>
    <n v="3"/>
    <s v="04-03-2026"/>
    <n v="11119"/>
    <s v="1101-03"/>
    <n v="1059682"/>
    <n v="0"/>
    <s v="0761872877 transf. khipu spa"/>
    <n v="1059682"/>
    <s v="Activo"/>
    <n v="1059682"/>
    <x v="1"/>
  </r>
  <r>
    <n v="2026"/>
    <n v="3"/>
    <s v="05-03-2026"/>
    <n v="7319"/>
    <s v="1101-03"/>
    <n v="0"/>
    <n v="3629054"/>
    <s v="Traspaso internet a t. crédito"/>
    <n v="-3629054"/>
    <s v="Activo"/>
    <n v="-3629054"/>
    <x v="1"/>
  </r>
  <r>
    <n v="2026"/>
    <n v="3"/>
    <s v="05-03-2026"/>
    <n v="7320"/>
    <s v="1101-03"/>
    <n v="0"/>
    <n v="883157"/>
    <s v="Traspaso internet a t. crédito"/>
    <n v="-883157"/>
    <s v="Activo"/>
    <n v="-883157"/>
    <x v="1"/>
  </r>
  <r>
    <n v="2026"/>
    <n v="3"/>
    <s v="05-03-2026"/>
    <n v="7321"/>
    <s v="1101-03"/>
    <n v="0"/>
    <n v="409744"/>
    <s v="Traspaso internet a t. crédito"/>
    <n v="-409744"/>
    <s v="Activo"/>
    <n v="-409744"/>
    <x v="1"/>
  </r>
  <r>
    <n v="2026"/>
    <n v="3"/>
    <s v="05-03-2026"/>
    <n v="7322"/>
    <s v="1101-03"/>
    <n v="0"/>
    <n v="18000"/>
    <s v="0145666406 transf a nelson andres"/>
    <n v="-18000"/>
    <s v="Activo"/>
    <n v="-18000"/>
    <x v="1"/>
  </r>
  <r>
    <n v="2026"/>
    <n v="3"/>
    <s v="05-03-2026"/>
    <n v="11120"/>
    <s v="1101-03"/>
    <n v="9177616"/>
    <n v="0"/>
    <s v="0966893109 abn crd db tran transba"/>
    <n v="9177616"/>
    <s v="Activo"/>
    <n v="9177616"/>
    <x v="1"/>
  </r>
  <r>
    <n v="2026"/>
    <n v="3"/>
    <s v="05-03-2026"/>
    <n v="11121"/>
    <s v="1101-03"/>
    <n v="569949"/>
    <n v="0"/>
    <s v="0761872877 transf. khipu spa"/>
    <n v="569949"/>
    <s v="Activo"/>
    <n v="569949"/>
    <x v="1"/>
  </r>
  <r>
    <n v="2026"/>
    <n v="3"/>
    <s v="06-03-2026"/>
    <n v="7323"/>
    <s v="1101-03"/>
    <n v="0"/>
    <n v="6013558"/>
    <s v="0762565196 transf a inversiones y"/>
    <n v="-6013558"/>
    <s v="Activo"/>
    <n v="-6013558"/>
    <x v="1"/>
  </r>
  <r>
    <n v="2026"/>
    <n v="3"/>
    <s v="06-03-2026"/>
    <n v="7324"/>
    <s v="1101-03"/>
    <n v="0"/>
    <n v="5000000"/>
    <s v="0774344497 transf a botsch spa"/>
    <n v="-5000000"/>
    <s v="Activo"/>
    <n v="-5000000"/>
    <x v="1"/>
  </r>
  <r>
    <n v="2026"/>
    <n v="3"/>
    <s v="06-03-2026"/>
    <n v="7325"/>
    <s v="1101-03"/>
    <n v="0"/>
    <n v="3690407"/>
    <s v="0762489287 transf a wircom telecom"/>
    <n v="-3690407"/>
    <s v="Activo"/>
    <n v="-3690407"/>
    <x v="1"/>
  </r>
  <r>
    <n v="2026"/>
    <n v="3"/>
    <s v="06-03-2026"/>
    <n v="7326"/>
    <s v="1101-03"/>
    <n v="0"/>
    <n v="3141131"/>
    <s v="0766282563 transf a pit chile spa"/>
    <n v="-3141131"/>
    <s v="Activo"/>
    <n v="-3141131"/>
    <x v="1"/>
  </r>
  <r>
    <n v="2026"/>
    <n v="3"/>
    <s v="06-03-2026"/>
    <n v="7327"/>
    <s v="1101-03"/>
    <n v="0"/>
    <n v="2269622"/>
    <s v="0969128608 transf a silica network"/>
    <n v="-2269622"/>
    <s v="Activo"/>
    <n v="-2269622"/>
    <x v="1"/>
  </r>
  <r>
    <n v="2026"/>
    <n v="3"/>
    <s v="06-03-2026"/>
    <n v="7328"/>
    <s v="1101-03"/>
    <n v="0"/>
    <n v="1560515"/>
    <s v="0770782546 transf a cogent communi"/>
    <n v="-1560515"/>
    <s v="Activo"/>
    <n v="-1560515"/>
    <x v="1"/>
  </r>
  <r>
    <n v="2026"/>
    <n v="3"/>
    <s v="06-03-2026"/>
    <n v="7329"/>
    <s v="1101-03"/>
    <n v="0"/>
    <n v="1417507"/>
    <s v="0777638785 transf a ficom telecomu"/>
    <n v="-1417507"/>
    <s v="Activo"/>
    <n v="-1417507"/>
    <x v="1"/>
  </r>
  <r>
    <n v="2026"/>
    <n v="3"/>
    <s v="06-03-2026"/>
    <n v="7330"/>
    <s v="1101-03"/>
    <n v="0"/>
    <n v="1094800"/>
    <s v="0966693401 transf a tac comunicati"/>
    <n v="-1094800"/>
    <s v="Activo"/>
    <n v="-1094800"/>
    <x v="1"/>
  </r>
  <r>
    <n v="2026"/>
    <n v="3"/>
    <s v="06-03-2026"/>
    <n v="7331"/>
    <s v="1101-03"/>
    <n v="0"/>
    <n v="1000000"/>
    <s v="0170226380 transf a freddy alex ro"/>
    <n v="-1000000"/>
    <s v="Activo"/>
    <n v="-1000000"/>
    <x v="1"/>
  </r>
  <r>
    <n v="2026"/>
    <n v="3"/>
    <s v="06-03-2026"/>
    <n v="7332"/>
    <s v="1101-03"/>
    <n v="0"/>
    <n v="1000000"/>
    <s v="0773470286 transf a lars spa"/>
    <n v="-1000000"/>
    <s v="Activo"/>
    <n v="-1000000"/>
    <x v="1"/>
  </r>
  <r>
    <n v="2026"/>
    <n v="3"/>
    <s v="06-03-2026"/>
    <n v="7333"/>
    <s v="1101-03"/>
    <n v="0"/>
    <n v="989485"/>
    <s v="0761831402 transf a comercial lago"/>
    <n v="-989485"/>
    <s v="Activo"/>
    <n v="-989485"/>
    <x v="1"/>
  </r>
  <r>
    <n v="2026"/>
    <n v="3"/>
    <s v="06-03-2026"/>
    <n v="7334"/>
    <s v="1101-03"/>
    <n v="0"/>
    <n v="958695"/>
    <s v="0766114598 transf a ascenty"/>
    <n v="-958695"/>
    <s v="Activo"/>
    <n v="-958695"/>
    <x v="1"/>
  </r>
  <r>
    <n v="2026"/>
    <n v="3"/>
    <s v="06-03-2026"/>
    <n v="7335"/>
    <s v="1101-03"/>
    <n v="0"/>
    <n v="750000"/>
    <s v="Arriendo las condes arriendo oficina"/>
    <n v="-750000"/>
    <s v="Activo"/>
    <n v="-750000"/>
    <x v="1"/>
  </r>
  <r>
    <n v="2026"/>
    <n v="3"/>
    <s v="06-03-2026"/>
    <n v="7336"/>
    <s v="1101-03"/>
    <n v="0"/>
    <n v="708753"/>
    <s v="0777638785 transf a ficom telecomu"/>
    <n v="-708753"/>
    <s v="Activo"/>
    <n v="-708753"/>
    <x v="1"/>
  </r>
  <r>
    <n v="2026"/>
    <n v="3"/>
    <s v="06-03-2026"/>
    <n v="7337"/>
    <s v="1101-03"/>
    <n v="0"/>
    <n v="515736"/>
    <s v="0761831402 transf a comercial lago"/>
    <n v="-515736"/>
    <s v="Activo"/>
    <n v="-515736"/>
    <x v="1"/>
  </r>
  <r>
    <n v="2026"/>
    <n v="3"/>
    <s v="06-03-2026"/>
    <n v="7338"/>
    <s v="1101-03"/>
    <n v="0"/>
    <n v="476000"/>
    <s v="0785907302 transf a cia.de comunic"/>
    <n v="-476000"/>
    <s v="Activo"/>
    <n v="-476000"/>
    <x v="1"/>
  </r>
  <r>
    <n v="2026"/>
    <n v="3"/>
    <s v="06-03-2026"/>
    <n v="7339"/>
    <s v="1101-03"/>
    <n v="0"/>
    <n v="340158"/>
    <s v="0760643823 transf a powerhost tele"/>
    <n v="-340158"/>
    <s v="Activo"/>
    <n v="-340158"/>
    <x v="1"/>
  </r>
  <r>
    <n v="2026"/>
    <n v="3"/>
    <s v="06-03-2026"/>
    <n v="7340"/>
    <s v="1101-03"/>
    <n v="0"/>
    <n v="300000"/>
    <s v="0995200007 transf a muevo copec em"/>
    <n v="-300000"/>
    <s v="Activo"/>
    <n v="-300000"/>
    <x v="1"/>
  </r>
  <r>
    <n v="2026"/>
    <n v="3"/>
    <s v="06-03-2026"/>
    <n v="7341"/>
    <s v="1101-03"/>
    <n v="0"/>
    <n v="203743"/>
    <s v="0762565196 transf a inversiones y"/>
    <n v="-203743"/>
    <s v="Activo"/>
    <n v="-203743"/>
    <x v="1"/>
  </r>
  <r>
    <n v="2026"/>
    <n v="3"/>
    <s v="06-03-2026"/>
    <n v="7342"/>
    <s v="1101-03"/>
    <n v="0"/>
    <n v="142128"/>
    <s v="0761831402 transf a comercial lago"/>
    <n v="-142128"/>
    <s v="Activo"/>
    <n v="-142128"/>
    <x v="1"/>
  </r>
  <r>
    <n v="2026"/>
    <n v="3"/>
    <s v="06-03-2026"/>
    <n v="7343"/>
    <s v="1101-03"/>
    <n v="0"/>
    <n v="120000"/>
    <s v="0142137178 transf a julio chaparro"/>
    <n v="-120000"/>
    <s v="Activo"/>
    <n v="-120000"/>
    <x v="1"/>
  </r>
  <r>
    <n v="2026"/>
    <n v="3"/>
    <s v="06-03-2026"/>
    <n v="7344"/>
    <s v="1101-03"/>
    <n v="0"/>
    <n v="120000"/>
    <s v="0189610955 transf a soledad del ca"/>
    <n v="-120000"/>
    <s v="Activo"/>
    <n v="-120000"/>
    <x v="1"/>
  </r>
  <r>
    <n v="2026"/>
    <n v="3"/>
    <s v="06-03-2026"/>
    <n v="7345"/>
    <s v="1101-03"/>
    <n v="0"/>
    <n v="117792"/>
    <s v="0766114598 transf a ascenty"/>
    <n v="-117792"/>
    <s v="Activo"/>
    <n v="-117792"/>
    <x v="1"/>
  </r>
  <r>
    <n v="2026"/>
    <n v="3"/>
    <s v="06-03-2026"/>
    <n v="7346"/>
    <s v="1101-03"/>
    <n v="0"/>
    <n v="100000"/>
    <s v="0765406986 transf a t-link spa 176540698"/>
    <n v="-100000"/>
    <s v="Activo"/>
    <n v="-100000"/>
    <x v="1"/>
  </r>
  <r>
    <n v="2026"/>
    <n v="3"/>
    <s v="06-03-2026"/>
    <n v="7347"/>
    <s v="1101-03"/>
    <n v="0"/>
    <n v="76612"/>
    <s v="0766114598 transf a ascenty"/>
    <n v="-76612"/>
    <s v="Activo"/>
    <n v="-76612"/>
    <x v="1"/>
  </r>
  <r>
    <n v="2026"/>
    <n v="3"/>
    <s v="06-03-2026"/>
    <n v="7348"/>
    <s v="1101-03"/>
    <n v="0"/>
    <n v="72110"/>
    <s v="0766114598 transf a ascenty"/>
    <n v="-72110"/>
    <s v="Activo"/>
    <n v="-72110"/>
    <x v="1"/>
  </r>
  <r>
    <n v="2026"/>
    <n v="3"/>
    <s v="06-03-2026"/>
    <n v="7349"/>
    <s v="1101-03"/>
    <n v="0"/>
    <n v="72110"/>
    <s v="0766114598 transf a ascenty"/>
    <n v="-72110"/>
    <s v="Activo"/>
    <n v="-72110"/>
    <x v="1"/>
  </r>
  <r>
    <n v="2026"/>
    <n v="3"/>
    <s v="06-03-2026"/>
    <n v="7350"/>
    <s v="1101-03"/>
    <n v="0"/>
    <n v="60899"/>
    <s v="0766114598 transf a ascenty"/>
    <n v="-60899"/>
    <s v="Activo"/>
    <n v="-60899"/>
    <x v="1"/>
  </r>
  <r>
    <n v="2026"/>
    <n v="3"/>
    <s v="06-03-2026"/>
    <n v="7351"/>
    <s v="1101-03"/>
    <n v="0"/>
    <n v="60779"/>
    <s v="0766114598 transf a ascenty"/>
    <n v="-60779"/>
    <s v="Activo"/>
    <n v="-60779"/>
    <x v="1"/>
  </r>
  <r>
    <n v="2026"/>
    <n v="3"/>
    <s v="06-03-2026"/>
    <n v="7352"/>
    <s v="1101-03"/>
    <n v="0"/>
    <n v="60719"/>
    <s v="0766114598 transf a ascenty"/>
    <n v="-60719"/>
    <s v="Activo"/>
    <n v="-60719"/>
    <x v="1"/>
  </r>
  <r>
    <n v="2026"/>
    <n v="3"/>
    <s v="06-03-2026"/>
    <n v="7353"/>
    <s v="1101-03"/>
    <n v="0"/>
    <n v="60597"/>
    <s v="0766114598 transf a ascenty"/>
    <n v="-60597"/>
    <s v="Activo"/>
    <n v="-60597"/>
    <x v="1"/>
  </r>
  <r>
    <n v="2026"/>
    <n v="3"/>
    <s v="06-03-2026"/>
    <n v="7354"/>
    <s v="1101-03"/>
    <n v="0"/>
    <n v="41650"/>
    <s v="0767042191 transf a productora ene"/>
    <n v="-41650"/>
    <s v="Activo"/>
    <n v="-41650"/>
    <x v="1"/>
  </r>
  <r>
    <n v="2026"/>
    <n v="3"/>
    <s v="06-03-2026"/>
    <n v="11122"/>
    <s v="1101-03"/>
    <n v="7814013"/>
    <n v="0"/>
    <s v="0966893109 abn crd db tran transba"/>
    <n v="7814013"/>
    <s v="Activo"/>
    <n v="7814013"/>
    <x v="1"/>
  </r>
  <r>
    <n v="2026"/>
    <n v="3"/>
    <s v="06-03-2026"/>
    <n v="11123"/>
    <s v="1101-03"/>
    <n v="337762"/>
    <n v="0"/>
    <s v="0761872877 transf. khipu spa"/>
    <n v="337762"/>
    <s v="Activo"/>
    <n v="337762"/>
    <x v="1"/>
  </r>
  <r>
    <n v="2026"/>
    <n v="3"/>
    <s v="09-03-2026"/>
    <n v="7355"/>
    <s v="1101-03"/>
    <n v="0"/>
    <n v="300000"/>
    <s v="0995200007 transf a muevo copec em"/>
    <n v="-300000"/>
    <s v="Activo"/>
    <n v="-300000"/>
    <x v="1"/>
  </r>
  <r>
    <n v="2026"/>
    <n v="3"/>
    <s v="09-03-2026"/>
    <n v="7356"/>
    <s v="1101-03"/>
    <n v="0"/>
    <n v="170000"/>
    <s v="Pago en linea voissnet cloud servi"/>
    <n v="-170000"/>
    <s v="Activo"/>
    <n v="-170000"/>
    <x v="1"/>
  </r>
  <r>
    <n v="2026"/>
    <n v="3"/>
    <s v="09-03-2026"/>
    <n v="11124"/>
    <s v="1101-03"/>
    <n v="6704596"/>
    <n v="0"/>
    <s v="0966893109 abn crd db tran transba"/>
    <n v="6704596"/>
    <s v="Activo"/>
    <n v="6704596"/>
    <x v="1"/>
  </r>
  <r>
    <n v="2026"/>
    <n v="3"/>
    <s v="09-03-2026"/>
    <n v="11125"/>
    <s v="1101-03"/>
    <n v="2000000"/>
    <n v="0"/>
    <s v="0765406986 transf. itau 0207015225"/>
    <n v="2000000"/>
    <s v="Activo"/>
    <n v="2000000"/>
    <x v="1"/>
  </r>
  <r>
    <n v="2026"/>
    <n v="3"/>
    <s v="09-03-2026"/>
    <n v="11126"/>
    <s v="1101-03"/>
    <n v="417848"/>
    <n v="0"/>
    <s v="0761872877 transf. khipu spa"/>
    <n v="417848"/>
    <s v="Activo"/>
    <n v="417848"/>
    <x v="1"/>
  </r>
  <r>
    <n v="2026"/>
    <n v="3"/>
    <s v="10-03-2026"/>
    <n v="7357"/>
    <s v="1101-03"/>
    <n v="0"/>
    <n v="4308469"/>
    <s v="0763858715 transf a grupo zgh spa"/>
    <n v="-4308469"/>
    <s v="Activo"/>
    <n v="-4308469"/>
    <x v="1"/>
  </r>
  <r>
    <n v="2026"/>
    <n v="3"/>
    <s v="10-03-2026"/>
    <n v="7358"/>
    <s v="1101-03"/>
    <n v="0"/>
    <n v="2070589"/>
    <s v="076360912k transf a sociedad de in"/>
    <n v="-2070589"/>
    <s v="Activo"/>
    <n v="-2070589"/>
    <x v="1"/>
  </r>
  <r>
    <n v="2026"/>
    <n v="3"/>
    <s v="10-03-2026"/>
    <n v="7359"/>
    <s v="1101-03"/>
    <n v="0"/>
    <n v="1999249"/>
    <s v="Pago cuota 26-57 credito santader 00350175420022371370"/>
    <n v="-1999249"/>
    <s v="Activo"/>
    <n v="-1999249"/>
    <x v="1"/>
  </r>
  <r>
    <n v="2026"/>
    <n v="3"/>
    <s v="10-03-2026"/>
    <n v="7360"/>
    <s v="1101-03"/>
    <n v="0"/>
    <n v="1910998"/>
    <s v="0761872877 transf a khipu clbs d"/>
    <n v="-1910998"/>
    <s v="Activo"/>
    <n v="-1910998"/>
    <x v="1"/>
  </r>
  <r>
    <n v="2026"/>
    <n v="3"/>
    <s v="10-03-2026"/>
    <n v="7361"/>
    <s v="1101-03"/>
    <n v="0"/>
    <n v="1593490"/>
    <s v="Pago cuota 56-61 credito santander 350401420021082928"/>
    <n v="-1593490"/>
    <s v="Activo"/>
    <n v="-1593490"/>
    <x v="1"/>
  </r>
  <r>
    <n v="2026"/>
    <n v="3"/>
    <s v="10-03-2026"/>
    <n v="7362"/>
    <s v="1101-03"/>
    <n v="0"/>
    <n v="1472253"/>
    <s v="0763338789 transf a at gonzález sp"/>
    <n v="-1472253"/>
    <s v="Activo"/>
    <n v="-1472253"/>
    <x v="1"/>
  </r>
  <r>
    <n v="2026"/>
    <n v="3"/>
    <s v="10-03-2026"/>
    <n v="7363"/>
    <s v="1101-03"/>
    <n v="0"/>
    <n v="968568"/>
    <s v="0763858715 transf a grupo zgh spa"/>
    <n v="-968568"/>
    <s v="Activo"/>
    <n v="-968568"/>
    <x v="1"/>
  </r>
  <r>
    <n v="2026"/>
    <n v="3"/>
    <s v="10-03-2026"/>
    <n v="7364"/>
    <s v="1101-03"/>
    <n v="0"/>
    <n v="804965"/>
    <s v="0760926108 transf a alberto diaz d"/>
    <n v="-804965"/>
    <s v="Activo"/>
    <n v="-804965"/>
    <x v="1"/>
  </r>
  <r>
    <n v="2026"/>
    <n v="3"/>
    <s v="10-03-2026"/>
    <n v="7365"/>
    <s v="1101-03"/>
    <n v="0"/>
    <n v="517647"/>
    <s v="Nodo aromos arriendo nodo aromos"/>
    <n v="-517647"/>
    <s v="Activo"/>
    <n v="-517647"/>
    <x v="1"/>
  </r>
  <r>
    <n v="2026"/>
    <n v="3"/>
    <s v="10-03-2026"/>
    <n v="7366"/>
    <s v="1101-03"/>
    <n v="0"/>
    <n v="500000"/>
    <s v="0995200007 transf a muevo copec em"/>
    <n v="-500000"/>
    <s v="Activo"/>
    <n v="-500000"/>
    <x v="1"/>
  </r>
  <r>
    <n v="2026"/>
    <n v="3"/>
    <s v="10-03-2026"/>
    <n v="7367"/>
    <s v="1101-03"/>
    <n v="0"/>
    <n v="432832"/>
    <s v="Pago en linea servipag"/>
    <n v="-432832"/>
    <s v="Activo"/>
    <n v="-432832"/>
    <x v="1"/>
  </r>
  <r>
    <n v="2026"/>
    <n v="3"/>
    <s v="10-03-2026"/>
    <n v="7368"/>
    <s v="1101-03"/>
    <n v="0"/>
    <n v="398010"/>
    <s v="0520050752 transf a cg abogados s"/>
    <n v="-398010"/>
    <s v="Activo"/>
    <n v="-398010"/>
    <x v="1"/>
  </r>
  <r>
    <n v="2026"/>
    <n v="3"/>
    <s v="10-03-2026"/>
    <n v="7369"/>
    <s v="1101-03"/>
    <n v="0"/>
    <n v="260427"/>
    <s v="0703601006 transf a asociación chi"/>
    <n v="-260427"/>
    <s v="Activo"/>
    <n v="-260427"/>
    <x v="1"/>
  </r>
  <r>
    <n v="2026"/>
    <n v="3"/>
    <s v="10-03-2026"/>
    <n v="7370"/>
    <s v="1101-03"/>
    <n v="0"/>
    <n v="203076"/>
    <s v="Nodo algarrobo arriendo nodo algarrobo"/>
    <n v="-203076"/>
    <s v="Activo"/>
    <n v="-203076"/>
    <x v="1"/>
  </r>
  <r>
    <n v="2026"/>
    <n v="3"/>
    <s v="10-03-2026"/>
    <n v="7371"/>
    <s v="1101-03"/>
    <n v="0"/>
    <n v="203076"/>
    <s v="Nodo cartagena arriendo nodo cartagena"/>
    <n v="-203076"/>
    <s v="Activo"/>
    <n v="-203076"/>
    <x v="1"/>
  </r>
  <r>
    <n v="2026"/>
    <n v="3"/>
    <s v="10-03-2026"/>
    <n v="7372"/>
    <s v="1101-03"/>
    <n v="0"/>
    <n v="130000"/>
    <s v="Nodo copihue arriendo nodo copihue"/>
    <n v="-130000"/>
    <s v="Activo"/>
    <n v="-130000"/>
    <x v="1"/>
  </r>
  <r>
    <n v="2026"/>
    <n v="3"/>
    <s v="10-03-2026"/>
    <n v="7373"/>
    <s v="1101-03"/>
    <n v="0"/>
    <n v="71400"/>
    <s v="0781088498 transf a zettabyte zpa"/>
    <n v="-71400"/>
    <s v="Activo"/>
    <n v="-71400"/>
    <x v="1"/>
  </r>
  <r>
    <n v="2026"/>
    <n v="3"/>
    <s v="10-03-2026"/>
    <n v="7374"/>
    <s v="1101-03"/>
    <n v="0"/>
    <n v="59300"/>
    <s v="Nodo padre hurtado consumo electrico mes de febrero"/>
    <n v="-59300"/>
    <s v="Activo"/>
    <n v="-59300"/>
    <x v="1"/>
  </r>
  <r>
    <n v="2026"/>
    <n v="3"/>
    <s v="10-03-2026"/>
    <n v="11127"/>
    <s v="1101-03"/>
    <n v="5565081"/>
    <n v="0"/>
    <s v="0966893109 abn crd db tran transba"/>
    <n v="5565081"/>
    <s v="Activo"/>
    <n v="5565081"/>
    <x v="1"/>
  </r>
  <r>
    <n v="2026"/>
    <n v="3"/>
    <s v="10-03-2026"/>
    <n v="11128"/>
    <s v="1101-03"/>
    <n v="57290"/>
    <n v="0"/>
    <s v="0761872877 transf. khipu spa"/>
    <n v="57290"/>
    <s v="Activo"/>
    <n v="57290"/>
    <x v="1"/>
  </r>
  <r>
    <n v="2026"/>
    <n v="3"/>
    <s v="11-03-2026"/>
    <n v="7375"/>
    <s v="1101-03"/>
    <n v="0"/>
    <n v="4007504"/>
    <s v="0969107309 transf a telxius cable"/>
    <n v="-4007504"/>
    <s v="Activo"/>
    <n v="-4007504"/>
    <x v="1"/>
  </r>
  <r>
    <n v="2026"/>
    <n v="3"/>
    <s v="11-03-2026"/>
    <n v="7376"/>
    <s v="1101-03"/>
    <n v="0"/>
    <n v="1440845"/>
    <s v="0765672007 transf a tecnologia lk"/>
    <n v="-1440845"/>
    <s v="Activo"/>
    <n v="-1440845"/>
    <x v="1"/>
  </r>
  <r>
    <n v="2026"/>
    <n v="3"/>
    <s v="11-03-2026"/>
    <n v="7377"/>
    <s v="1101-03"/>
    <n v="0"/>
    <n v="751000"/>
    <s v="0773062668 transf a globalconnect"/>
    <n v="-751000"/>
    <s v="Activo"/>
    <n v="-751000"/>
    <x v="1"/>
  </r>
  <r>
    <n v="2026"/>
    <n v="3"/>
    <s v="11-03-2026"/>
    <n v="7378"/>
    <s v="1101-03"/>
    <n v="0"/>
    <n v="600000"/>
    <s v="016748381k transf a patrick lopez"/>
    <n v="-600000"/>
    <s v="Activo"/>
    <n v="-600000"/>
    <x v="1"/>
  </r>
  <r>
    <n v="2026"/>
    <n v="3"/>
    <s v="11-03-2026"/>
    <n v="7379"/>
    <s v="1101-03"/>
    <n v="0"/>
    <n v="260578"/>
    <s v="0769921850 transf a central sistem"/>
    <n v="-260578"/>
    <s v="Activo"/>
    <n v="-260578"/>
    <x v="1"/>
  </r>
  <r>
    <n v="2026"/>
    <n v="3"/>
    <s v="11-03-2026"/>
    <n v="7380"/>
    <s v="1101-03"/>
    <n v="0"/>
    <n v="258825"/>
    <s v="0767689462 transf a voissnet cloud"/>
    <n v="-258825"/>
    <s v="Activo"/>
    <n v="-258825"/>
    <x v="1"/>
  </r>
  <r>
    <n v="2026"/>
    <n v="3"/>
    <s v="11-03-2026"/>
    <n v="7381"/>
    <s v="1101-03"/>
    <n v="0"/>
    <n v="247999"/>
    <s v="0966693401 transf a tac comunicati"/>
    <n v="-247999"/>
    <s v="Activo"/>
    <n v="-247999"/>
    <x v="1"/>
  </r>
  <r>
    <n v="2026"/>
    <n v="3"/>
    <s v="11-03-2026"/>
    <n v="7382"/>
    <s v="1101-03"/>
    <n v="0"/>
    <n v="240975"/>
    <s v="0769224815 transf a soluciones grá"/>
    <n v="-240975"/>
    <s v="Activo"/>
    <n v="-240975"/>
    <x v="1"/>
  </r>
  <r>
    <n v="2026"/>
    <n v="3"/>
    <s v="11-03-2026"/>
    <n v="7383"/>
    <s v="1101-03"/>
    <n v="0"/>
    <n v="231777"/>
    <s v="076691442k transf a buk spa"/>
    <n v="-231777"/>
    <s v="Activo"/>
    <n v="-231777"/>
    <x v="1"/>
  </r>
  <r>
    <n v="2026"/>
    <n v="3"/>
    <s v="11-03-2026"/>
    <n v="7384"/>
    <s v="1101-03"/>
    <n v="0"/>
    <n v="230435"/>
    <s v="Nodo cdr consumo electrico mes febrero"/>
    <n v="-230435"/>
    <s v="Activo"/>
    <n v="-230435"/>
    <x v="1"/>
  </r>
  <r>
    <n v="2026"/>
    <n v="3"/>
    <s v="11-03-2026"/>
    <n v="7385"/>
    <s v="1101-03"/>
    <n v="0"/>
    <n v="155890"/>
    <s v="Nodo algarrobo consumo electrico mes febrero"/>
    <n v="-155890"/>
    <s v="Activo"/>
    <n v="-155890"/>
    <x v="1"/>
  </r>
  <r>
    <n v="2026"/>
    <n v="3"/>
    <s v="11-03-2026"/>
    <n v="7386"/>
    <s v="1101-03"/>
    <n v="0"/>
    <n v="134350"/>
    <s v="Nodo carampangue consumo electrico mes febrero"/>
    <n v="-134350"/>
    <s v="Activo"/>
    <n v="-134350"/>
    <x v="1"/>
  </r>
  <r>
    <n v="2026"/>
    <n v="3"/>
    <s v="11-03-2026"/>
    <n v="7387"/>
    <s v="1101-03"/>
    <n v="0"/>
    <n v="128574"/>
    <s v="Nodo la cruz consumo electrico mes febrero"/>
    <n v="-128574"/>
    <s v="Activo"/>
    <n v="-128574"/>
    <x v="1"/>
  </r>
  <r>
    <n v="2026"/>
    <n v="3"/>
    <s v="11-03-2026"/>
    <n v="7388"/>
    <s v="1101-03"/>
    <n v="0"/>
    <n v="120000"/>
    <s v="0189610955 transf a soledad del ca"/>
    <n v="-120000"/>
    <s v="Activo"/>
    <n v="-120000"/>
    <x v="1"/>
  </r>
  <r>
    <n v="2026"/>
    <n v="3"/>
    <s v="11-03-2026"/>
    <n v="7389"/>
    <s v="1101-03"/>
    <n v="0"/>
    <n v="90200"/>
    <s v="0789512701 transf a regus manageme"/>
    <n v="-90200"/>
    <s v="Activo"/>
    <n v="-90200"/>
    <x v="1"/>
  </r>
  <r>
    <n v="2026"/>
    <n v="3"/>
    <s v="11-03-2026"/>
    <n v="7390"/>
    <s v="1101-03"/>
    <n v="0"/>
    <n v="90000"/>
    <s v="016748381k transf a patrick lopez"/>
    <n v="-90000"/>
    <s v="Activo"/>
    <n v="-90000"/>
    <x v="1"/>
  </r>
  <r>
    <n v="2026"/>
    <n v="3"/>
    <s v="11-03-2026"/>
    <n v="7391"/>
    <s v="1101-03"/>
    <n v="0"/>
    <n v="90000"/>
    <s v="0153722110 transf a quezada pereir"/>
    <n v="-90000"/>
    <s v="Activo"/>
    <n v="-90000"/>
    <x v="1"/>
  </r>
  <r>
    <n v="2026"/>
    <n v="3"/>
    <s v="11-03-2026"/>
    <n v="7392"/>
    <s v="1101-03"/>
    <n v="0"/>
    <n v="90000"/>
    <s v="012646150k transf a ambiado olivar"/>
    <n v="-90000"/>
    <s v="Activo"/>
    <n v="-90000"/>
    <x v="1"/>
  </r>
  <r>
    <n v="2026"/>
    <n v="3"/>
    <s v="11-03-2026"/>
    <n v="7393"/>
    <s v="1101-03"/>
    <n v="0"/>
    <n v="71078"/>
    <s v="0779304779 transf a mdd soluciones"/>
    <n v="-71078"/>
    <s v="Activo"/>
    <n v="-71078"/>
    <x v="1"/>
  </r>
  <r>
    <n v="2026"/>
    <n v="3"/>
    <s v="11-03-2026"/>
    <n v="7394"/>
    <s v="1101-03"/>
    <n v="0"/>
    <n v="50000"/>
    <s v="0765406986 transf a t-link spa 176540698"/>
    <n v="-50000"/>
    <s v="Activo"/>
    <n v="-50000"/>
    <x v="1"/>
  </r>
  <r>
    <n v="2026"/>
    <n v="3"/>
    <s v="11-03-2026"/>
    <n v="7395"/>
    <s v="1101-03"/>
    <n v="0"/>
    <n v="43134"/>
    <s v="Nodo aromos consumo electrico mes febrero"/>
    <n v="-43134"/>
    <s v="Activo"/>
    <n v="-43134"/>
    <x v="1"/>
  </r>
  <r>
    <n v="2026"/>
    <n v="3"/>
    <s v="11-03-2026"/>
    <n v="7396"/>
    <s v="1101-03"/>
    <n v="0"/>
    <n v="4102"/>
    <s v="0995251000 transf a gama leasing o"/>
    <n v="-4102"/>
    <s v="Activo"/>
    <n v="-4102"/>
    <x v="1"/>
  </r>
  <r>
    <n v="2026"/>
    <n v="3"/>
    <s v="11-03-2026"/>
    <n v="11129"/>
    <s v="1101-03"/>
    <n v="2862490"/>
    <n v="0"/>
    <s v="0966893109 abn crd db tran transba"/>
    <n v="2862490"/>
    <s v="Activo"/>
    <n v="2862490"/>
    <x v="1"/>
  </r>
  <r>
    <n v="2026"/>
    <n v="3"/>
    <s v="11-03-2026"/>
    <n v="11130"/>
    <s v="1101-03"/>
    <n v="111278"/>
    <n v="0"/>
    <s v="0761872877 transf. khipu spa"/>
    <n v="111278"/>
    <s v="Activo"/>
    <n v="111278"/>
    <x v="1"/>
  </r>
  <r>
    <n v="2026"/>
    <n v="3"/>
    <s v="12-03-2026"/>
    <n v="11131"/>
    <s v="1101-03"/>
    <n v="9116622"/>
    <n v="0"/>
    <s v="0966893109 abn crd db tran transba"/>
    <n v="9116622"/>
    <s v="Activo"/>
    <n v="9116622"/>
    <x v="1"/>
  </r>
  <r>
    <n v="2026"/>
    <n v="3"/>
    <s v="12-03-2026"/>
    <n v="11132"/>
    <s v="1101-03"/>
    <n v="1118682"/>
    <n v="0"/>
    <s v="0761872877 transf. khipu spa"/>
    <n v="1118682"/>
    <s v="Activo"/>
    <n v="1118682"/>
    <x v="1"/>
  </r>
  <r>
    <n v="2026"/>
    <n v="3"/>
    <s v="13-03-2026"/>
    <n v="7397"/>
    <s v="1101-03"/>
    <n v="0"/>
    <n v="582825"/>
    <s v="0762565196 transf a inversiones y"/>
    <n v="-582825"/>
    <s v="Activo"/>
    <n v="-582825"/>
    <x v="1"/>
  </r>
  <r>
    <n v="2026"/>
    <n v="3"/>
    <s v="13-03-2026"/>
    <n v="7398"/>
    <s v="1101-03"/>
    <n v="0"/>
    <n v="351398"/>
    <s v="0773470286 transf a lars spa"/>
    <n v="-351398"/>
    <s v="Activo"/>
    <n v="-351398"/>
    <x v="1"/>
  </r>
  <r>
    <n v="2026"/>
    <n v="3"/>
    <s v="13-03-2026"/>
    <n v="7399"/>
    <s v="1101-03"/>
    <n v="0"/>
    <n v="150000"/>
    <s v="0765406986 transf a t-link spa 176540698"/>
    <n v="-150000"/>
    <s v="Activo"/>
    <n v="-150000"/>
    <x v="1"/>
  </r>
  <r>
    <n v="2026"/>
    <n v="3"/>
    <s v="13-03-2026"/>
    <n v="7400"/>
    <s v="1101-03"/>
    <n v="0"/>
    <n v="8100"/>
    <s v="0065189003 transf a boris osnoviko"/>
    <n v="-8100"/>
    <s v="Activo"/>
    <n v="-8100"/>
    <x v="1"/>
  </r>
  <r>
    <n v="2026"/>
    <n v="3"/>
    <s v="13-03-2026"/>
    <n v="11133"/>
    <s v="1101-03"/>
    <n v="8626469"/>
    <n v="0"/>
    <s v="0966893109 abn crd db tran transba"/>
    <n v="8626469"/>
    <s v="Activo"/>
    <n v="8626469"/>
    <x v="1"/>
  </r>
  <r>
    <n v="2026"/>
    <n v="3"/>
    <s v="13-03-2026"/>
    <n v="11134"/>
    <s v="1101-03"/>
    <n v="102743"/>
    <n v="0"/>
    <s v="0761872877 transf. khipu spa"/>
    <n v="102743"/>
    <s v="Activo"/>
    <n v="102743"/>
    <x v="1"/>
  </r>
  <r>
    <n v="2026"/>
    <n v="3"/>
    <s v="16-03-2026"/>
    <n v="7401"/>
    <s v="1101-03"/>
    <n v="0"/>
    <n v="500000"/>
    <s v="0995200007 transf a muevo copec em"/>
    <n v="-500000"/>
    <s v="Activo"/>
    <n v="-500000"/>
    <x v="1"/>
  </r>
  <r>
    <n v="2026"/>
    <n v="3"/>
    <s v="16-03-2026"/>
    <n v="11135"/>
    <s v="1101-03"/>
    <n v="2478214"/>
    <n v="0"/>
    <s v="0966893109 abn crd db tran transba"/>
    <n v="2478214"/>
    <s v="Activo"/>
    <n v="2478214"/>
    <x v="1"/>
  </r>
  <r>
    <n v="2026"/>
    <n v="3"/>
    <s v="16-03-2026"/>
    <n v="11136"/>
    <s v="1101-03"/>
    <n v="162009"/>
    <n v="0"/>
    <s v="0761872877 transf. khipu spa"/>
    <n v="162009"/>
    <s v="Activo"/>
    <n v="162009"/>
    <x v="1"/>
  </r>
  <r>
    <n v="2026"/>
    <n v="3"/>
    <s v="17-03-2026"/>
    <n v="7402"/>
    <s v="1101-03"/>
    <n v="0"/>
    <n v="1000000"/>
    <s v="0166615135 transf a andaur romero"/>
    <n v="-1000000"/>
    <s v="Activo"/>
    <n v="-1000000"/>
    <x v="1"/>
  </r>
  <r>
    <n v="2026"/>
    <n v="3"/>
    <s v="17-03-2026"/>
    <n v="7403"/>
    <s v="1101-03"/>
    <n v="0"/>
    <n v="1000000"/>
    <s v="0166615135 transf a robert andaur"/>
    <n v="-1000000"/>
    <s v="Activo"/>
    <n v="-1000000"/>
    <x v="1"/>
  </r>
  <r>
    <n v="2026"/>
    <n v="3"/>
    <s v="17-03-2026"/>
    <n v="7404"/>
    <s v="1101-03"/>
    <n v="0"/>
    <n v="856000"/>
    <s v="0166615135 transf a robert alexis"/>
    <n v="-856000"/>
    <s v="Activo"/>
    <n v="-856000"/>
    <x v="1"/>
  </r>
  <r>
    <n v="2026"/>
    <n v="3"/>
    <s v="17-03-2026"/>
    <n v="7405"/>
    <s v="1101-03"/>
    <n v="0"/>
    <n v="42000"/>
    <s v="Pago en linea voissnet cloud servi"/>
    <n v="-42000"/>
    <s v="Activo"/>
    <n v="-42000"/>
    <x v="1"/>
  </r>
  <r>
    <n v="2026"/>
    <n v="3"/>
    <s v="17-03-2026"/>
    <n v="7406"/>
    <s v="1101-03"/>
    <n v="0"/>
    <n v="26082"/>
    <s v="Compra calera de tango"/>
    <n v="-26082"/>
    <s v="Activo"/>
    <n v="-26082"/>
    <x v="1"/>
  </r>
  <r>
    <n v="2026"/>
    <n v="3"/>
    <s v="17-03-2026"/>
    <n v="7407"/>
    <s v="1101-03"/>
    <n v="0"/>
    <n v="25990"/>
    <s v="Compra hiper penaflor ba"/>
    <n v="-25990"/>
    <s v="Activo"/>
    <n v="-25990"/>
    <x v="1"/>
  </r>
  <r>
    <n v="2026"/>
    <n v="3"/>
    <s v="17-03-2026"/>
    <n v="11137"/>
    <s v="1101-03"/>
    <n v="2595952"/>
    <n v="0"/>
    <s v="0966893109 abn crd db tran transba"/>
    <n v="2595952"/>
    <s v="Activo"/>
    <n v="2595952"/>
    <x v="1"/>
  </r>
  <r>
    <n v="2026"/>
    <n v="3"/>
    <s v="18-03-2026"/>
    <n v="7408"/>
    <s v="1101-03"/>
    <n v="0"/>
    <n v="29394703"/>
    <s v="Pago f29 febrero"/>
    <n v="-29394703"/>
    <s v="Activo"/>
    <n v="-29394703"/>
    <x v="1"/>
  </r>
  <r>
    <n v="2026"/>
    <n v="3"/>
    <s v="18-03-2026"/>
    <n v="7409"/>
    <s v="1101-03"/>
    <n v="0"/>
    <n v="807409"/>
    <s v="0789534705 transf a ups de chile l"/>
    <n v="-807409"/>
    <s v="Activo"/>
    <n v="-807409"/>
    <x v="1"/>
  </r>
  <r>
    <n v="2026"/>
    <n v="3"/>
    <s v="18-03-2026"/>
    <n v="7410"/>
    <s v="1101-03"/>
    <n v="0"/>
    <n v="117659"/>
    <s v="Pago en linea servipag"/>
    <n v="-117659"/>
    <s v="Activo"/>
    <n v="-117659"/>
    <x v="1"/>
  </r>
  <r>
    <n v="2026"/>
    <n v="3"/>
    <s v="18-03-2026"/>
    <n v="7411"/>
    <s v="1101-03"/>
    <n v="0"/>
    <n v="100000"/>
    <s v="0145502578 transf a gerardo corval"/>
    <n v="-100000"/>
    <s v="Activo"/>
    <n v="-100000"/>
    <x v="1"/>
  </r>
  <r>
    <n v="2026"/>
    <n v="3"/>
    <s v="18-03-2026"/>
    <n v="7412"/>
    <s v="1101-03"/>
    <n v="0"/>
    <n v="85000"/>
    <s v="Pago en linea voissnet cloud servi"/>
    <n v="-85000"/>
    <s v="Activo"/>
    <n v="-85000"/>
    <x v="1"/>
  </r>
  <r>
    <n v="2026"/>
    <n v="3"/>
    <s v="18-03-2026"/>
    <n v="7413"/>
    <s v="1101-03"/>
    <n v="0"/>
    <n v="80000"/>
    <s v="Pago en linea voissnet cloud servi"/>
    <n v="-80000"/>
    <s v="Activo"/>
    <n v="-80000"/>
    <x v="1"/>
  </r>
  <r>
    <n v="2026"/>
    <n v="3"/>
    <s v="18-03-2026"/>
    <n v="7414"/>
    <s v="1101-03"/>
    <n v="0"/>
    <n v="65000"/>
    <s v="Pago en linea voissnet cloud servi"/>
    <n v="-65000"/>
    <s v="Activo"/>
    <n v="-65000"/>
    <x v="1"/>
  </r>
  <r>
    <n v="2026"/>
    <n v="3"/>
    <s v="18-03-2026"/>
    <n v="7415"/>
    <s v="1101-03"/>
    <n v="0"/>
    <n v="44000"/>
    <s v="Pago en linea voissnet cloud servi"/>
    <n v="-44000"/>
    <s v="Activo"/>
    <n v="-44000"/>
    <x v="1"/>
  </r>
  <r>
    <n v="2026"/>
    <n v="3"/>
    <s v="18-03-2026"/>
    <n v="7416"/>
    <s v="1101-03"/>
    <n v="0"/>
    <n v="42000"/>
    <s v="Pago en linea voissnet cloud servi"/>
    <n v="-42000"/>
    <s v="Activo"/>
    <n v="-42000"/>
    <x v="1"/>
  </r>
  <r>
    <n v="2026"/>
    <n v="3"/>
    <s v="18-03-2026"/>
    <n v="7417"/>
    <s v="1101-03"/>
    <n v="0"/>
    <n v="42000"/>
    <s v="Pago en linea voissnet cloud servi"/>
    <n v="-42000"/>
    <s v="Activo"/>
    <n v="-42000"/>
    <x v="1"/>
  </r>
  <r>
    <n v="2026"/>
    <n v="3"/>
    <s v="18-03-2026"/>
    <n v="7418"/>
    <s v="1101-03"/>
    <n v="0"/>
    <n v="42000"/>
    <s v="Pago en linea voissnet cloud servi"/>
    <n v="-42000"/>
    <s v="Activo"/>
    <n v="-42000"/>
    <x v="1"/>
  </r>
  <r>
    <n v="2026"/>
    <n v="3"/>
    <s v="18-03-2026"/>
    <n v="7419"/>
    <s v="1101-03"/>
    <n v="0"/>
    <n v="42000"/>
    <s v="Pago en linea voissnet cloud servi"/>
    <n v="-42000"/>
    <s v="Activo"/>
    <n v="-42000"/>
    <x v="1"/>
  </r>
  <r>
    <n v="2026"/>
    <n v="3"/>
    <s v="18-03-2026"/>
    <n v="7420"/>
    <s v="1101-03"/>
    <n v="0"/>
    <n v="42000"/>
    <s v="Pago en linea voissnet cloud servi"/>
    <n v="-42000"/>
    <s v="Activo"/>
    <n v="-42000"/>
    <x v="1"/>
  </r>
  <r>
    <n v="2026"/>
    <n v="3"/>
    <s v="18-03-2026"/>
    <n v="7421"/>
    <s v="1101-03"/>
    <n v="0"/>
    <n v="42000"/>
    <s v="Pago en linea voissnet cloud servi"/>
    <n v="-42000"/>
    <s v="Activo"/>
    <n v="-42000"/>
    <x v="1"/>
  </r>
  <r>
    <n v="2026"/>
    <n v="3"/>
    <s v="18-03-2026"/>
    <n v="7422"/>
    <s v="1101-03"/>
    <n v="0"/>
    <n v="42000"/>
    <s v="Pago en linea voissnet cloud servi"/>
    <n v="-42000"/>
    <s v="Activo"/>
    <n v="-42000"/>
    <x v="1"/>
  </r>
  <r>
    <n v="2026"/>
    <n v="3"/>
    <s v="18-03-2026"/>
    <n v="7423"/>
    <s v="1101-03"/>
    <n v="0"/>
    <n v="42000"/>
    <s v="Pago en linea voissnet cloud servi"/>
    <n v="-42000"/>
    <s v="Activo"/>
    <n v="-42000"/>
    <x v="1"/>
  </r>
  <r>
    <n v="2026"/>
    <n v="3"/>
    <s v="18-03-2026"/>
    <n v="11138"/>
    <s v="1101-03"/>
    <n v="3821509"/>
    <n v="0"/>
    <s v="0765406986 transf. tlink spa"/>
    <n v="3821509"/>
    <s v="Activo"/>
    <n v="3821509"/>
    <x v="1"/>
  </r>
  <r>
    <n v="2026"/>
    <n v="3"/>
    <s v="18-03-2026"/>
    <n v="11139"/>
    <s v="1101-03"/>
    <n v="2638008"/>
    <n v="0"/>
    <s v="0765406986 transf. tlink spa"/>
    <n v="2638008"/>
    <s v="Activo"/>
    <n v="2638008"/>
    <x v="1"/>
  </r>
  <r>
    <n v="2026"/>
    <n v="3"/>
    <s v="18-03-2026"/>
    <n v="11140"/>
    <s v="1101-03"/>
    <n v="2053647"/>
    <n v="0"/>
    <s v="0966893109 abn crd db tran transba"/>
    <n v="2053647"/>
    <s v="Activo"/>
    <n v="2053647"/>
    <x v="1"/>
  </r>
  <r>
    <n v="2026"/>
    <n v="3"/>
    <s v="18-03-2026"/>
    <n v="11141"/>
    <s v="1101-03"/>
    <n v="428727"/>
    <n v="0"/>
    <s v="0761872877 transf. khipu spa"/>
    <n v="428727"/>
    <s v="Activo"/>
    <n v="428727"/>
    <x v="1"/>
  </r>
  <r>
    <n v="2026"/>
    <n v="3"/>
    <s v="19-03-2026"/>
    <n v="7424"/>
    <s v="1101-03"/>
    <n v="0"/>
    <n v="500000"/>
    <s v="0995200007 transf a muevo copec em"/>
    <n v="-500000"/>
    <s v="Activo"/>
    <n v="-500000"/>
    <x v="1"/>
  </r>
  <r>
    <n v="2026"/>
    <n v="3"/>
    <s v="19-03-2026"/>
    <n v="11142"/>
    <s v="1101-03"/>
    <n v="5324706"/>
    <n v="0"/>
    <s v="0966893109 abn crd db tran transba"/>
    <n v="5324706"/>
    <s v="Activo"/>
    <n v="5324706"/>
    <x v="1"/>
  </r>
  <r>
    <n v="2026"/>
    <n v="3"/>
    <s v="19-03-2026"/>
    <n v="11143"/>
    <s v="1101-03"/>
    <n v="287430"/>
    <n v="0"/>
    <s v="0761872877 transf. khipu spa"/>
    <n v="287430"/>
    <s v="Activo"/>
    <n v="287430"/>
    <x v="1"/>
  </r>
  <r>
    <n v="2026"/>
    <n v="3"/>
    <s v="20-03-2026"/>
    <n v="7425"/>
    <s v="1101-03"/>
    <n v="0"/>
    <n v="1351397"/>
    <s v="0773470286 transf a lars spa"/>
    <n v="-1351397"/>
    <s v="Activo"/>
    <n v="-1351397"/>
    <x v="1"/>
  </r>
  <r>
    <n v="2026"/>
    <n v="3"/>
    <s v="20-03-2026"/>
    <n v="7426"/>
    <s v="1101-03"/>
    <n v="0"/>
    <n v="1178100"/>
    <s v="0133423583 transf a hector vivanco"/>
    <n v="-1178100"/>
    <s v="Activo"/>
    <n v="-1178100"/>
    <x v="1"/>
  </r>
  <r>
    <n v="2026"/>
    <n v="3"/>
    <s v="20-03-2026"/>
    <n v="7427"/>
    <s v="1101-03"/>
    <n v="0"/>
    <n v="1010729"/>
    <s v="0765672007 transf a tecnologia lk"/>
    <n v="-1010729"/>
    <s v="Activo"/>
    <n v="-1010729"/>
    <x v="1"/>
  </r>
  <r>
    <n v="2026"/>
    <n v="3"/>
    <s v="20-03-2026"/>
    <n v="7428"/>
    <s v="1101-03"/>
    <n v="0"/>
    <n v="733199"/>
    <s v="0769655271 transf a enertik chile"/>
    <n v="-733199"/>
    <s v="Activo"/>
    <n v="-733199"/>
    <x v="1"/>
  </r>
  <r>
    <n v="2026"/>
    <n v="3"/>
    <s v="20-03-2026"/>
    <n v="7429"/>
    <s v="1101-03"/>
    <n v="0"/>
    <n v="600000"/>
    <s v="0161713392 transf a felipe luengo"/>
    <n v="-600000"/>
    <s v="Activo"/>
    <n v="-600000"/>
    <x v="1"/>
  </r>
  <r>
    <n v="2026"/>
    <n v="3"/>
    <s v="20-03-2026"/>
    <n v="7430"/>
    <s v="1101-03"/>
    <n v="0"/>
    <n v="584338"/>
    <s v="0765672007 transf a tecnologia lk"/>
    <n v="-584338"/>
    <s v="Activo"/>
    <n v="-584338"/>
    <x v="1"/>
  </r>
  <r>
    <n v="2026"/>
    <n v="3"/>
    <s v="20-03-2026"/>
    <n v="7431"/>
    <s v="1101-03"/>
    <n v="0"/>
    <n v="416500"/>
    <s v="0766038824 transf a helle raven"/>
    <n v="-416500"/>
    <s v="Activo"/>
    <n v="-416500"/>
    <x v="1"/>
  </r>
  <r>
    <n v="2026"/>
    <n v="3"/>
    <s v="20-03-2026"/>
    <n v="7432"/>
    <s v="1101-03"/>
    <n v="0"/>
    <n v="261800"/>
    <s v="0112262318 transf a erika del carm"/>
    <n v="-261800"/>
    <s v="Activo"/>
    <n v="-261800"/>
    <x v="1"/>
  </r>
  <r>
    <n v="2026"/>
    <n v="3"/>
    <s v="20-03-2026"/>
    <n v="7433"/>
    <s v="1101-03"/>
    <n v="0"/>
    <n v="250000"/>
    <s v="0173984030 transf a abraham issaac"/>
    <n v="-250000"/>
    <s v="Activo"/>
    <n v="-250000"/>
    <x v="1"/>
  </r>
  <r>
    <n v="2026"/>
    <n v="3"/>
    <s v="20-03-2026"/>
    <n v="7434"/>
    <s v="1101-03"/>
    <n v="0"/>
    <n v="120000"/>
    <s v="0189610955 transf a soledad del ca"/>
    <n v="-120000"/>
    <s v="Activo"/>
    <n v="-120000"/>
    <x v="1"/>
  </r>
  <r>
    <n v="2026"/>
    <n v="3"/>
    <s v="20-03-2026"/>
    <n v="7435"/>
    <s v="1101-03"/>
    <n v="0"/>
    <n v="94500"/>
    <s v="0769657371 transf a sociedad emiso"/>
    <n v="-94500"/>
    <s v="Activo"/>
    <n v="-94500"/>
    <x v="1"/>
  </r>
  <r>
    <n v="2026"/>
    <n v="3"/>
    <s v="20-03-2026"/>
    <n v="7436"/>
    <s v="1101-03"/>
    <n v="0"/>
    <n v="45000"/>
    <s v="0180802495 transf a camila elizabe"/>
    <n v="-45000"/>
    <s v="Activo"/>
    <n v="-45000"/>
    <x v="1"/>
  </r>
  <r>
    <n v="2026"/>
    <n v="3"/>
    <s v="20-03-2026"/>
    <n v="7437"/>
    <s v="1101-03"/>
    <n v="0"/>
    <n v="42840"/>
    <s v="0112262318 transf a erika del carm"/>
    <n v="-42840"/>
    <s v="Activo"/>
    <n v="-42840"/>
    <x v="1"/>
  </r>
  <r>
    <n v="2026"/>
    <n v="3"/>
    <s v="20-03-2026"/>
    <n v="11144"/>
    <s v="1101-03"/>
    <n v="3954639"/>
    <n v="0"/>
    <s v="0966893109 abn crd db tran transba"/>
    <n v="3954639"/>
    <s v="Activo"/>
    <n v="3954639"/>
    <x v="1"/>
  </r>
  <r>
    <n v="2026"/>
    <n v="3"/>
    <s v="20-03-2026"/>
    <n v="11145"/>
    <s v="1101-03"/>
    <n v="1774500"/>
    <n v="0"/>
    <s v="Ingreso por venta de divisas"/>
    <n v="1774500"/>
    <s v="Activo"/>
    <n v="1774500"/>
    <x v="1"/>
  </r>
  <r>
    <n v="2026"/>
    <n v="3"/>
    <s v="20-03-2026"/>
    <n v="11146"/>
    <s v="1101-03"/>
    <n v="105707"/>
    <n v="0"/>
    <s v="0761872877 transf. khipu spa"/>
    <n v="105707"/>
    <s v="Activo"/>
    <n v="105707"/>
    <x v="1"/>
  </r>
  <r>
    <n v="2026"/>
    <n v="3"/>
    <s v="23-03-2026"/>
    <n v="7438"/>
    <s v="1101-03"/>
    <n v="0"/>
    <n v="4868568"/>
    <s v="Pago cuota 13 - 48 credito santander 420050694789"/>
    <n v="-4868568"/>
    <s v="Activo"/>
    <n v="-4868568"/>
    <x v="1"/>
  </r>
  <r>
    <n v="2026"/>
    <n v="3"/>
    <s v="23-03-2026"/>
    <n v="7439"/>
    <s v="1101-03"/>
    <n v="0"/>
    <n v="1341219"/>
    <s v="0966693401 transf a tac comunicati"/>
    <n v="-1341219"/>
    <s v="Activo"/>
    <n v="-1341219"/>
    <x v="1"/>
  </r>
  <r>
    <n v="2026"/>
    <n v="3"/>
    <s v="23-03-2026"/>
    <n v="7440"/>
    <s v="1101-03"/>
    <n v="0"/>
    <n v="1094800"/>
    <s v="0966693401 transf a tac comunicati"/>
    <n v="-1094800"/>
    <s v="Activo"/>
    <n v="-1094800"/>
    <x v="1"/>
  </r>
  <r>
    <n v="2026"/>
    <n v="3"/>
    <s v="23-03-2026"/>
    <n v="7441"/>
    <s v="1101-03"/>
    <n v="0"/>
    <n v="1000000"/>
    <s v="Traspaso internet a t. crédito santander 6647"/>
    <n v="-1000000"/>
    <s v="Activo"/>
    <n v="-1000000"/>
    <x v="1"/>
  </r>
  <r>
    <n v="2026"/>
    <n v="3"/>
    <s v="23-03-2026"/>
    <n v="7442"/>
    <s v="1101-03"/>
    <n v="0"/>
    <n v="1000000"/>
    <s v="0127181888 transf a izzie moyano"/>
    <n v="-1000000"/>
    <s v="Activo"/>
    <n v="-1000000"/>
    <x v="1"/>
  </r>
  <r>
    <n v="2026"/>
    <n v="3"/>
    <s v="23-03-2026"/>
    <n v="7443"/>
    <s v="1101-03"/>
    <n v="0"/>
    <n v="310000"/>
    <s v="0765406986 transf a t-link spa 176540698"/>
    <n v="-310000"/>
    <s v="Activo"/>
    <n v="-310000"/>
    <x v="1"/>
  </r>
  <r>
    <n v="2026"/>
    <n v="3"/>
    <s v="23-03-2026"/>
    <n v="7444"/>
    <s v="1101-03"/>
    <n v="0"/>
    <n v="57120"/>
    <s v="0764962230 transf a master glass l"/>
    <n v="-57120"/>
    <s v="Activo"/>
    <n v="-57120"/>
    <x v="1"/>
  </r>
  <r>
    <n v="2026"/>
    <n v="3"/>
    <s v="23-03-2026"/>
    <n v="11147"/>
    <s v="1101-03"/>
    <n v="3697841"/>
    <n v="0"/>
    <s v="0966893109 abn crd db tran transba"/>
    <n v="3697841"/>
    <s v="Activo"/>
    <n v="3697841"/>
    <x v="1"/>
  </r>
  <r>
    <n v="2026"/>
    <n v="3"/>
    <s v="23-03-2026"/>
    <n v="11148"/>
    <s v="1101-03"/>
    <n v="1378023"/>
    <n v="0"/>
    <s v="0765406986 transf. tlink spa"/>
    <n v="1378023"/>
    <s v="Activo"/>
    <n v="1378023"/>
    <x v="1"/>
  </r>
  <r>
    <n v="2026"/>
    <n v="3"/>
    <s v="23-03-2026"/>
    <n v="11149"/>
    <s v="1101-03"/>
    <n v="270482"/>
    <n v="0"/>
    <s v="0761872877 transf. khipu spa"/>
    <n v="270482"/>
    <s v="Activo"/>
    <n v="270482"/>
    <x v="1"/>
  </r>
  <r>
    <n v="2026"/>
    <n v="3"/>
    <s v="24-03-2026"/>
    <n v="7445"/>
    <s v="1101-03"/>
    <n v="0"/>
    <n v="690200"/>
    <s v="0774546138 transf a optictimes spa"/>
    <n v="-690200"/>
    <s v="Activo"/>
    <n v="-690200"/>
    <x v="1"/>
  </r>
  <r>
    <n v="2026"/>
    <n v="3"/>
    <s v="24-03-2026"/>
    <n v="7446"/>
    <s v="1101-03"/>
    <n v="0"/>
    <n v="400000"/>
    <s v="0995200007 transf a muevo copec em"/>
    <n v="-400000"/>
    <s v="Activo"/>
    <n v="-400000"/>
    <x v="1"/>
  </r>
  <r>
    <n v="2026"/>
    <n v="3"/>
    <s v="24-03-2026"/>
    <n v="11150"/>
    <s v="1101-03"/>
    <n v="3436966"/>
    <n v="0"/>
    <s v="0966893109 abn crd db tran transba"/>
    <n v="3436966"/>
    <s v="Activo"/>
    <n v="3436966"/>
    <x v="1"/>
  </r>
  <r>
    <n v="2026"/>
    <n v="3"/>
    <s v="24-03-2026"/>
    <n v="11151"/>
    <s v="1101-03"/>
    <n v="1544796"/>
    <n v="0"/>
    <s v="Ingreso por venta de divisas"/>
    <n v="1544796"/>
    <s v="Activo"/>
    <n v="1544796"/>
    <x v="1"/>
  </r>
  <r>
    <n v="2026"/>
    <n v="3"/>
    <s v="24-03-2026"/>
    <n v="11152"/>
    <s v="1101-03"/>
    <n v="118055"/>
    <n v="0"/>
    <s v="0761872877 transf. khipu spa"/>
    <n v="118055"/>
    <s v="Activo"/>
    <n v="118055"/>
    <x v="1"/>
  </r>
  <r>
    <n v="2026"/>
    <n v="3"/>
    <s v="25-03-2026"/>
    <n v="7447"/>
    <s v="1101-03"/>
    <n v="0"/>
    <n v="4819500"/>
    <s v="0966693401 transf a tac comunicati"/>
    <n v="-4819500"/>
    <s v="Activo"/>
    <n v="-4819500"/>
    <x v="1"/>
  </r>
  <r>
    <n v="2026"/>
    <n v="3"/>
    <s v="25-03-2026"/>
    <n v="7448"/>
    <s v="1101-03"/>
    <n v="0"/>
    <n v="169654"/>
    <s v="0769818758 transf a contempora com"/>
    <n v="-169654"/>
    <s v="Activo"/>
    <n v="-169654"/>
    <x v="1"/>
  </r>
  <r>
    <n v="2026"/>
    <n v="3"/>
    <s v="25-03-2026"/>
    <n v="7449"/>
    <s v="1101-03"/>
    <n v="0"/>
    <n v="90000"/>
    <s v="0765406986 transf a t-link spa 176540698"/>
    <n v="-90000"/>
    <s v="Activo"/>
    <n v="-90000"/>
    <x v="1"/>
  </r>
  <r>
    <n v="2026"/>
    <n v="3"/>
    <s v="25-03-2026"/>
    <n v="7450"/>
    <s v="1101-03"/>
    <n v="0"/>
    <n v="10000"/>
    <s v="Compra notaria cartagena"/>
    <n v="-10000"/>
    <s v="Activo"/>
    <n v="-10000"/>
    <x v="1"/>
  </r>
  <r>
    <n v="2026"/>
    <n v="3"/>
    <s v="25-03-2026"/>
    <n v="11153"/>
    <s v="1101-03"/>
    <n v="2609667"/>
    <n v="0"/>
    <s v="0966893109 abn crd db tran transba"/>
    <n v="2609667"/>
    <s v="Activo"/>
    <n v="2609667"/>
    <x v="1"/>
  </r>
  <r>
    <n v="2026"/>
    <n v="3"/>
    <s v="25-03-2026"/>
    <n v="11154"/>
    <s v="1101-03"/>
    <n v="117911"/>
    <n v="0"/>
    <s v="0761872877 transf. khipu spa"/>
    <n v="117911"/>
    <s v="Activo"/>
    <n v="117911"/>
    <x v="1"/>
  </r>
  <r>
    <n v="2026"/>
    <n v="3"/>
    <s v="26-03-2026"/>
    <n v="11155"/>
    <s v="1101-03"/>
    <n v="2792000"/>
    <n v="0"/>
    <s v="0966893109 abn crd db tran transba"/>
    <n v="2792000"/>
    <s v="Activo"/>
    <n v="2792000"/>
    <x v="1"/>
  </r>
  <r>
    <n v="2026"/>
    <n v="3"/>
    <s v="26-03-2026"/>
    <n v="11156"/>
    <s v="1101-03"/>
    <n v="574840"/>
    <n v="0"/>
    <s v="0761872877 transf. khipu spa"/>
    <n v="574840"/>
    <s v="Activo"/>
    <n v="574840"/>
    <x v="1"/>
  </r>
  <r>
    <n v="2026"/>
    <n v="3"/>
    <s v="27-03-2026"/>
    <n v="7451"/>
    <s v="1101-03"/>
    <n v="0"/>
    <n v="2000000"/>
    <s v="0133423583 transf a hector vivanco"/>
    <n v="-2000000"/>
    <s v="Activo"/>
    <n v="-2000000"/>
    <x v="1"/>
  </r>
  <r>
    <n v="2026"/>
    <n v="3"/>
    <s v="27-03-2026"/>
    <n v="7452"/>
    <s v="1101-03"/>
    <n v="0"/>
    <n v="1939700"/>
    <s v="0775321636 transf a hayex tecnolog"/>
    <n v="-1939700"/>
    <s v="Activo"/>
    <n v="-1939700"/>
    <x v="1"/>
  </r>
  <r>
    <n v="2026"/>
    <n v="3"/>
    <s v="27-03-2026"/>
    <n v="7453"/>
    <s v="1101-03"/>
    <n v="0"/>
    <n v="1927000"/>
    <s v="0133423583 transf a hector vivanco"/>
    <n v="-1927000"/>
    <s v="Activo"/>
    <n v="-1927000"/>
    <x v="1"/>
  </r>
  <r>
    <n v="2026"/>
    <n v="3"/>
    <s v="27-03-2026"/>
    <n v="7454"/>
    <s v="1101-03"/>
    <n v="0"/>
    <n v="1544125"/>
    <s v="0770782546 transf a cogent communi"/>
    <n v="-1544125"/>
    <s v="Activo"/>
    <n v="-1544125"/>
    <x v="1"/>
  </r>
  <r>
    <n v="2026"/>
    <n v="3"/>
    <s v="27-03-2026"/>
    <n v="7455"/>
    <s v="1101-03"/>
    <n v="0"/>
    <n v="1094800"/>
    <s v="0966693401 transf a tac comunicati"/>
    <n v="-1094800"/>
    <s v="Activo"/>
    <n v="-1094800"/>
    <x v="1"/>
  </r>
  <r>
    <n v="2026"/>
    <n v="3"/>
    <s v="27-03-2026"/>
    <n v="7456"/>
    <s v="1101-03"/>
    <n v="0"/>
    <n v="300000"/>
    <s v="0995200007 transf a muevo copec em"/>
    <n v="-300000"/>
    <s v="Activo"/>
    <n v="-300000"/>
    <x v="1"/>
  </r>
  <r>
    <n v="2026"/>
    <n v="3"/>
    <s v="27-03-2026"/>
    <n v="7457"/>
    <s v="1101-03"/>
    <n v="0"/>
    <n v="120000"/>
    <s v="0189610955 transf a soledad del ca"/>
    <n v="-120000"/>
    <s v="Activo"/>
    <n v="-120000"/>
    <x v="1"/>
  </r>
  <r>
    <n v="2026"/>
    <n v="3"/>
    <s v="27-03-2026"/>
    <n v="7458"/>
    <s v="1101-03"/>
    <n v="0"/>
    <n v="23477"/>
    <s v="Com.mantencion plan"/>
    <n v="-23477"/>
    <s v="Activo"/>
    <n v="-23477"/>
    <x v="1"/>
  </r>
  <r>
    <n v="2026"/>
    <n v="3"/>
    <s v="27-03-2026"/>
    <n v="11157"/>
    <s v="1101-03"/>
    <n v="5558703"/>
    <n v="0"/>
    <s v="0966893109 abn crd db tran transba"/>
    <n v="5558703"/>
    <s v="Activo"/>
    <n v="5558703"/>
    <x v="1"/>
  </r>
  <r>
    <n v="2026"/>
    <n v="3"/>
    <s v="27-03-2026"/>
    <n v="11158"/>
    <s v="1101-03"/>
    <n v="2064000"/>
    <n v="0"/>
    <s v="0765406986 transf. tlink spa estado 35571038291"/>
    <n v="2064000"/>
    <s v="Activo"/>
    <n v="2064000"/>
    <x v="1"/>
  </r>
  <r>
    <n v="2026"/>
    <n v="3"/>
    <s v="27-03-2026"/>
    <n v="11159"/>
    <s v="1101-03"/>
    <n v="465228"/>
    <n v="0"/>
    <s v="0761872877 transf. khipu spa"/>
    <n v="465228"/>
    <s v="Activo"/>
    <n v="465228"/>
    <x v="1"/>
  </r>
  <r>
    <n v="2026"/>
    <n v="3"/>
    <s v="30-03-2026"/>
    <n v="7459"/>
    <s v="1101-03"/>
    <n v="0"/>
    <n v="5000000"/>
    <s v="0765406986 transf a tlink spa itau 0207015225"/>
    <n v="-5000000"/>
    <s v="Activo"/>
    <n v="-5000000"/>
    <x v="1"/>
  </r>
  <r>
    <n v="2026"/>
    <n v="3"/>
    <s v="30-03-2026"/>
    <n v="7460"/>
    <s v="1101-03"/>
    <n v="0"/>
    <n v="4479345"/>
    <s v="0765406986 transf a tlink spa itau 0207015225"/>
    <n v="-4479345"/>
    <s v="Activo"/>
    <n v="-4479345"/>
    <x v="1"/>
  </r>
  <r>
    <n v="2026"/>
    <n v="3"/>
    <s v="30-03-2026"/>
    <n v="7461"/>
    <s v="1101-03"/>
    <n v="0"/>
    <n v="582825"/>
    <s v="0762565196 transf a inversiones y"/>
    <n v="-582825"/>
    <s v="Activo"/>
    <n v="-582825"/>
    <x v="1"/>
  </r>
  <r>
    <n v="2026"/>
    <n v="3"/>
    <s v="30-03-2026"/>
    <n v="11160"/>
    <s v="1101-03"/>
    <n v="5071295"/>
    <n v="0"/>
    <s v="0966893109 abn crd db tran transba"/>
    <n v="5071295"/>
    <s v="Activo"/>
    <n v="5071295"/>
    <x v="1"/>
  </r>
  <r>
    <n v="2026"/>
    <n v="3"/>
    <s v="30-03-2026"/>
    <n v="11161"/>
    <s v="1101-03"/>
    <n v="4209000"/>
    <n v="0"/>
    <s v="0765406986 transf. tlink spa estado 35571038291"/>
    <n v="4209000"/>
    <s v="Activo"/>
    <n v="4209000"/>
    <x v="1"/>
  </r>
  <r>
    <n v="2026"/>
    <n v="3"/>
    <s v="30-03-2026"/>
    <n v="11162"/>
    <s v="1101-03"/>
    <n v="1227726"/>
    <n v="0"/>
    <s v="0761872877 transf. khipu spa"/>
    <n v="1227726"/>
    <s v="Activo"/>
    <n v="1227726"/>
    <x v="1"/>
  </r>
  <r>
    <n v="2026"/>
    <n v="3"/>
    <s v="31-03-2026"/>
    <n v="7462"/>
    <s v="1101-03"/>
    <n v="0"/>
    <n v="7494647"/>
    <s v="0774344497 transf a botsch spa"/>
    <n v="-7494647"/>
    <s v="Activo"/>
    <n v="-7494647"/>
    <x v="1"/>
  </r>
  <r>
    <n v="2026"/>
    <n v="3"/>
    <s v="31-03-2026"/>
    <n v="7463"/>
    <s v="1101-03"/>
    <n v="0"/>
    <n v="500000"/>
    <s v="Traspaso internet a t. crédito"/>
    <n v="-500000"/>
    <s v="Activo"/>
    <n v="-500000"/>
    <x v="1"/>
  </r>
  <r>
    <n v="2026"/>
    <n v="3"/>
    <s v="31-03-2026"/>
    <n v="7464"/>
    <s v="1101-03"/>
    <n v="0"/>
    <n v="4000"/>
    <s v="Compra santa isabel tala"/>
    <n v="-4000"/>
    <s v="Activo"/>
    <n v="-4000"/>
    <x v="1"/>
  </r>
  <r>
    <n v="2026"/>
    <n v="3"/>
    <s v="31-03-2026"/>
    <n v="7465"/>
    <s v="1101-03"/>
    <n v="0"/>
    <n v="800"/>
    <s v="Compra tuuopas kaffee"/>
    <n v="-800"/>
    <s v="Activo"/>
    <n v="-800"/>
    <x v="1"/>
  </r>
  <r>
    <n v="2026"/>
    <n v="3"/>
    <s v="31-03-2026"/>
    <n v="11163"/>
    <s v="1101-03"/>
    <n v="8841435"/>
    <n v="0"/>
    <s v="0966893109 abn crd db tran transba"/>
    <n v="8841435"/>
    <s v="Activo"/>
    <n v="8841435"/>
    <x v="1"/>
  </r>
  <r>
    <n v="2026"/>
    <n v="3"/>
    <s v="31-03-2026"/>
    <n v="11164"/>
    <s v="1101-03"/>
    <n v="1361836"/>
    <n v="0"/>
    <s v="0761872877 transf. khipu spa"/>
    <n v="1361836"/>
    <s v="Activo"/>
    <n v="1361836"/>
    <x v="1"/>
  </r>
  <r>
    <n v="2026"/>
    <n v="4"/>
    <s v="01-04-2026"/>
    <n v="7482"/>
    <s v="1101-03"/>
    <n v="0"/>
    <n v="4500000"/>
    <s v="0257106268 transf a alvaro millan"/>
    <n v="-4500000"/>
    <s v="Activo"/>
    <n v="-4500000"/>
    <x v="1"/>
  </r>
  <r>
    <n v="2026"/>
    <n v="4"/>
    <s v="01-04-2026"/>
    <n v="7483"/>
    <s v="1101-03"/>
    <n v="0"/>
    <n v="930302"/>
    <s v="Compra google workspace_"/>
    <n v="-930302"/>
    <s v="Activo"/>
    <n v="-930302"/>
    <x v="1"/>
  </r>
  <r>
    <n v="2026"/>
    <n v="4"/>
    <s v="01-04-2026"/>
    <n v="7484"/>
    <s v="1101-03"/>
    <n v="0"/>
    <n v="300000"/>
    <s v="0995200007 transf a muevo copec em"/>
    <n v="-300000"/>
    <s v="Activo"/>
    <n v="-300000"/>
    <x v="1"/>
  </r>
  <r>
    <n v="2026"/>
    <n v="4"/>
    <s v="01-04-2026"/>
    <n v="7485"/>
    <s v="1101-03"/>
    <n v="0"/>
    <n v="63721"/>
    <s v="Compra hiper penaflor ba"/>
    <n v="-63721"/>
    <s v="Activo"/>
    <n v="-63721"/>
    <x v="1"/>
  </r>
  <r>
    <n v="2026"/>
    <n v="4"/>
    <s v="01-04-2026"/>
    <n v="7486"/>
    <s v="1101-03"/>
    <n v="0"/>
    <n v="5300"/>
    <s v="Compra mall chino"/>
    <n v="-5300"/>
    <s v="Activo"/>
    <n v="-5300"/>
    <x v="1"/>
  </r>
  <r>
    <n v="2026"/>
    <n v="4"/>
    <s v="01-04-2026"/>
    <n v="7487"/>
    <s v="1101-03"/>
    <n v="0"/>
    <n v="5000"/>
    <s v="Compra notaria puga"/>
    <n v="-5000"/>
    <s v="Activo"/>
    <n v="-5000"/>
    <x v="1"/>
  </r>
  <r>
    <n v="2026"/>
    <n v="4"/>
    <s v="01-04-2026"/>
    <n v="7488"/>
    <s v="1101-03"/>
    <n v="0"/>
    <n v="970"/>
    <s v="Compra merpagoestaclpal"/>
    <n v="-970"/>
    <s v="Activo"/>
    <n v="-970"/>
    <x v="1"/>
  </r>
  <r>
    <n v="2026"/>
    <n v="4"/>
    <s v="01-04-2026"/>
    <n v="7489"/>
    <s v="1101-03"/>
    <n v="0"/>
    <n v="500"/>
    <s v="Compra merpagoautomotor"/>
    <n v="-500"/>
    <s v="Activo"/>
    <n v="-500"/>
    <x v="1"/>
  </r>
  <r>
    <n v="2026"/>
    <n v="4"/>
    <s v="01-04-2026"/>
    <n v="11795"/>
    <s v="1101-03"/>
    <n v="9177410"/>
    <n v="0"/>
    <s v="0966893109 abn crd db tran transba"/>
    <n v="9177410"/>
    <s v="Activo"/>
    <n v="9177410"/>
    <x v="1"/>
  </r>
  <r>
    <n v="2026"/>
    <n v="4"/>
    <s v="01-04-2026"/>
    <n v="11796"/>
    <s v="1101-03"/>
    <n v="5000000"/>
    <n v="0"/>
    <s v="0765406986 transf. 0207015225"/>
    <n v="5000000"/>
    <s v="Activo"/>
    <n v="5000000"/>
    <x v="1"/>
  </r>
  <r>
    <n v="2026"/>
    <n v="4"/>
    <s v="01-04-2026"/>
    <n v="11797"/>
    <s v="1101-03"/>
    <n v="867052"/>
    <n v="0"/>
    <s v="0761872877 transf. khipu spa"/>
    <n v="867052"/>
    <s v="Activo"/>
    <n v="867052"/>
    <x v="1"/>
  </r>
  <r>
    <n v="2026"/>
    <n v="4"/>
    <s v="02-04-2026"/>
    <n v="7490"/>
    <s v="1101-03"/>
    <n v="0"/>
    <n v="5000000"/>
    <s v="012646150k transf a ambiado olivar"/>
    <n v="-5000000"/>
    <s v="Activo"/>
    <n v="-5000000"/>
    <x v="1"/>
  </r>
  <r>
    <n v="2026"/>
    <n v="4"/>
    <s v="02-04-2026"/>
    <n v="7491"/>
    <s v="1101-03"/>
    <n v="0"/>
    <n v="4264900"/>
    <s v="012646150k transf a ambiado olivar"/>
    <n v="-4264900"/>
    <s v="Activo"/>
    <n v="-4264900"/>
    <x v="1"/>
  </r>
  <r>
    <n v="2026"/>
    <n v="4"/>
    <s v="02-04-2026"/>
    <n v="7492"/>
    <s v="1101-03"/>
    <n v="0"/>
    <n v="2272517"/>
    <s v="0969128608 transf a silica network"/>
    <n v="-2272517"/>
    <s v="Activo"/>
    <n v="-2272517"/>
    <x v="1"/>
  </r>
  <r>
    <n v="2026"/>
    <n v="4"/>
    <s v="02-04-2026"/>
    <n v="7493"/>
    <s v="1101-03"/>
    <n v="0"/>
    <n v="2127161"/>
    <s v="0966693401 transf a tac comunicati"/>
    <n v="-2127161"/>
    <s v="Activo"/>
    <n v="-2127161"/>
    <x v="1"/>
  </r>
  <r>
    <n v="2026"/>
    <n v="4"/>
    <s v="02-04-2026"/>
    <n v="7494"/>
    <s v="1101-03"/>
    <n v="0"/>
    <n v="1105510"/>
    <s v="0761831402 transf a comercial lago"/>
    <n v="-1105510"/>
    <s v="Activo"/>
    <n v="-1105510"/>
    <x v="1"/>
  </r>
  <r>
    <n v="2026"/>
    <n v="4"/>
    <s v="02-04-2026"/>
    <n v="7495"/>
    <s v="1101-03"/>
    <n v="0"/>
    <n v="535500"/>
    <s v="0782238159 transf a luxconnect spa"/>
    <n v="-535500"/>
    <s v="Activo"/>
    <n v="-535500"/>
    <x v="1"/>
  </r>
  <r>
    <n v="2026"/>
    <n v="4"/>
    <s v="02-04-2026"/>
    <n v="7496"/>
    <s v="1101-03"/>
    <n v="0"/>
    <n v="513844"/>
    <s v="0765672007 transf a tecnologia lk"/>
    <n v="-513844"/>
    <s v="Activo"/>
    <n v="-513844"/>
    <x v="1"/>
  </r>
  <r>
    <n v="2026"/>
    <n v="4"/>
    <s v="02-04-2026"/>
    <n v="7497"/>
    <s v="1101-03"/>
    <n v="0"/>
    <n v="500000"/>
    <s v="0995200007 transf a muevo copec em"/>
    <n v="-500000"/>
    <s v="Activo"/>
    <n v="-500000"/>
    <x v="1"/>
  </r>
  <r>
    <n v="2026"/>
    <n v="4"/>
    <s v="02-04-2026"/>
    <n v="7498"/>
    <s v="1101-03"/>
    <n v="0"/>
    <n v="175518"/>
    <s v="Nodo cartagena"/>
    <n v="-175518"/>
    <s v="Activo"/>
    <n v="-175518"/>
    <x v="1"/>
  </r>
  <r>
    <n v="2026"/>
    <n v="4"/>
    <s v="02-04-2026"/>
    <n v="7499"/>
    <s v="1101-03"/>
    <n v="0"/>
    <n v="120000"/>
    <s v="0189610955 transf a soledad del ca"/>
    <n v="-120000"/>
    <s v="Activo"/>
    <n v="-120000"/>
    <x v="1"/>
  </r>
  <r>
    <n v="2026"/>
    <n v="4"/>
    <s v="02-04-2026"/>
    <n v="7500"/>
    <s v="1101-03"/>
    <n v="0"/>
    <n v="59000"/>
    <s v="Pago anticipado"/>
    <n v="-59000"/>
    <s v="Activo"/>
    <n v="-59000"/>
    <x v="1"/>
  </r>
  <r>
    <n v="2026"/>
    <n v="4"/>
    <s v="02-04-2026"/>
    <n v="11798"/>
    <s v="1101-03"/>
    <n v="12390209"/>
    <n v="0"/>
    <s v="0966893109 abn crd db tran transba"/>
    <n v="12390209"/>
    <s v="Activo"/>
    <n v="12390209"/>
    <x v="1"/>
  </r>
  <r>
    <n v="2026"/>
    <n v="4"/>
    <s v="02-04-2026"/>
    <n v="11799"/>
    <s v="1101-03"/>
    <n v="5000000"/>
    <n v="0"/>
    <s v="0765406986 transf. 0207015225"/>
    <n v="5000000"/>
    <s v="Activo"/>
    <n v="5000000"/>
    <x v="1"/>
  </r>
  <r>
    <n v="2026"/>
    <n v="4"/>
    <s v="02-04-2026"/>
    <n v="11800"/>
    <s v="1101-03"/>
    <n v="2000000"/>
    <n v="0"/>
    <s v="0765406986 transf. 0207015225"/>
    <n v="2000000"/>
    <s v="Activo"/>
    <n v="2000000"/>
    <x v="1"/>
  </r>
  <r>
    <n v="2026"/>
    <n v="4"/>
    <s v="02-04-2026"/>
    <n v="11801"/>
    <s v="1101-03"/>
    <n v="1150321"/>
    <n v="0"/>
    <s v="0761872877 transf. khipu spa"/>
    <n v="1150321"/>
    <s v="Activo"/>
    <n v="1150321"/>
    <x v="1"/>
  </r>
  <r>
    <n v="2026"/>
    <n v="4"/>
    <s v="06-04-2026"/>
    <n v="7501"/>
    <s v="1101-03"/>
    <n v="0"/>
    <n v="44523700"/>
    <s v="Remuneraciones marzo 2026"/>
    <n v="-44523700"/>
    <s v="Activo"/>
    <n v="-44523700"/>
    <x v="1"/>
  </r>
  <r>
    <n v="2026"/>
    <n v="4"/>
    <s v="06-04-2026"/>
    <n v="7502"/>
    <s v="1101-03"/>
    <n v="0"/>
    <n v="4986239"/>
    <s v="0153722110 transf a quezada pereir"/>
    <n v="-4986239"/>
    <s v="Activo"/>
    <n v="-4986239"/>
    <x v="1"/>
  </r>
  <r>
    <n v="2026"/>
    <n v="4"/>
    <s v="06-04-2026"/>
    <n v="7503"/>
    <s v="1101-03"/>
    <n v="0"/>
    <n v="120000"/>
    <s v="0765406986 transf a t-link spa"/>
    <n v="-120000"/>
    <s v="Activo"/>
    <n v="-120000"/>
    <x v="1"/>
  </r>
  <r>
    <n v="2026"/>
    <n v="4"/>
    <s v="06-04-2026"/>
    <n v="7504"/>
    <s v="1101-03"/>
    <n v="0"/>
    <n v="35000"/>
    <s v="Compra notaria puga"/>
    <n v="-35000"/>
    <s v="Activo"/>
    <n v="-35000"/>
    <x v="1"/>
  </r>
  <r>
    <n v="2026"/>
    <n v="4"/>
    <s v="06-04-2026"/>
    <n v="7505"/>
    <s v="1101-03"/>
    <n v="0"/>
    <n v="14170"/>
    <s v="Compra hip lider gran av"/>
    <n v="-14170"/>
    <s v="Activo"/>
    <n v="-14170"/>
    <x v="1"/>
  </r>
  <r>
    <n v="2026"/>
    <n v="4"/>
    <s v="06-04-2026"/>
    <n v="7506"/>
    <s v="1101-03"/>
    <n v="0"/>
    <n v="2400"/>
    <s v="Compra tuuopas kaffee"/>
    <n v="-2400"/>
    <s v="Activo"/>
    <n v="-2400"/>
    <x v="1"/>
  </r>
  <r>
    <n v="2026"/>
    <n v="4"/>
    <s v="06-04-2026"/>
    <n v="7507"/>
    <s v="1101-03"/>
    <n v="0"/>
    <n v="1070"/>
    <s v="Compra merpagoestaclpal"/>
    <n v="-1070"/>
    <s v="Activo"/>
    <n v="-1070"/>
    <x v="1"/>
  </r>
  <r>
    <n v="2026"/>
    <n v="4"/>
    <s v="06-04-2026"/>
    <n v="7508"/>
    <s v="1101-03"/>
    <n v="0"/>
    <n v="970"/>
    <s v="Compra merpagoestaclpal"/>
    <n v="-970"/>
    <s v="Activo"/>
    <n v="-970"/>
    <x v="1"/>
  </r>
  <r>
    <n v="2026"/>
    <n v="4"/>
    <s v="06-04-2026"/>
    <n v="11802"/>
    <s v="1101-03"/>
    <n v="20360224"/>
    <n v="0"/>
    <s v="0966893109 abn crd db tran transba"/>
    <n v="20360224"/>
    <s v="Activo"/>
    <n v="20360224"/>
    <x v="1"/>
  </r>
  <r>
    <n v="2026"/>
    <n v="4"/>
    <s v="06-04-2026"/>
    <n v="11803"/>
    <s v="1101-03"/>
    <n v="5000000"/>
    <n v="0"/>
    <s v="0765406986 transf. 0207015225"/>
    <n v="5000000"/>
    <s v="Activo"/>
    <n v="5000000"/>
    <x v="1"/>
  </r>
  <r>
    <n v="2026"/>
    <n v="4"/>
    <s v="06-04-2026"/>
    <n v="11804"/>
    <s v="1101-03"/>
    <n v="5000000"/>
    <n v="0"/>
    <s v="0765406986 transf. 0207015225"/>
    <n v="5000000"/>
    <s v="Activo"/>
    <n v="5000000"/>
    <x v="1"/>
  </r>
  <r>
    <n v="2026"/>
    <n v="4"/>
    <s v="06-04-2026"/>
    <n v="11805"/>
    <s v="1101-03"/>
    <n v="5000000"/>
    <n v="0"/>
    <s v="0765406986 transf. 0207015225"/>
    <n v="5000000"/>
    <s v="Activo"/>
    <n v="5000000"/>
    <x v="1"/>
  </r>
  <r>
    <n v="2026"/>
    <n v="4"/>
    <s v="06-04-2026"/>
    <n v="11806"/>
    <s v="1101-03"/>
    <n v="5000000"/>
    <n v="0"/>
    <s v="0765406986 transf. 35500021347"/>
    <n v="5000000"/>
    <s v="Activo"/>
    <n v="5000000"/>
    <x v="1"/>
  </r>
  <r>
    <n v="2026"/>
    <n v="4"/>
    <s v="06-04-2026"/>
    <n v="11807"/>
    <s v="1101-03"/>
    <n v="5000000"/>
    <n v="0"/>
    <s v="0765406986 transf. 35500021347"/>
    <n v="5000000"/>
    <s v="Activo"/>
    <n v="5000000"/>
    <x v="1"/>
  </r>
  <r>
    <n v="2026"/>
    <n v="4"/>
    <s v="06-04-2026"/>
    <n v="11808"/>
    <s v="1101-03"/>
    <n v="4714104"/>
    <n v="0"/>
    <s v="0765406986 transf. 0207015225"/>
    <n v="4714104"/>
    <s v="Activo"/>
    <n v="4714104"/>
    <x v="1"/>
  </r>
  <r>
    <n v="2026"/>
    <n v="4"/>
    <s v="06-04-2026"/>
    <n v="11809"/>
    <s v="1101-03"/>
    <n v="3312332"/>
    <n v="0"/>
    <s v="0761872877 transf. khipu spa"/>
    <n v="3312332"/>
    <s v="Activo"/>
    <n v="3312332"/>
    <x v="1"/>
  </r>
  <r>
    <n v="2026"/>
    <n v="4"/>
    <s v="07-04-2026"/>
    <n v="7509"/>
    <s v="1101-03"/>
    <n v="0"/>
    <n v="5054143"/>
    <s v="Traspaso internet a t. crédito"/>
    <n v="-5054143"/>
    <s v="Activo"/>
    <n v="-5054143"/>
    <x v="1"/>
  </r>
  <r>
    <n v="2026"/>
    <n v="4"/>
    <s v="07-04-2026"/>
    <n v="7510"/>
    <s v="1101-03"/>
    <n v="0"/>
    <n v="3371866"/>
    <s v="Pago cuota crédito n 420051423355"/>
    <n v="-3371866"/>
    <s v="Activo"/>
    <n v="-3371866"/>
    <x v="1"/>
  </r>
  <r>
    <n v="2026"/>
    <n v="4"/>
    <s v="07-04-2026"/>
    <n v="7511"/>
    <s v="1101-03"/>
    <n v="0"/>
    <n v="2009466"/>
    <s v="Traspaso internet a t. crédito"/>
    <n v="-2009466"/>
    <s v="Activo"/>
    <n v="-2009466"/>
    <x v="1"/>
  </r>
  <r>
    <n v="2026"/>
    <n v="4"/>
    <s v="07-04-2026"/>
    <n v="7512"/>
    <s v="1101-03"/>
    <n v="0"/>
    <n v="586817"/>
    <s v="Traspaso internet a t. crédito"/>
    <n v="-586817"/>
    <s v="Activo"/>
    <n v="-586817"/>
    <x v="1"/>
  </r>
  <r>
    <n v="2026"/>
    <n v="4"/>
    <s v="07-04-2026"/>
    <n v="7513"/>
    <s v="1101-03"/>
    <n v="0"/>
    <n v="500000"/>
    <s v="0995200007 transf a muevo copec em"/>
    <n v="-500000"/>
    <s v="Activo"/>
    <n v="-500000"/>
    <x v="1"/>
  </r>
  <r>
    <n v="2026"/>
    <n v="4"/>
    <s v="07-04-2026"/>
    <n v="11810"/>
    <s v="1101-03"/>
    <n v="28554779"/>
    <n v="0"/>
    <s v="0966893109 abn crd db tran transba"/>
    <n v="28554779"/>
    <s v="Activo"/>
    <n v="28554779"/>
    <x v="1"/>
  </r>
  <r>
    <n v="2026"/>
    <n v="4"/>
    <s v="07-04-2026"/>
    <n v="11811"/>
    <s v="1101-03"/>
    <n v="789306"/>
    <n v="0"/>
    <s v="0761872877 transf. khipu spa"/>
    <n v="789306"/>
    <s v="Activo"/>
    <n v="789306"/>
    <x v="1"/>
  </r>
  <r>
    <n v="2026"/>
    <n v="4"/>
    <s v="08-04-2026"/>
    <n v="7514"/>
    <s v="1101-03"/>
    <n v="0"/>
    <n v="6020805"/>
    <s v="0762565196 transf a inversiones y"/>
    <n v="-6020805"/>
    <s v="Activo"/>
    <n v="-6020805"/>
    <x v="1"/>
  </r>
  <r>
    <n v="2026"/>
    <n v="4"/>
    <s v="08-04-2026"/>
    <n v="7515"/>
    <s v="1101-03"/>
    <n v="0"/>
    <n v="3816541"/>
    <s v="0762489287 transf a wircom telecom"/>
    <n v="-3816541"/>
    <s v="Activo"/>
    <n v="-3816541"/>
    <x v="1"/>
  </r>
  <r>
    <n v="2026"/>
    <n v="4"/>
    <s v="08-04-2026"/>
    <n v="7516"/>
    <s v="1101-03"/>
    <n v="0"/>
    <n v="1029287"/>
    <s v="0761831402 transf a comercial lago"/>
    <n v="-1029287"/>
    <s v="Activo"/>
    <n v="-1029287"/>
    <x v="1"/>
  </r>
  <r>
    <n v="2026"/>
    <n v="4"/>
    <s v="08-04-2026"/>
    <n v="7517"/>
    <s v="1101-03"/>
    <n v="0"/>
    <n v="744053"/>
    <s v="0762565196 transf a inversiones y"/>
    <n v="-744053"/>
    <s v="Activo"/>
    <n v="-744053"/>
    <x v="1"/>
  </r>
  <r>
    <n v="2026"/>
    <n v="4"/>
    <s v="08-04-2026"/>
    <n v="7518"/>
    <s v="1101-03"/>
    <n v="0"/>
    <n v="476000"/>
    <s v="0785907302 transf a cia.de comunic"/>
    <n v="-476000"/>
    <s v="Activo"/>
    <n v="-476000"/>
    <x v="1"/>
  </r>
  <r>
    <n v="2026"/>
    <n v="4"/>
    <s v="08-04-2026"/>
    <n v="7519"/>
    <s v="1101-03"/>
    <n v="0"/>
    <n v="341023"/>
    <s v="0760643823 transf a powerhost tele"/>
    <n v="-341023"/>
    <s v="Activo"/>
    <n v="-341023"/>
    <x v="1"/>
  </r>
  <r>
    <n v="2026"/>
    <n v="4"/>
    <s v="08-04-2026"/>
    <n v="7520"/>
    <s v="1101-03"/>
    <n v="0"/>
    <n v="250000"/>
    <s v="0173984030 transf a abraham issaac"/>
    <n v="-250000"/>
    <s v="Activo"/>
    <n v="-250000"/>
    <x v="1"/>
  </r>
  <r>
    <n v="2026"/>
    <n v="4"/>
    <s v="08-04-2026"/>
    <n v="7521"/>
    <s v="1101-03"/>
    <n v="0"/>
    <n v="240000"/>
    <s v="0142137178 transf a julio chaparro"/>
    <n v="-240000"/>
    <s v="Activo"/>
    <n v="-240000"/>
    <x v="1"/>
  </r>
  <r>
    <n v="2026"/>
    <n v="4"/>
    <s v="08-04-2026"/>
    <n v="7522"/>
    <s v="1101-03"/>
    <n v="0"/>
    <n v="202300"/>
    <s v="0775202467 transf a ingsor spa"/>
    <n v="-202300"/>
    <s v="Activo"/>
    <n v="-202300"/>
    <x v="1"/>
  </r>
  <r>
    <n v="2026"/>
    <n v="4"/>
    <s v="08-04-2026"/>
    <n v="7523"/>
    <s v="1101-03"/>
    <n v="0"/>
    <n v="200000"/>
    <s v="0765406986 transf a t-link spa"/>
    <n v="-200000"/>
    <s v="Activo"/>
    <n v="-200000"/>
    <x v="1"/>
  </r>
  <r>
    <n v="2026"/>
    <n v="4"/>
    <s v="08-04-2026"/>
    <n v="7524"/>
    <s v="1101-03"/>
    <n v="0"/>
    <n v="142800"/>
    <s v="0773987793 transf a servicio técni"/>
    <n v="-142800"/>
    <s v="Activo"/>
    <n v="-142800"/>
    <x v="1"/>
  </r>
  <r>
    <n v="2026"/>
    <n v="4"/>
    <s v="08-04-2026"/>
    <n v="7525"/>
    <s v="1101-03"/>
    <n v="0"/>
    <n v="135000"/>
    <s v="0215236463 transf a german llerena"/>
    <n v="-135000"/>
    <s v="Activo"/>
    <n v="-135000"/>
    <x v="1"/>
  </r>
  <r>
    <n v="2026"/>
    <n v="4"/>
    <s v="08-04-2026"/>
    <n v="7526"/>
    <s v="1101-03"/>
    <n v="0"/>
    <n v="135000"/>
    <s v="0215236463 transf a german llerena"/>
    <n v="-135000"/>
    <s v="Activo"/>
    <n v="-135000"/>
    <x v="1"/>
  </r>
  <r>
    <n v="2026"/>
    <n v="4"/>
    <s v="08-04-2026"/>
    <n v="7527"/>
    <s v="1101-03"/>
    <n v="0"/>
    <n v="122257"/>
    <s v="Compra hiper penaflor ba"/>
    <n v="-122257"/>
    <s v="Activo"/>
    <n v="-122257"/>
    <x v="1"/>
  </r>
  <r>
    <n v="2026"/>
    <n v="4"/>
    <s v="08-04-2026"/>
    <n v="7528"/>
    <s v="1101-03"/>
    <n v="0"/>
    <n v="120000"/>
    <s v="0189610955 transf a soledad del ca"/>
    <n v="-120000"/>
    <s v="Activo"/>
    <n v="-120000"/>
    <x v="1"/>
  </r>
  <r>
    <n v="2026"/>
    <n v="4"/>
    <s v="08-04-2026"/>
    <n v="7529"/>
    <s v="1101-03"/>
    <n v="0"/>
    <n v="41650"/>
    <s v="0767042191 transf a productora ene"/>
    <n v="-41650"/>
    <s v="Activo"/>
    <n v="-41650"/>
    <x v="1"/>
  </r>
  <r>
    <n v="2026"/>
    <n v="4"/>
    <s v="08-04-2026"/>
    <n v="7530"/>
    <s v="1101-03"/>
    <n v="0"/>
    <n v="8160"/>
    <s v="0762565196 transf a inversiones y"/>
    <n v="-8160"/>
    <s v="Activo"/>
    <n v="-8160"/>
    <x v="1"/>
  </r>
  <r>
    <n v="2026"/>
    <n v="4"/>
    <s v="08-04-2026"/>
    <n v="11812"/>
    <s v="1101-03"/>
    <n v="12503045"/>
    <n v="0"/>
    <s v="0966893109 abn crd db tran transba"/>
    <n v="12503045"/>
    <s v="Activo"/>
    <n v="12503045"/>
    <x v="1"/>
  </r>
  <r>
    <n v="2026"/>
    <n v="4"/>
    <s v="08-04-2026"/>
    <n v="11813"/>
    <s v="1101-03"/>
    <n v="413479"/>
    <n v="0"/>
    <s v="0761872877 transf. khipu spa"/>
    <n v="413479"/>
    <s v="Activo"/>
    <n v="413479"/>
    <x v="1"/>
  </r>
  <r>
    <n v="2026"/>
    <n v="4"/>
    <s v="09-04-2026"/>
    <n v="7531"/>
    <s v="1101-03"/>
    <n v="0"/>
    <n v="4318541"/>
    <s v="0763858715 transf a grupo zgh spa"/>
    <n v="-4318541"/>
    <s v="Activo"/>
    <n v="-4318541"/>
    <x v="1"/>
  </r>
  <r>
    <n v="2026"/>
    <n v="4"/>
    <s v="09-04-2026"/>
    <n v="7532"/>
    <s v="1101-03"/>
    <n v="0"/>
    <n v="3248455"/>
    <s v="0966693401 transf a tac comunicati"/>
    <n v="-3248455"/>
    <s v="Activo"/>
    <n v="-3248455"/>
    <x v="1"/>
  </r>
  <r>
    <n v="2026"/>
    <n v="4"/>
    <s v="09-04-2026"/>
    <n v="7533"/>
    <s v="1101-03"/>
    <n v="0"/>
    <n v="3149730"/>
    <s v="0766282563 transf a pit chile spa"/>
    <n v="-3149730"/>
    <s v="Activo"/>
    <n v="-3149730"/>
    <x v="1"/>
  </r>
  <r>
    <n v="2026"/>
    <n v="4"/>
    <s v="09-04-2026"/>
    <n v="7534"/>
    <s v="1101-03"/>
    <n v="0"/>
    <n v="1474144"/>
    <s v="0763338789 transf a at gonzález sp"/>
    <n v="-1474144"/>
    <s v="Activo"/>
    <n v="-1474144"/>
    <x v="1"/>
  </r>
  <r>
    <n v="2026"/>
    <n v="4"/>
    <s v="09-04-2026"/>
    <n v="7535"/>
    <s v="1101-03"/>
    <n v="0"/>
    <n v="1420526"/>
    <s v="0777638785 transf a ficom telecomu"/>
    <n v="-1420526"/>
    <s v="Activo"/>
    <n v="-1420526"/>
    <x v="1"/>
  </r>
  <r>
    <n v="2026"/>
    <n v="4"/>
    <s v="09-04-2026"/>
    <n v="7536"/>
    <s v="1101-03"/>
    <n v="0"/>
    <n v="1094800"/>
    <s v="0966693401 transf a tac comunicati"/>
    <n v="-1094800"/>
    <s v="Activo"/>
    <n v="-1094800"/>
    <x v="1"/>
  </r>
  <r>
    <n v="2026"/>
    <n v="4"/>
    <s v="09-04-2026"/>
    <n v="7537"/>
    <s v="1101-03"/>
    <n v="0"/>
    <n v="1014832"/>
    <s v="0766114598 transf a ascenty"/>
    <n v="-1014832"/>
    <s v="Activo"/>
    <n v="-1014832"/>
    <x v="1"/>
  </r>
  <r>
    <n v="2026"/>
    <n v="4"/>
    <s v="09-04-2026"/>
    <n v="7538"/>
    <s v="1101-03"/>
    <n v="0"/>
    <n v="989485"/>
    <s v="0761831402 transf a comercial lago"/>
    <n v="-989485"/>
    <s v="Activo"/>
    <n v="-989485"/>
    <x v="1"/>
  </r>
  <r>
    <n v="2026"/>
    <n v="4"/>
    <s v="09-04-2026"/>
    <n v="7539"/>
    <s v="1101-03"/>
    <n v="0"/>
    <n v="970831"/>
    <s v="0763858715 transf a grupo zgh spa"/>
    <n v="-970831"/>
    <s v="Activo"/>
    <n v="-970831"/>
    <x v="1"/>
  </r>
  <r>
    <n v="2026"/>
    <n v="4"/>
    <s v="09-04-2026"/>
    <n v="7540"/>
    <s v="1101-03"/>
    <n v="0"/>
    <n v="878292"/>
    <s v="Finiquito cuota 13 carolina gonzalez"/>
    <n v="-878292"/>
    <s v="Activo"/>
    <n v="-878292"/>
    <x v="1"/>
  </r>
  <r>
    <n v="2026"/>
    <n v="4"/>
    <s v="09-04-2026"/>
    <n v="7541"/>
    <s v="1101-03"/>
    <n v="0"/>
    <n v="805998"/>
    <s v="0760926108 transf a alberto diaz d"/>
    <n v="-805998"/>
    <s v="Activo"/>
    <n v="-805998"/>
    <x v="1"/>
  </r>
  <r>
    <n v="2026"/>
    <n v="4"/>
    <s v="09-04-2026"/>
    <n v="7542"/>
    <s v="1101-03"/>
    <n v="0"/>
    <n v="750000"/>
    <s v="Oficina las condes"/>
    <n v="-750000"/>
    <s v="Activo"/>
    <n v="-750000"/>
    <x v="1"/>
  </r>
  <r>
    <n v="2026"/>
    <n v="4"/>
    <s v="09-04-2026"/>
    <n v="7543"/>
    <s v="1101-03"/>
    <n v="0"/>
    <n v="710262"/>
    <s v="0777638785 transf a ficom telecomu"/>
    <n v="-710262"/>
    <s v="Activo"/>
    <n v="-710262"/>
    <x v="1"/>
  </r>
  <r>
    <n v="2026"/>
    <n v="4"/>
    <s v="09-04-2026"/>
    <n v="7544"/>
    <s v="1101-03"/>
    <n v="0"/>
    <n v="517942"/>
    <s v="Nodo aromos"/>
    <n v="-517942"/>
    <s v="Activo"/>
    <n v="-517942"/>
    <x v="1"/>
  </r>
  <r>
    <n v="2026"/>
    <n v="4"/>
    <s v="09-04-2026"/>
    <n v="7545"/>
    <s v="1101-03"/>
    <n v="0"/>
    <n v="515737"/>
    <s v="0761831402 transf a comercial lago"/>
    <n v="-515737"/>
    <s v="Activo"/>
    <n v="-515737"/>
    <x v="1"/>
  </r>
  <r>
    <n v="2026"/>
    <n v="4"/>
    <s v="09-04-2026"/>
    <n v="7546"/>
    <s v="1101-03"/>
    <n v="0"/>
    <n v="500000"/>
    <s v="0995200007 transf a muevo copec em"/>
    <n v="-500000"/>
    <s v="Activo"/>
    <n v="-500000"/>
    <x v="1"/>
  </r>
  <r>
    <n v="2026"/>
    <n v="4"/>
    <s v="09-04-2026"/>
    <n v="7547"/>
    <s v="1101-03"/>
    <n v="0"/>
    <n v="434463"/>
    <s v="0765672007 transf a tecnologia lk"/>
    <n v="-434463"/>
    <s v="Activo"/>
    <n v="-434463"/>
    <x v="1"/>
  </r>
  <r>
    <n v="2026"/>
    <n v="4"/>
    <s v="09-04-2026"/>
    <n v="7548"/>
    <s v="1101-03"/>
    <n v="0"/>
    <n v="398410"/>
    <s v="0520050752 transf a cg abogados s"/>
    <n v="-398410"/>
    <s v="Activo"/>
    <n v="-398410"/>
    <x v="1"/>
  </r>
  <r>
    <n v="2026"/>
    <n v="4"/>
    <s v="09-04-2026"/>
    <n v="7549"/>
    <s v="1101-03"/>
    <n v="0"/>
    <n v="269298"/>
    <s v="0764470907 transf a serv telecom y"/>
    <n v="-269298"/>
    <s v="Activo"/>
    <n v="-269298"/>
    <x v="1"/>
  </r>
  <r>
    <n v="2026"/>
    <n v="4"/>
    <s v="09-04-2026"/>
    <n v="7550"/>
    <s v="1101-03"/>
    <n v="0"/>
    <n v="269036"/>
    <s v="Pago en linea servipag"/>
    <n v="-269036"/>
    <s v="Activo"/>
    <n v="-269036"/>
    <x v="1"/>
  </r>
  <r>
    <n v="2026"/>
    <n v="4"/>
    <s v="09-04-2026"/>
    <n v="7551"/>
    <s v="1101-03"/>
    <n v="0"/>
    <n v="248000"/>
    <s v="0966693401 transf a tac comunicati"/>
    <n v="-248000"/>
    <s v="Activo"/>
    <n v="-248000"/>
    <x v="1"/>
  </r>
  <r>
    <n v="2026"/>
    <n v="4"/>
    <s v="09-04-2026"/>
    <n v="7552"/>
    <s v="1101-03"/>
    <n v="0"/>
    <n v="203192"/>
    <s v="Nodo cartagena"/>
    <n v="-203192"/>
    <s v="Activo"/>
    <n v="-203192"/>
    <x v="1"/>
  </r>
  <r>
    <n v="2026"/>
    <n v="4"/>
    <s v="09-04-2026"/>
    <n v="7553"/>
    <s v="1101-03"/>
    <n v="0"/>
    <n v="203192"/>
    <s v="Nodo algarrobo"/>
    <n v="-203192"/>
    <s v="Activo"/>
    <n v="-203192"/>
    <x v="1"/>
  </r>
  <r>
    <n v="2026"/>
    <n v="4"/>
    <s v="09-04-2026"/>
    <n v="7554"/>
    <s v="1101-03"/>
    <n v="0"/>
    <n v="199919"/>
    <s v="Pago en linea servipag"/>
    <n v="-199919"/>
    <s v="Activo"/>
    <n v="-199919"/>
    <x v="1"/>
  </r>
  <r>
    <n v="2026"/>
    <n v="4"/>
    <s v="09-04-2026"/>
    <n v="7555"/>
    <s v="1101-03"/>
    <n v="0"/>
    <n v="130000"/>
    <s v="Nodo copihue"/>
    <n v="-130000"/>
    <s v="Activo"/>
    <n v="-130000"/>
    <x v="1"/>
  </r>
  <r>
    <n v="2026"/>
    <n v="4"/>
    <s v="09-04-2026"/>
    <n v="7556"/>
    <s v="1101-03"/>
    <n v="0"/>
    <n v="129428"/>
    <s v="Nodo algarrobo"/>
    <n v="-129428"/>
    <s v="Activo"/>
    <n v="-129428"/>
    <x v="1"/>
  </r>
  <r>
    <n v="2026"/>
    <n v="4"/>
    <s v="09-04-2026"/>
    <n v="7557"/>
    <s v="1101-03"/>
    <n v="0"/>
    <n v="121303"/>
    <s v="0703601006 transf a asociación chi"/>
    <n v="-121303"/>
    <s v="Activo"/>
    <n v="-121303"/>
    <x v="1"/>
  </r>
  <r>
    <n v="2026"/>
    <n v="4"/>
    <s v="09-04-2026"/>
    <n v="7558"/>
    <s v="1101-03"/>
    <n v="0"/>
    <n v="114100"/>
    <s v="Nodo padre hurtado"/>
    <n v="-114100"/>
    <s v="Activo"/>
    <n v="-114100"/>
    <x v="1"/>
  </r>
  <r>
    <n v="2026"/>
    <n v="4"/>
    <s v="09-04-2026"/>
    <n v="7559"/>
    <s v="1101-03"/>
    <n v="0"/>
    <n v="90000"/>
    <s v="016748381k transf a patrick lopez"/>
    <n v="-90000"/>
    <s v="Activo"/>
    <n v="-90000"/>
    <x v="1"/>
  </r>
  <r>
    <n v="2026"/>
    <n v="4"/>
    <s v="09-04-2026"/>
    <n v="7560"/>
    <s v="1101-03"/>
    <n v="0"/>
    <n v="90000"/>
    <s v="012646150k transf a ambiado olivar"/>
    <n v="-90000"/>
    <s v="Activo"/>
    <n v="-90000"/>
    <x v="1"/>
  </r>
  <r>
    <n v="2026"/>
    <n v="4"/>
    <s v="09-04-2026"/>
    <n v="7561"/>
    <s v="1101-03"/>
    <n v="0"/>
    <n v="90000"/>
    <s v="0153722110 transf a quezada pereir"/>
    <n v="-90000"/>
    <s v="Activo"/>
    <n v="-90000"/>
    <x v="1"/>
  </r>
  <r>
    <n v="2026"/>
    <n v="4"/>
    <s v="09-04-2026"/>
    <n v="7562"/>
    <s v="1101-03"/>
    <n v="0"/>
    <n v="81097"/>
    <s v="0766114598 transf a ascenty"/>
    <n v="-81097"/>
    <s v="Activo"/>
    <n v="-81097"/>
    <x v="1"/>
  </r>
  <r>
    <n v="2026"/>
    <n v="4"/>
    <s v="09-04-2026"/>
    <n v="7563"/>
    <s v="1101-03"/>
    <n v="0"/>
    <n v="76333"/>
    <s v="0766114598 transf a ascenty"/>
    <n v="-76333"/>
    <s v="Activo"/>
    <n v="-76333"/>
    <x v="1"/>
  </r>
  <r>
    <n v="2026"/>
    <n v="4"/>
    <s v="09-04-2026"/>
    <n v="7564"/>
    <s v="1101-03"/>
    <n v="0"/>
    <n v="76333"/>
    <s v="0766114598 transf a ascenty"/>
    <n v="-76333"/>
    <s v="Activo"/>
    <n v="-76333"/>
    <x v="1"/>
  </r>
  <r>
    <n v="2026"/>
    <n v="4"/>
    <s v="09-04-2026"/>
    <n v="7565"/>
    <s v="1101-03"/>
    <n v="0"/>
    <n v="76333"/>
    <s v="0766114598 transf a ascenty"/>
    <n v="-76333"/>
    <s v="Activo"/>
    <n v="-76333"/>
    <x v="1"/>
  </r>
  <r>
    <n v="2026"/>
    <n v="4"/>
    <s v="09-04-2026"/>
    <n v="7566"/>
    <s v="1101-03"/>
    <n v="0"/>
    <n v="71400"/>
    <s v="0781088498 transf a zettabyte zpa"/>
    <n v="-71400"/>
    <s v="Activo"/>
    <n v="-71400"/>
    <x v="1"/>
  </r>
  <r>
    <n v="2026"/>
    <n v="4"/>
    <s v="09-04-2026"/>
    <n v="7567"/>
    <s v="1101-03"/>
    <n v="0"/>
    <n v="64466"/>
    <s v="0766114598 transf a ascenty"/>
    <n v="-64466"/>
    <s v="Activo"/>
    <n v="-64466"/>
    <x v="1"/>
  </r>
  <r>
    <n v="2026"/>
    <n v="4"/>
    <s v="09-04-2026"/>
    <n v="7568"/>
    <s v="1101-03"/>
    <n v="0"/>
    <n v="64337"/>
    <s v="0766114598 transf a ascenty"/>
    <n v="-64337"/>
    <s v="Activo"/>
    <n v="-64337"/>
    <x v="1"/>
  </r>
  <r>
    <n v="2026"/>
    <n v="4"/>
    <s v="09-04-2026"/>
    <n v="7569"/>
    <s v="1101-03"/>
    <n v="0"/>
    <n v="64273"/>
    <s v="0766114598 transf a ascenty"/>
    <n v="-64273"/>
    <s v="Activo"/>
    <n v="-64273"/>
    <x v="1"/>
  </r>
  <r>
    <n v="2026"/>
    <n v="4"/>
    <s v="09-04-2026"/>
    <n v="7570"/>
    <s v="1101-03"/>
    <n v="0"/>
    <n v="64146"/>
    <s v="0766114598 transf a ascenty"/>
    <n v="-64146"/>
    <s v="Activo"/>
    <n v="-64146"/>
    <x v="1"/>
  </r>
  <r>
    <n v="2026"/>
    <n v="4"/>
    <s v="09-04-2026"/>
    <n v="11814"/>
    <s v="1101-03"/>
    <n v="5554873"/>
    <n v="0"/>
    <s v="0966893109 abn crd db tran transba"/>
    <n v="5554873"/>
    <s v="Activo"/>
    <n v="5554873"/>
    <x v="1"/>
  </r>
  <r>
    <n v="2026"/>
    <n v="4"/>
    <s v="09-04-2026"/>
    <n v="11815"/>
    <s v="1101-03"/>
    <n v="247935"/>
    <n v="0"/>
    <s v="0761872877 transf. khipu spa"/>
    <n v="247935"/>
    <s v="Activo"/>
    <n v="247935"/>
    <x v="1"/>
  </r>
  <r>
    <n v="2026"/>
    <n v="4"/>
    <s v="10-04-2026"/>
    <n v="7571"/>
    <s v="1101-03"/>
    <n v="0"/>
    <n v="5000000"/>
    <s v="0765406986 transf. 0207015225"/>
    <n v="-5000000"/>
    <s v="Activo"/>
    <n v="-5000000"/>
    <x v="1"/>
  </r>
  <r>
    <n v="2026"/>
    <n v="4"/>
    <s v="10-04-2026"/>
    <n v="7572"/>
    <s v="1101-03"/>
    <n v="0"/>
    <n v="5000000"/>
    <s v="0765406986 transf. 0207015225"/>
    <n v="-5000000"/>
    <s v="Activo"/>
    <n v="-5000000"/>
    <x v="1"/>
  </r>
  <r>
    <n v="2026"/>
    <n v="4"/>
    <s v="10-04-2026"/>
    <n v="7573"/>
    <s v="1101-03"/>
    <n v="0"/>
    <n v="4147615"/>
    <s v="0969107309 transf a telxius cable"/>
    <n v="-4147615"/>
    <s v="Activo"/>
    <n v="-4147615"/>
    <x v="1"/>
  </r>
  <r>
    <n v="2026"/>
    <n v="4"/>
    <s v="10-04-2026"/>
    <n v="7574"/>
    <s v="1101-03"/>
    <n v="0"/>
    <n v="2500000"/>
    <s v="0765406986 transf. 0207015225"/>
    <n v="-2500000"/>
    <s v="Activo"/>
    <n v="-2500000"/>
    <x v="1"/>
  </r>
  <r>
    <n v="2026"/>
    <n v="4"/>
    <s v="10-04-2026"/>
    <n v="7575"/>
    <s v="1101-03"/>
    <n v="0"/>
    <n v="2071769"/>
    <s v="076360912k transf a sociedad de in"/>
    <n v="-2071769"/>
    <s v="Activo"/>
    <n v="-2071769"/>
    <x v="1"/>
  </r>
  <r>
    <n v="2026"/>
    <n v="4"/>
    <s v="10-04-2026"/>
    <n v="7576"/>
    <s v="1101-03"/>
    <n v="0"/>
    <n v="1593490"/>
    <s v="Pago cuota crédito n 420021082928"/>
    <n v="-1593490"/>
    <s v="Activo"/>
    <n v="-1593490"/>
    <x v="1"/>
  </r>
  <r>
    <n v="2026"/>
    <n v="4"/>
    <s v="10-04-2026"/>
    <n v="7577"/>
    <s v="1101-03"/>
    <n v="0"/>
    <n v="1440845"/>
    <s v="0765672007 transf a tecnologia lk"/>
    <n v="-1440845"/>
    <s v="Activo"/>
    <n v="-1440845"/>
    <x v="1"/>
  </r>
  <r>
    <n v="2026"/>
    <n v="4"/>
    <s v="10-04-2026"/>
    <n v="7578"/>
    <s v="1101-03"/>
    <n v="0"/>
    <n v="1000000"/>
    <s v="Finiquito gisela alvarez"/>
    <n v="-1000000"/>
    <s v="Activo"/>
    <n v="-1000000"/>
    <x v="1"/>
  </r>
  <r>
    <n v="2026"/>
    <n v="4"/>
    <s v="10-04-2026"/>
    <n v="7579"/>
    <s v="1101-03"/>
    <n v="0"/>
    <n v="751000"/>
    <s v="0773062668 transf a globalconnect"/>
    <n v="-751000"/>
    <s v="Activo"/>
    <n v="-751000"/>
    <x v="1"/>
  </r>
  <r>
    <n v="2026"/>
    <n v="4"/>
    <s v="10-04-2026"/>
    <n v="7580"/>
    <s v="1101-03"/>
    <n v="0"/>
    <n v="386750"/>
    <s v="0995251000 transf a gama leasing o"/>
    <n v="-386750"/>
    <s v="Activo"/>
    <n v="-386750"/>
    <x v="1"/>
  </r>
  <r>
    <n v="2026"/>
    <n v="4"/>
    <s v="10-04-2026"/>
    <n v="7581"/>
    <s v="1101-03"/>
    <n v="0"/>
    <n v="239778"/>
    <s v="076691442k transf a buk spa"/>
    <n v="-239778"/>
    <s v="Activo"/>
    <n v="-239778"/>
    <x v="1"/>
  </r>
  <r>
    <n v="2026"/>
    <n v="4"/>
    <s v="10-04-2026"/>
    <n v="7582"/>
    <s v="1101-03"/>
    <n v="0"/>
    <n v="230435"/>
    <s v="Nodo cdr consumo electrico mes marzo"/>
    <n v="-230435"/>
    <s v="Activo"/>
    <n v="-230435"/>
    <x v="1"/>
  </r>
  <r>
    <n v="2026"/>
    <n v="4"/>
    <s v="10-04-2026"/>
    <n v="7583"/>
    <s v="1101-03"/>
    <n v="0"/>
    <n v="141622"/>
    <s v="Pago cuotas caja compensacion patricio diaz"/>
    <n v="-141622"/>
    <s v="Activo"/>
    <n v="-141622"/>
    <x v="1"/>
  </r>
  <r>
    <n v="2026"/>
    <n v="4"/>
    <s v="10-04-2026"/>
    <n v="7584"/>
    <s v="1101-03"/>
    <n v="0"/>
    <n v="135958"/>
    <s v="0966708409 transf a dimerc s.a"/>
    <n v="-135958"/>
    <s v="Activo"/>
    <n v="-135958"/>
    <x v="1"/>
  </r>
  <r>
    <n v="2026"/>
    <n v="4"/>
    <s v="10-04-2026"/>
    <n v="7585"/>
    <s v="1101-03"/>
    <n v="0"/>
    <n v="134350"/>
    <s v="Nodo carampangue consumo electrico mes marzo"/>
    <n v="-134350"/>
    <s v="Activo"/>
    <n v="-134350"/>
    <x v="1"/>
  </r>
  <r>
    <n v="2026"/>
    <n v="4"/>
    <s v="10-04-2026"/>
    <n v="7586"/>
    <s v="1101-03"/>
    <n v="0"/>
    <n v="128574"/>
    <s v="Nodo la cruz consumo electrico mes marzo"/>
    <n v="-128574"/>
    <s v="Activo"/>
    <n v="-128574"/>
    <x v="1"/>
  </r>
  <r>
    <n v="2026"/>
    <n v="4"/>
    <s v="10-04-2026"/>
    <n v="7587"/>
    <s v="1101-03"/>
    <n v="0"/>
    <n v="51192"/>
    <s v="Nodo aromos consumo electrico mes marzo"/>
    <n v="-51192"/>
    <s v="Activo"/>
    <n v="-51192"/>
    <x v="1"/>
  </r>
  <r>
    <n v="2026"/>
    <n v="4"/>
    <s v="10-04-2026"/>
    <n v="11816"/>
    <s v="1101-03"/>
    <n v="3676473"/>
    <n v="0"/>
    <s v="0966893109 abn crd db tran transba"/>
    <n v="3676473"/>
    <s v="Activo"/>
    <n v="3676473"/>
    <x v="1"/>
  </r>
  <r>
    <n v="2026"/>
    <n v="4"/>
    <s v="10-04-2026"/>
    <n v="11817"/>
    <s v="1101-03"/>
    <n v="67152"/>
    <n v="0"/>
    <s v="0761872877 transf. khipu spa"/>
    <n v="67152"/>
    <s v="Activo"/>
    <n v="67152"/>
    <x v="1"/>
  </r>
  <r>
    <n v="2026"/>
    <n v="4"/>
    <s v="13-04-2026"/>
    <n v="7588"/>
    <s v="1101-03"/>
    <n v="0"/>
    <n v="5000000"/>
    <s v="0774344497 transf a botsch spa"/>
    <n v="-5000000"/>
    <s v="Activo"/>
    <n v="-5000000"/>
    <x v="1"/>
  </r>
  <r>
    <n v="2026"/>
    <n v="4"/>
    <s v="13-04-2026"/>
    <n v="7589"/>
    <s v="1101-03"/>
    <n v="0"/>
    <n v="1999249"/>
    <s v="Pago cuota crédito n 420022371370"/>
    <n v="-1999249"/>
    <s v="Activo"/>
    <n v="-1999249"/>
    <x v="1"/>
  </r>
  <r>
    <n v="2026"/>
    <n v="4"/>
    <s v="13-04-2026"/>
    <n v="7590"/>
    <s v="1101-03"/>
    <n v="0"/>
    <n v="500000"/>
    <s v="0995200007 transf a muevo copec em"/>
    <n v="-500000"/>
    <s v="Activo"/>
    <n v="-500000"/>
    <x v="1"/>
  </r>
  <r>
    <n v="2026"/>
    <n v="4"/>
    <s v="13-04-2026"/>
    <n v="7591"/>
    <s v="1101-03"/>
    <n v="0"/>
    <n v="90200"/>
    <s v="0789512701 transf a regus manageme"/>
    <n v="-90200"/>
    <s v="Activo"/>
    <n v="-90200"/>
    <x v="1"/>
  </r>
  <r>
    <n v="2026"/>
    <n v="4"/>
    <s v="13-04-2026"/>
    <n v="11818"/>
    <s v="1101-03"/>
    <n v="5000000"/>
    <n v="0"/>
    <s v="0765406986 transf. 0207015225"/>
    <n v="5000000"/>
    <s v="Activo"/>
    <n v="5000000"/>
    <x v="1"/>
  </r>
  <r>
    <n v="2026"/>
    <n v="4"/>
    <s v="13-04-2026"/>
    <n v="11819"/>
    <s v="1101-03"/>
    <n v="5000000"/>
    <n v="0"/>
    <s v="0765406986 transf. 35571038291"/>
    <n v="5000000"/>
    <s v="Activo"/>
    <n v="5000000"/>
    <x v="1"/>
  </r>
  <r>
    <n v="2026"/>
    <n v="4"/>
    <s v="13-04-2026"/>
    <n v="11820"/>
    <s v="1101-03"/>
    <n v="5000000"/>
    <n v="0"/>
    <s v="0765406986 transf. 230434690"/>
    <n v="5000000"/>
    <s v="Activo"/>
    <n v="5000000"/>
    <x v="1"/>
  </r>
  <r>
    <n v="2026"/>
    <n v="4"/>
    <s v="13-04-2026"/>
    <n v="11821"/>
    <s v="1101-03"/>
    <n v="4424800"/>
    <n v="0"/>
    <s v="0765406986 transf. 35571038291"/>
    <n v="4424800"/>
    <s v="Activo"/>
    <n v="4424800"/>
    <x v="1"/>
  </r>
  <r>
    <n v="2026"/>
    <n v="4"/>
    <s v="13-04-2026"/>
    <n v="11822"/>
    <s v="1101-03"/>
    <n v="3465089"/>
    <n v="0"/>
    <s v="0966893109 abn crd db tran transba"/>
    <n v="3465089"/>
    <s v="Activo"/>
    <n v="3465089"/>
    <x v="1"/>
  </r>
  <r>
    <n v="2026"/>
    <n v="4"/>
    <s v="13-04-2026"/>
    <n v="11823"/>
    <s v="1101-03"/>
    <n v="2165000"/>
    <n v="0"/>
    <s v="0765406986 transf. 230434690"/>
    <n v="2165000"/>
    <s v="Activo"/>
    <n v="2165000"/>
    <x v="1"/>
  </r>
  <r>
    <n v="2026"/>
    <n v="4"/>
    <s v="13-04-2026"/>
    <n v="11824"/>
    <s v="1101-03"/>
    <n v="2042040"/>
    <n v="0"/>
    <s v="0765406986 transf. 35571038291"/>
    <n v="2042040"/>
    <s v="Activo"/>
    <n v="2042040"/>
    <x v="1"/>
  </r>
  <r>
    <n v="2026"/>
    <n v="4"/>
    <s v="13-04-2026"/>
    <n v="11825"/>
    <s v="1101-03"/>
    <n v="2000000"/>
    <n v="0"/>
    <s v="0765406986 transf. 0207015225"/>
    <n v="2000000"/>
    <s v="Activo"/>
    <n v="2000000"/>
    <x v="1"/>
  </r>
  <r>
    <n v="2026"/>
    <n v="4"/>
    <s v="13-04-2026"/>
    <n v="11826"/>
    <s v="1101-03"/>
    <n v="1283200"/>
    <n v="0"/>
    <s v="0765406986 transf. 35571038291"/>
    <n v="1283200"/>
    <s v="Activo"/>
    <n v="1283200"/>
    <x v="1"/>
  </r>
  <r>
    <n v="2026"/>
    <n v="4"/>
    <s v="13-04-2026"/>
    <n v="11827"/>
    <s v="1101-03"/>
    <n v="759541"/>
    <n v="0"/>
    <s v="0761872877 transf. khipu spa"/>
    <n v="759541"/>
    <s v="Activo"/>
    <n v="759541"/>
    <x v="1"/>
  </r>
  <r>
    <n v="2026"/>
    <n v="4"/>
    <s v="13-04-2026"/>
    <n v="11828"/>
    <s v="1101-03"/>
    <n v="735848"/>
    <n v="0"/>
    <s v="0765406986 transf. 35571038291"/>
    <n v="735848"/>
    <s v="Activo"/>
    <n v="735848"/>
    <x v="1"/>
  </r>
  <r>
    <n v="2026"/>
    <n v="4"/>
    <s v="14-04-2026"/>
    <n v="7592"/>
    <s v="1101-03"/>
    <n v="0"/>
    <n v="4615000"/>
    <s v="0966693401 transf a tac comunicati"/>
    <n v="-4615000"/>
    <s v="Activo"/>
    <n v="-4615000"/>
    <x v="1"/>
  </r>
  <r>
    <n v="2026"/>
    <n v="4"/>
    <s v="14-04-2026"/>
    <n v="7593"/>
    <s v="1101-03"/>
    <n v="0"/>
    <n v="4000000"/>
    <s v="0133423583 transf a hector vivanco"/>
    <n v="-4000000"/>
    <s v="Activo"/>
    <n v="-4000000"/>
    <x v="1"/>
  </r>
  <r>
    <n v="2026"/>
    <n v="4"/>
    <s v="14-04-2026"/>
    <n v="7594"/>
    <s v="1101-03"/>
    <n v="0"/>
    <n v="2283200"/>
    <s v="0133423583 transf a hector vivanco"/>
    <n v="-2283200"/>
    <s v="Activo"/>
    <n v="-2283200"/>
    <x v="1"/>
  </r>
  <r>
    <n v="2026"/>
    <n v="4"/>
    <s v="14-04-2026"/>
    <n v="7595"/>
    <s v="1101-03"/>
    <n v="0"/>
    <n v="2042040"/>
    <s v="0761831402 transf a comercial lago"/>
    <n v="-2042040"/>
    <s v="Activo"/>
    <n v="-2042040"/>
    <x v="1"/>
  </r>
  <r>
    <n v="2026"/>
    <n v="4"/>
    <s v="14-04-2026"/>
    <n v="7596"/>
    <s v="1101-03"/>
    <n v="0"/>
    <n v="735848"/>
    <s v="0966693401 transf a tac comunicati"/>
    <n v="-735848"/>
    <s v="Activo"/>
    <n v="-735848"/>
    <x v="1"/>
  </r>
  <r>
    <n v="2026"/>
    <n v="4"/>
    <s v="14-04-2026"/>
    <n v="7597"/>
    <s v="1101-03"/>
    <n v="0"/>
    <n v="645327"/>
    <s v="0765672007 transf a tecnologia lk"/>
    <n v="-645327"/>
    <s v="Activo"/>
    <n v="-645327"/>
    <x v="1"/>
  </r>
  <r>
    <n v="2026"/>
    <n v="4"/>
    <s v="14-04-2026"/>
    <n v="7598"/>
    <s v="1101-03"/>
    <n v="0"/>
    <n v="612898"/>
    <s v="0966693401 transf a tac comunicati"/>
    <n v="-612898"/>
    <s v="Activo"/>
    <n v="-612898"/>
    <x v="1"/>
  </r>
  <r>
    <n v="2026"/>
    <n v="4"/>
    <s v="14-04-2026"/>
    <n v="7599"/>
    <s v="1101-03"/>
    <n v="0"/>
    <n v="600000"/>
    <s v="016748381k transf a patrick lopez"/>
    <n v="-600000"/>
    <s v="Activo"/>
    <n v="-600000"/>
    <x v="1"/>
  </r>
  <r>
    <n v="2026"/>
    <n v="4"/>
    <s v="14-04-2026"/>
    <n v="7600"/>
    <s v="1101-03"/>
    <n v="0"/>
    <n v="434826"/>
    <s v="0966693401 transf a tac comunicati"/>
    <n v="-434826"/>
    <s v="Activo"/>
    <n v="-434826"/>
    <x v="1"/>
  </r>
  <r>
    <n v="2026"/>
    <n v="4"/>
    <s v="14-04-2026"/>
    <n v="7601"/>
    <s v="1101-03"/>
    <n v="0"/>
    <n v="267750"/>
    <s v="0761831402 transf a comercial lago"/>
    <n v="-267750"/>
    <s v="Activo"/>
    <n v="-267750"/>
    <x v="1"/>
  </r>
  <r>
    <n v="2026"/>
    <n v="4"/>
    <s v="14-04-2026"/>
    <n v="7602"/>
    <s v="1101-03"/>
    <n v="0"/>
    <n v="260764"/>
    <s v="0769921850 transf a central sistem"/>
    <n v="-260764"/>
    <s v="Activo"/>
    <n v="-260764"/>
    <x v="1"/>
  </r>
  <r>
    <n v="2026"/>
    <n v="4"/>
    <s v="14-04-2026"/>
    <n v="7603"/>
    <s v="1101-03"/>
    <n v="0"/>
    <n v="173044"/>
    <s v="Finiquito cuota 13 gisela alvarez"/>
    <n v="-173044"/>
    <s v="Activo"/>
    <n v="-173044"/>
    <x v="1"/>
  </r>
  <r>
    <n v="2026"/>
    <n v="4"/>
    <s v="14-04-2026"/>
    <n v="7604"/>
    <s v="1101-03"/>
    <n v="0"/>
    <n v="150000"/>
    <s v="0765406986 transf a 176540698"/>
    <n v="-150000"/>
    <s v="Activo"/>
    <n v="-150000"/>
    <x v="1"/>
  </r>
  <r>
    <n v="2026"/>
    <n v="4"/>
    <s v="14-04-2026"/>
    <n v="7605"/>
    <s v="1101-03"/>
    <n v="0"/>
    <n v="75000"/>
    <s v="0189610955 transf a soledad del ca"/>
    <n v="-75000"/>
    <s v="Activo"/>
    <n v="-75000"/>
    <x v="1"/>
  </r>
  <r>
    <n v="2026"/>
    <n v="4"/>
    <s v="14-04-2026"/>
    <n v="7606"/>
    <s v="1101-03"/>
    <n v="0"/>
    <n v="71117"/>
    <s v="0779304779 transf a mdd soluciones"/>
    <n v="-71117"/>
    <s v="Activo"/>
    <n v="-71117"/>
    <x v="1"/>
  </r>
  <r>
    <n v="2026"/>
    <n v="4"/>
    <s v="14-04-2026"/>
    <n v="11829"/>
    <s v="1101-03"/>
    <n v="12344269"/>
    <n v="0"/>
    <s v="0966893109 abn crd db tran transba"/>
    <n v="12344269"/>
    <s v="Activo"/>
    <n v="12344269"/>
    <x v="1"/>
  </r>
  <r>
    <n v="2026"/>
    <n v="4"/>
    <s v="14-04-2026"/>
    <n v="11830"/>
    <s v="1101-03"/>
    <n v="68169"/>
    <n v="0"/>
    <s v="0761872877 transf. khipu spa"/>
    <n v="68169"/>
    <s v="Activo"/>
    <n v="68169"/>
    <x v="1"/>
  </r>
  <r>
    <n v="2026"/>
    <n v="4"/>
    <s v="15-04-2026"/>
    <n v="7607"/>
    <s v="1101-03"/>
    <n v="0"/>
    <n v="1000000"/>
    <s v="0170226380 transf a freddy alex ro"/>
    <n v="-1000000"/>
    <s v="Activo"/>
    <n v="-1000000"/>
    <x v="1"/>
  </r>
  <r>
    <n v="2026"/>
    <n v="4"/>
    <s v="15-04-2026"/>
    <n v="7608"/>
    <s v="1101-03"/>
    <n v="0"/>
    <n v="941885"/>
    <s v="0966693401 transf a tac comunicati"/>
    <n v="-941885"/>
    <s v="Activo"/>
    <n v="-941885"/>
    <x v="1"/>
  </r>
  <r>
    <n v="2026"/>
    <n v="4"/>
    <s v="15-04-2026"/>
    <n v="7609"/>
    <s v="1101-03"/>
    <n v="0"/>
    <n v="500000"/>
    <s v="0995200007 transf a muevo copec em"/>
    <n v="-500000"/>
    <s v="Activo"/>
    <n v="-500000"/>
    <x v="1"/>
  </r>
  <r>
    <n v="2026"/>
    <n v="4"/>
    <s v="15-04-2026"/>
    <n v="11831"/>
    <s v="1101-03"/>
    <n v="3368036"/>
    <n v="0"/>
    <s v="0966893109 abn crd db tran transba"/>
    <n v="3368036"/>
    <s v="Activo"/>
    <n v="3368036"/>
    <x v="1"/>
  </r>
  <r>
    <n v="2026"/>
    <n v="4"/>
    <s v="15-04-2026"/>
    <n v="11832"/>
    <s v="1101-03"/>
    <n v="47419"/>
    <n v="0"/>
    <s v="0761872877 transf. khipu spa"/>
    <n v="47419"/>
    <s v="Activo"/>
    <n v="47419"/>
    <x v="1"/>
  </r>
  <r>
    <n v="2026"/>
    <n v="4"/>
    <s v="16-04-2026"/>
    <n v="7610"/>
    <s v="1101-03"/>
    <n v="0"/>
    <n v="1800000"/>
    <s v="0151626734 transf a hector steve o"/>
    <n v="-1800000"/>
    <s v="Activo"/>
    <n v="-1800000"/>
    <x v="1"/>
  </r>
  <r>
    <n v="2026"/>
    <n v="4"/>
    <s v="16-04-2026"/>
    <n v="7611"/>
    <s v="1101-03"/>
    <n v="0"/>
    <n v="1341220"/>
    <s v="0966693401 transf a tac comunicati"/>
    <n v="-1341220"/>
    <s v="Activo"/>
    <n v="-1341220"/>
    <x v="1"/>
  </r>
  <r>
    <n v="2026"/>
    <n v="4"/>
    <s v="16-04-2026"/>
    <n v="11833"/>
    <s v="1101-03"/>
    <n v="3376784"/>
    <n v="0"/>
    <s v="0765406986 transf. 0207015225"/>
    <n v="3376784"/>
    <s v="Activo"/>
    <n v="3376784"/>
    <x v="1"/>
  </r>
  <r>
    <n v="2026"/>
    <n v="4"/>
    <s v="16-04-2026"/>
    <n v="11834"/>
    <s v="1101-03"/>
    <n v="2000000"/>
    <n v="0"/>
    <s v="0765406986 transf. 0207015225"/>
    <n v="2000000"/>
    <s v="Activo"/>
    <n v="2000000"/>
    <x v="1"/>
  </r>
  <r>
    <n v="2026"/>
    <n v="4"/>
    <s v="16-04-2026"/>
    <n v="11835"/>
    <s v="1101-03"/>
    <n v="1103946"/>
    <n v="0"/>
    <s v="0966893109 abn crd db tran transba"/>
    <n v="1103946"/>
    <s v="Activo"/>
    <n v="1103946"/>
    <x v="1"/>
  </r>
  <r>
    <n v="2026"/>
    <n v="4"/>
    <s v="16-04-2026"/>
    <n v="11836"/>
    <s v="1101-03"/>
    <n v="424704"/>
    <n v="0"/>
    <s v="0761872877 transf. khipu spa"/>
    <n v="424704"/>
    <s v="Activo"/>
    <n v="424704"/>
    <x v="1"/>
  </r>
  <r>
    <n v="2026"/>
    <n v="4"/>
    <s v="17-04-2026"/>
    <n v="7612"/>
    <s v="1101-03"/>
    <n v="0"/>
    <n v="13339012"/>
    <s v="Pago f29 marzo"/>
    <n v="-13339012"/>
    <s v="Activo"/>
    <n v="-13339012"/>
    <x v="1"/>
  </r>
  <r>
    <n v="2026"/>
    <n v="4"/>
    <s v="17-04-2026"/>
    <n v="7613"/>
    <s v="1101-03"/>
    <n v="0"/>
    <n v="500000"/>
    <s v="0995200007 transf a muevo copec em"/>
    <n v="-500000"/>
    <s v="Activo"/>
    <n v="-500000"/>
    <x v="1"/>
  </r>
  <r>
    <n v="2026"/>
    <n v="4"/>
    <s v="17-04-2026"/>
    <n v="7614"/>
    <s v="1101-03"/>
    <n v="0"/>
    <n v="160000"/>
    <s v="Pago en linea voissnet cloud servi"/>
    <n v="-160000"/>
    <s v="Activo"/>
    <n v="-160000"/>
    <x v="1"/>
  </r>
  <r>
    <n v="2026"/>
    <n v="4"/>
    <s v="17-04-2026"/>
    <n v="7615"/>
    <s v="1101-03"/>
    <n v="0"/>
    <n v="100000"/>
    <s v="0765406986 transf a 176540698"/>
    <n v="-100000"/>
    <s v="Activo"/>
    <n v="-100000"/>
    <x v="1"/>
  </r>
  <r>
    <n v="2026"/>
    <n v="4"/>
    <s v="17-04-2026"/>
    <n v="7616"/>
    <s v="1101-03"/>
    <n v="0"/>
    <n v="100000"/>
    <s v="Pago en linea voissnet cloud servi"/>
    <n v="-100000"/>
    <s v="Activo"/>
    <n v="-100000"/>
    <x v="1"/>
  </r>
  <r>
    <n v="2026"/>
    <n v="4"/>
    <s v="17-04-2026"/>
    <n v="7617"/>
    <s v="1101-03"/>
    <n v="0"/>
    <n v="85000"/>
    <s v="Pago en linea voissnet cloud servi"/>
    <n v="-85000"/>
    <s v="Activo"/>
    <n v="-85000"/>
    <x v="1"/>
  </r>
  <r>
    <n v="2026"/>
    <n v="4"/>
    <s v="17-04-2026"/>
    <n v="7618"/>
    <s v="1101-03"/>
    <n v="0"/>
    <n v="65000"/>
    <s v="Pago en linea voissnet cloud servi"/>
    <n v="-65000"/>
    <s v="Activo"/>
    <n v="-65000"/>
    <x v="1"/>
  </r>
  <r>
    <n v="2026"/>
    <n v="4"/>
    <s v="17-04-2026"/>
    <n v="7619"/>
    <s v="1101-03"/>
    <n v="0"/>
    <n v="42000"/>
    <s v="Pago en linea voissnet cloud servi"/>
    <n v="-42000"/>
    <s v="Activo"/>
    <n v="-42000"/>
    <x v="1"/>
  </r>
  <r>
    <n v="2026"/>
    <n v="4"/>
    <s v="17-04-2026"/>
    <n v="7620"/>
    <s v="1101-03"/>
    <n v="0"/>
    <n v="42000"/>
    <s v="Pago en linea voissnet cloud servi"/>
    <n v="-42000"/>
    <s v="Activo"/>
    <n v="-42000"/>
    <x v="1"/>
  </r>
  <r>
    <n v="2026"/>
    <n v="4"/>
    <s v="17-04-2026"/>
    <n v="7621"/>
    <s v="1101-03"/>
    <n v="0"/>
    <n v="42000"/>
    <s v="Pago en linea voissnet cloud servi"/>
    <n v="-42000"/>
    <s v="Activo"/>
    <n v="-42000"/>
    <x v="1"/>
  </r>
  <r>
    <n v="2026"/>
    <n v="4"/>
    <s v="17-04-2026"/>
    <n v="7622"/>
    <s v="1101-03"/>
    <n v="0"/>
    <n v="42000"/>
    <s v="Pago en linea voissnet cloud servi"/>
    <n v="-42000"/>
    <s v="Activo"/>
    <n v="-42000"/>
    <x v="1"/>
  </r>
  <r>
    <n v="2026"/>
    <n v="4"/>
    <s v="17-04-2026"/>
    <n v="7623"/>
    <s v="1101-03"/>
    <n v="0"/>
    <n v="42000"/>
    <s v="Pago en linea voissnet cloud servi"/>
    <n v="-42000"/>
    <s v="Activo"/>
    <n v="-42000"/>
    <x v="1"/>
  </r>
  <r>
    <n v="2026"/>
    <n v="4"/>
    <s v="17-04-2026"/>
    <n v="7624"/>
    <s v="1101-03"/>
    <n v="0"/>
    <n v="42000"/>
    <s v="Pago en linea voissnet cloud servi"/>
    <n v="-42000"/>
    <s v="Activo"/>
    <n v="-42000"/>
    <x v="1"/>
  </r>
  <r>
    <n v="2026"/>
    <n v="4"/>
    <s v="17-04-2026"/>
    <n v="7625"/>
    <s v="1101-03"/>
    <n v="0"/>
    <n v="42000"/>
    <s v="Pago en linea voissnet cloud servi"/>
    <n v="-42000"/>
    <s v="Activo"/>
    <n v="-42000"/>
    <x v="1"/>
  </r>
  <r>
    <n v="2026"/>
    <n v="4"/>
    <s v="17-04-2026"/>
    <n v="7626"/>
    <s v="1101-03"/>
    <n v="0"/>
    <n v="42000"/>
    <s v="Pago en linea voissnet cloud servi"/>
    <n v="-42000"/>
    <s v="Activo"/>
    <n v="-42000"/>
    <x v="1"/>
  </r>
  <r>
    <n v="2026"/>
    <n v="4"/>
    <s v="17-04-2026"/>
    <n v="7627"/>
    <s v="1101-03"/>
    <n v="0"/>
    <n v="42000"/>
    <s v="Pago en linea voissnet cloud servi"/>
    <n v="-42000"/>
    <s v="Activo"/>
    <n v="-42000"/>
    <x v="1"/>
  </r>
  <r>
    <n v="2026"/>
    <n v="4"/>
    <s v="17-04-2026"/>
    <n v="11837"/>
    <s v="1101-03"/>
    <n v="1569216"/>
    <n v="0"/>
    <s v="0966893109 abn crd db tran transba"/>
    <n v="1569216"/>
    <s v="Activo"/>
    <n v="1569216"/>
    <x v="1"/>
  </r>
  <r>
    <n v="2026"/>
    <n v="4"/>
    <s v="17-04-2026"/>
    <n v="11838"/>
    <s v="1101-03"/>
    <n v="501368"/>
    <n v="0"/>
    <s v="0761872877 transf. khipu spa"/>
    <n v="501368"/>
    <s v="Activo"/>
    <n v="501368"/>
    <x v="1"/>
  </r>
  <r>
    <n v="2026"/>
    <n v="4"/>
    <s v="20-04-2026"/>
    <n v="7628"/>
    <s v="1101-03"/>
    <n v="0"/>
    <n v="4819500"/>
    <s v="0966693401 transf a tac comunicati"/>
    <n v="-4819500"/>
    <s v="Activo"/>
    <n v="-4819500"/>
    <x v="1"/>
  </r>
  <r>
    <n v="2026"/>
    <n v="4"/>
    <s v="20-04-2026"/>
    <n v="7629"/>
    <s v="1101-03"/>
    <n v="0"/>
    <n v="3581424"/>
    <s v="0765406986 transf. 0207015225"/>
    <n v="-3581424"/>
    <s v="Activo"/>
    <n v="-3581424"/>
    <x v="1"/>
  </r>
  <r>
    <n v="2026"/>
    <n v="4"/>
    <s v="20-04-2026"/>
    <n v="7630"/>
    <s v="1101-03"/>
    <n v="0"/>
    <n v="1351398"/>
    <s v="0773470286 transf a lars spa"/>
    <n v="-1351398"/>
    <s v="Activo"/>
    <n v="-1351398"/>
    <x v="1"/>
  </r>
  <r>
    <n v="2026"/>
    <n v="4"/>
    <s v="20-04-2026"/>
    <n v="7631"/>
    <s v="1101-03"/>
    <n v="0"/>
    <n v="975149"/>
    <s v="0966693401 transf a tac comunicati"/>
    <n v="-975149"/>
    <s v="Activo"/>
    <n v="-975149"/>
    <x v="1"/>
  </r>
  <r>
    <n v="2026"/>
    <n v="4"/>
    <s v="20-04-2026"/>
    <n v="7632"/>
    <s v="1101-03"/>
    <n v="0"/>
    <n v="557217"/>
    <s v="0966693401 transf a tac comunicati"/>
    <n v="-557217"/>
    <s v="Activo"/>
    <n v="-557217"/>
    <x v="1"/>
  </r>
  <r>
    <n v="2026"/>
    <n v="4"/>
    <s v="20-04-2026"/>
    <n v="7633"/>
    <s v="1101-03"/>
    <n v="0"/>
    <n v="531302"/>
    <s v="076743913k transf a h y l telecom"/>
    <n v="-531302"/>
    <s v="Activo"/>
    <n v="-531302"/>
    <x v="1"/>
  </r>
  <r>
    <n v="2026"/>
    <n v="4"/>
    <s v="20-04-2026"/>
    <n v="7634"/>
    <s v="1101-03"/>
    <n v="0"/>
    <n v="500000"/>
    <s v="0995200007 transf a muevo copec em"/>
    <n v="-500000"/>
    <s v="Activo"/>
    <n v="-500000"/>
    <x v="1"/>
  </r>
  <r>
    <n v="2026"/>
    <n v="4"/>
    <s v="20-04-2026"/>
    <n v="7635"/>
    <s v="1101-03"/>
    <n v="0"/>
    <n v="367924"/>
    <s v="0966693401 transf a tac comunicati"/>
    <n v="-367924"/>
    <s v="Activo"/>
    <n v="-367924"/>
    <x v="1"/>
  </r>
  <r>
    <n v="2026"/>
    <n v="4"/>
    <s v="20-04-2026"/>
    <n v="7636"/>
    <s v="1101-03"/>
    <n v="0"/>
    <n v="301070"/>
    <s v="0775846143 transf a sfplus spa fact 241"/>
    <n v="-301070"/>
    <s v="Activo"/>
    <n v="-301070"/>
    <x v="1"/>
  </r>
  <r>
    <n v="2026"/>
    <n v="4"/>
    <s v="20-04-2026"/>
    <n v="7637"/>
    <s v="1101-03"/>
    <n v="0"/>
    <n v="94701"/>
    <s v="0769657371 transf a sociedad emiso"/>
    <n v="-94701"/>
    <s v="Activo"/>
    <n v="-94701"/>
    <x v="1"/>
  </r>
  <r>
    <n v="2026"/>
    <n v="4"/>
    <s v="20-04-2026"/>
    <n v="11839"/>
    <s v="1101-03"/>
    <n v="5001794"/>
    <n v="0"/>
    <s v="0966893109 abn crd db tran transba"/>
    <n v="5001794"/>
    <s v="Activo"/>
    <n v="5001794"/>
    <x v="1"/>
  </r>
  <r>
    <n v="2026"/>
    <n v="4"/>
    <s v="20-04-2026"/>
    <n v="11840"/>
    <s v="1101-03"/>
    <n v="3581424"/>
    <n v="0"/>
    <s v="0765406986 transf. 35571038291"/>
    <n v="3581424"/>
    <s v="Activo"/>
    <n v="3581424"/>
    <x v="1"/>
  </r>
  <r>
    <n v="2026"/>
    <n v="4"/>
    <s v="20-04-2026"/>
    <n v="11841"/>
    <s v="1101-03"/>
    <n v="2589000"/>
    <n v="0"/>
    <s v="Ingreso por venta de divisas"/>
    <n v="2589000"/>
    <s v="Activo"/>
    <n v="2589000"/>
    <x v="1"/>
  </r>
  <r>
    <n v="2026"/>
    <n v="4"/>
    <s v="20-04-2026"/>
    <n v="11842"/>
    <s v="1101-03"/>
    <n v="1316881"/>
    <n v="0"/>
    <s v="Ingreso por venta de divisas"/>
    <n v="1316881"/>
    <s v="Activo"/>
    <n v="1316881"/>
    <x v="1"/>
  </r>
  <r>
    <n v="2026"/>
    <n v="4"/>
    <s v="20-04-2026"/>
    <n v="11843"/>
    <s v="1101-03"/>
    <n v="525555"/>
    <n v="0"/>
    <s v="0761872877 transf. khipu spa"/>
    <n v="525555"/>
    <s v="Activo"/>
    <n v="525555"/>
    <x v="1"/>
  </r>
  <r>
    <n v="2026"/>
    <n v="4"/>
    <s v="21-04-2026"/>
    <n v="7638"/>
    <s v="1101-03"/>
    <n v="0"/>
    <n v="4869188"/>
    <s v="Pago cuota crédito n 420050694789"/>
    <n v="-4869188"/>
    <s v="Activo"/>
    <n v="-4869188"/>
    <x v="1"/>
  </r>
  <r>
    <n v="2026"/>
    <n v="4"/>
    <s v="21-04-2026"/>
    <n v="11844"/>
    <s v="1101-03"/>
    <n v="6099085"/>
    <n v="0"/>
    <s v="0966893109 abn crd db tran transba"/>
    <n v="6099085"/>
    <s v="Activo"/>
    <n v="6099085"/>
    <x v="1"/>
  </r>
  <r>
    <n v="2026"/>
    <n v="4"/>
    <s v="21-04-2026"/>
    <n v="11845"/>
    <s v="1101-03"/>
    <n v="87902"/>
    <n v="0"/>
    <s v="0761872877 transf. khipu spa"/>
    <n v="87902"/>
    <s v="Activo"/>
    <n v="87902"/>
    <x v="1"/>
  </r>
  <r>
    <n v="2026"/>
    <n v="4"/>
    <s v="22-04-2026"/>
    <n v="7639"/>
    <s v="1101-03"/>
    <n v="0"/>
    <n v="5000000"/>
    <s v="0966693401 transf a tac comunicati"/>
    <n v="-5000000"/>
    <s v="Activo"/>
    <n v="-5000000"/>
    <x v="1"/>
  </r>
  <r>
    <n v="2026"/>
    <n v="4"/>
    <s v="22-04-2026"/>
    <n v="7640"/>
    <s v="1101-03"/>
    <n v="0"/>
    <n v="4424800"/>
    <s v="0966693401 transf a tac comunicati"/>
    <n v="-4424800"/>
    <s v="Activo"/>
    <n v="-4424800"/>
    <x v="1"/>
  </r>
  <r>
    <n v="2026"/>
    <n v="4"/>
    <s v="22-04-2026"/>
    <n v="7641"/>
    <s v="1101-03"/>
    <n v="0"/>
    <n v="1939700"/>
    <s v="0775321636 transf a hayex tecnolog"/>
    <n v="-1939700"/>
    <s v="Activo"/>
    <n v="-1939700"/>
    <x v="1"/>
  </r>
  <r>
    <n v="2026"/>
    <n v="4"/>
    <s v="22-04-2026"/>
    <n v="7642"/>
    <s v="1101-03"/>
    <n v="0"/>
    <n v="120000"/>
    <s v="0189610955 transf a soledad del ca"/>
    <n v="-120000"/>
    <s v="Activo"/>
    <n v="-120000"/>
    <x v="1"/>
  </r>
  <r>
    <n v="2026"/>
    <n v="4"/>
    <s v="22-04-2026"/>
    <n v="11846"/>
    <s v="1101-03"/>
    <n v="6573351"/>
    <n v="0"/>
    <s v="0966893109 abn crd db tran transba"/>
    <n v="6573351"/>
    <s v="Activo"/>
    <n v="6573351"/>
    <x v="1"/>
  </r>
  <r>
    <n v="2026"/>
    <n v="4"/>
    <s v="22-04-2026"/>
    <n v="11847"/>
    <s v="1101-03"/>
    <n v="264012"/>
    <n v="0"/>
    <s v="0761872877 transf. khipu spa"/>
    <n v="264012"/>
    <s v="Activo"/>
    <n v="264012"/>
    <x v="1"/>
  </r>
  <r>
    <n v="2026"/>
    <n v="4"/>
    <s v="23-04-2026"/>
    <n v="7643"/>
    <s v="1101-03"/>
    <n v="0"/>
    <n v="500000"/>
    <s v="0995200007 transf a muevo copec em"/>
    <n v="-500000"/>
    <s v="Activo"/>
    <n v="-500000"/>
    <x v="1"/>
  </r>
  <r>
    <n v="2026"/>
    <n v="4"/>
    <s v="23-04-2026"/>
    <n v="7644"/>
    <s v="1101-03"/>
    <n v="0"/>
    <n v="200000"/>
    <s v="0765406986 transf a t-link spa"/>
    <n v="-200000"/>
    <s v="Activo"/>
    <n v="-200000"/>
    <x v="1"/>
  </r>
  <r>
    <n v="2026"/>
    <n v="4"/>
    <s v="23-04-2026"/>
    <n v="11848"/>
    <s v="1101-03"/>
    <n v="1490655"/>
    <n v="0"/>
    <s v="0966893109 abn crd db tran transba"/>
    <n v="1490655"/>
    <s v="Activo"/>
    <n v="1490655"/>
    <x v="1"/>
  </r>
  <r>
    <n v="2026"/>
    <n v="4"/>
    <s v="23-04-2026"/>
    <n v="11849"/>
    <s v="1101-03"/>
    <n v="81973"/>
    <n v="0"/>
    <s v="0761872877 transf. khipu spa"/>
    <n v="81973"/>
    <s v="Activo"/>
    <n v="81973"/>
    <x v="1"/>
  </r>
  <r>
    <n v="2026"/>
    <n v="4"/>
    <s v="24-04-2026"/>
    <n v="7645"/>
    <s v="1101-03"/>
    <n v="0"/>
    <n v="51072"/>
    <s v="Compra hiper penaflor ba"/>
    <n v="-51072"/>
    <s v="Activo"/>
    <n v="-51072"/>
    <x v="1"/>
  </r>
  <r>
    <n v="2026"/>
    <n v="4"/>
    <s v="24-04-2026"/>
    <n v="11850"/>
    <s v="1101-03"/>
    <n v="1861021"/>
    <n v="0"/>
    <s v="0966893109 abn crd db tran transba"/>
    <n v="1861021"/>
    <s v="Activo"/>
    <n v="1861021"/>
    <x v="1"/>
  </r>
  <r>
    <n v="2026"/>
    <n v="4"/>
    <s v="24-04-2026"/>
    <n v="11851"/>
    <s v="1101-03"/>
    <n v="43457"/>
    <n v="0"/>
    <s v="0761872877 transf. khipu spa"/>
    <n v="43457"/>
    <s v="Activo"/>
    <n v="43457"/>
    <x v="1"/>
  </r>
  <r>
    <n v="2026"/>
    <n v="4"/>
    <s v="27-04-2026"/>
    <n v="7646"/>
    <s v="1101-03"/>
    <n v="0"/>
    <n v="2075241"/>
    <s v="0761831402 transf a comercial lago"/>
    <n v="-2075241"/>
    <s v="Activo"/>
    <n v="-2075241"/>
    <x v="1"/>
  </r>
  <r>
    <n v="2026"/>
    <n v="4"/>
    <s v="27-04-2026"/>
    <n v="7647"/>
    <s v="1101-03"/>
    <n v="0"/>
    <n v="1507333"/>
    <s v="0774546138 transf a optictimes spa"/>
    <n v="-1507333"/>
    <s v="Activo"/>
    <n v="-1507333"/>
    <x v="1"/>
  </r>
  <r>
    <n v="2026"/>
    <n v="4"/>
    <s v="27-04-2026"/>
    <n v="7648"/>
    <s v="1101-03"/>
    <n v="0"/>
    <n v="1113840"/>
    <s v="0774546138 transf a optictimes spa"/>
    <n v="-1113840"/>
    <s v="Activo"/>
    <n v="-1113840"/>
    <x v="1"/>
  </r>
  <r>
    <n v="2026"/>
    <n v="4"/>
    <s v="27-04-2026"/>
    <n v="7649"/>
    <s v="1101-03"/>
    <n v="0"/>
    <n v="1000000"/>
    <s v="077740671k transf a growthpro spa"/>
    <n v="-1000000"/>
    <s v="Activo"/>
    <n v="-1000000"/>
    <x v="1"/>
  </r>
  <r>
    <n v="2026"/>
    <n v="4"/>
    <s v="27-04-2026"/>
    <n v="7650"/>
    <s v="1101-03"/>
    <n v="0"/>
    <n v="538426"/>
    <s v="0765672007 transf a tecnologia lk"/>
    <n v="-538426"/>
    <s v="Activo"/>
    <n v="-538426"/>
    <x v="1"/>
  </r>
  <r>
    <n v="2026"/>
    <n v="4"/>
    <s v="27-04-2026"/>
    <n v="7651"/>
    <s v="1101-03"/>
    <n v="0"/>
    <n v="500000"/>
    <s v="0995200007 transf a muevo copec em"/>
    <n v="-500000"/>
    <s v="Activo"/>
    <n v="-500000"/>
    <x v="1"/>
  </r>
  <r>
    <n v="2026"/>
    <n v="4"/>
    <s v="27-04-2026"/>
    <n v="7652"/>
    <s v="1101-03"/>
    <n v="0"/>
    <n v="300000"/>
    <s v="0779729982 transf a sociedad de pr"/>
    <n v="-300000"/>
    <s v="Activo"/>
    <n v="-300000"/>
    <x v="1"/>
  </r>
  <r>
    <n v="2026"/>
    <n v="4"/>
    <s v="27-04-2026"/>
    <n v="7653"/>
    <s v="1101-03"/>
    <n v="0"/>
    <n v="202300"/>
    <s v="0775202467 transf a ingsor spa"/>
    <n v="-202300"/>
    <s v="Activo"/>
    <n v="-202300"/>
    <x v="1"/>
  </r>
  <r>
    <n v="2026"/>
    <n v="4"/>
    <s v="27-04-2026"/>
    <n v="7654"/>
    <s v="1101-03"/>
    <n v="0"/>
    <n v="200000"/>
    <s v="0765406986 transf a t-link spa"/>
    <n v="-200000"/>
    <s v="Activo"/>
    <n v="-200000"/>
    <x v="1"/>
  </r>
  <r>
    <n v="2026"/>
    <n v="4"/>
    <s v="27-04-2026"/>
    <n v="7655"/>
    <s v="1101-03"/>
    <n v="0"/>
    <n v="169799"/>
    <s v="0769818758 transf a contempora com"/>
    <n v="-169799"/>
    <s v="Activo"/>
    <n v="-169799"/>
    <x v="1"/>
  </r>
  <r>
    <n v="2026"/>
    <n v="4"/>
    <s v="27-04-2026"/>
    <n v="7656"/>
    <s v="1101-03"/>
    <n v="0"/>
    <n v="150000"/>
    <s v="0161713392 transf a felipe luengo"/>
    <n v="-150000"/>
    <s v="Activo"/>
    <n v="-150000"/>
    <x v="1"/>
  </r>
  <r>
    <n v="2026"/>
    <n v="4"/>
    <s v="27-04-2026"/>
    <n v="7657"/>
    <s v="1101-03"/>
    <n v="0"/>
    <n v="121832"/>
    <s v="Pago en linea servipag"/>
    <n v="-121832"/>
    <s v="Activo"/>
    <n v="-121832"/>
    <x v="1"/>
  </r>
  <r>
    <n v="2026"/>
    <n v="4"/>
    <s v="27-04-2026"/>
    <n v="7658"/>
    <s v="1101-03"/>
    <n v="0"/>
    <n v="100924"/>
    <s v="Compra hiper penaflor ba"/>
    <n v="-100924"/>
    <s v="Activo"/>
    <n v="-100924"/>
    <x v="1"/>
  </r>
  <r>
    <n v="2026"/>
    <n v="4"/>
    <s v="27-04-2026"/>
    <n v="7659"/>
    <s v="1101-03"/>
    <n v="0"/>
    <n v="30000"/>
    <s v="0118908112 transf a yerko andrés n"/>
    <n v="-30000"/>
    <s v="Activo"/>
    <n v="-30000"/>
    <x v="1"/>
  </r>
  <r>
    <n v="2026"/>
    <n v="4"/>
    <s v="27-04-2026"/>
    <n v="7660"/>
    <s v="1101-03"/>
    <n v="0"/>
    <n v="30000"/>
    <s v="0180802495 transf a camila elizabe"/>
    <n v="-30000"/>
    <s v="Activo"/>
    <n v="-30000"/>
    <x v="1"/>
  </r>
  <r>
    <n v="2026"/>
    <n v="4"/>
    <s v="27-04-2026"/>
    <n v="7661"/>
    <s v="1101-03"/>
    <n v="0"/>
    <n v="21896"/>
    <s v="0765672007 transf a tecnologia lk"/>
    <n v="-21896"/>
    <s v="Activo"/>
    <n v="-21896"/>
    <x v="1"/>
  </r>
  <r>
    <n v="2026"/>
    <n v="4"/>
    <s v="27-04-2026"/>
    <n v="7662"/>
    <s v="1101-03"/>
    <n v="0"/>
    <n v="20000"/>
    <s v="0779729982 transf a sociedad de pr"/>
    <n v="-20000"/>
    <s v="Activo"/>
    <n v="-20000"/>
    <x v="1"/>
  </r>
  <r>
    <n v="2026"/>
    <n v="4"/>
    <s v="27-04-2026"/>
    <n v="7663"/>
    <s v="1101-03"/>
    <n v="0"/>
    <n v="10000"/>
    <s v="0779729982 transf a sociedad de pr"/>
    <n v="-10000"/>
    <s v="Activo"/>
    <n v="-10000"/>
    <x v="1"/>
  </r>
  <r>
    <n v="2026"/>
    <n v="4"/>
    <s v="27-04-2026"/>
    <n v="11852"/>
    <s v="1101-03"/>
    <n v="1607413"/>
    <n v="0"/>
    <s v="0966893109 abn crd db tran transba"/>
    <n v="1607413"/>
    <s v="Activo"/>
    <n v="1607413"/>
    <x v="1"/>
  </r>
  <r>
    <n v="2026"/>
    <n v="4"/>
    <s v="27-04-2026"/>
    <n v="11853"/>
    <s v="1101-03"/>
    <n v="670107"/>
    <n v="0"/>
    <s v="0761872877 transf. khipu spa"/>
    <n v="670107"/>
    <s v="Activo"/>
    <n v="670107"/>
    <x v="1"/>
  </r>
  <r>
    <n v="2026"/>
    <n v="4"/>
    <s v="28-04-2026"/>
    <n v="7664"/>
    <s v="1101-03"/>
    <n v="0"/>
    <n v="2250000"/>
    <s v="Pago anticipado a rodrigo riffo"/>
    <n v="-2250000"/>
    <s v="Activo"/>
    <n v="-2250000"/>
    <x v="1"/>
  </r>
  <r>
    <n v="2026"/>
    <n v="4"/>
    <s v="28-04-2026"/>
    <n v="7665"/>
    <s v="1101-03"/>
    <n v="0"/>
    <n v="100000"/>
    <s v="0765406986 transf a t-link spa"/>
    <n v="-100000"/>
    <s v="Activo"/>
    <n v="-100000"/>
    <x v="1"/>
  </r>
  <r>
    <n v="2026"/>
    <n v="4"/>
    <s v="28-04-2026"/>
    <n v="7666"/>
    <s v="1101-03"/>
    <n v="0"/>
    <n v="23511"/>
    <s v="Com.mantencion plan"/>
    <n v="-23511"/>
    <s v="Activo"/>
    <n v="-23511"/>
    <x v="1"/>
  </r>
  <r>
    <n v="2026"/>
    <n v="4"/>
    <s v="28-04-2026"/>
    <n v="11854"/>
    <s v="1101-03"/>
    <n v="9557948"/>
    <n v="0"/>
    <s v="0966893109 abn crd db tran transba"/>
    <n v="9557948"/>
    <s v="Activo"/>
    <n v="9557948"/>
    <x v="1"/>
  </r>
  <r>
    <n v="2026"/>
    <n v="4"/>
    <s v="28-04-2026"/>
    <n v="11855"/>
    <s v="1101-03"/>
    <n v="622507"/>
    <n v="0"/>
    <s v="0761872877 transf. khipu spa"/>
    <n v="622507"/>
    <s v="Activo"/>
    <n v="622507"/>
    <x v="1"/>
  </r>
  <r>
    <n v="2026"/>
    <n v="4"/>
    <s v="29-04-2026"/>
    <n v="7667"/>
    <s v="1101-03"/>
    <n v="0"/>
    <n v="500000"/>
    <s v="0995200007 transf a muevo copec em"/>
    <n v="-500000"/>
    <s v="Activo"/>
    <n v="-500000"/>
    <x v="1"/>
  </r>
  <r>
    <n v="2026"/>
    <n v="4"/>
    <s v="29-04-2026"/>
    <n v="11856"/>
    <s v="1101-03"/>
    <n v="8801891"/>
    <n v="0"/>
    <s v="0966893109 abn crd db tran transba"/>
    <n v="8801891"/>
    <s v="Activo"/>
    <n v="8801891"/>
    <x v="1"/>
  </r>
  <r>
    <n v="2026"/>
    <n v="4"/>
    <s v="29-04-2026"/>
    <n v="11857"/>
    <s v="1101-03"/>
    <n v="355419"/>
    <n v="0"/>
    <s v="0761872877 transf. khipu spa"/>
    <n v="355419"/>
    <s v="Activo"/>
    <n v="355419"/>
    <x v="1"/>
  </r>
  <r>
    <n v="2026"/>
    <n v="4"/>
    <s v="30-04-2026"/>
    <n v="7668"/>
    <s v="1101-03"/>
    <n v="0"/>
    <n v="5000000"/>
    <s v="0774344497 transf a botsch spa"/>
    <n v="-5000000"/>
    <s v="Activo"/>
    <n v="-5000000"/>
    <x v="1"/>
  </r>
  <r>
    <n v="2026"/>
    <n v="4"/>
    <s v="30-04-2026"/>
    <n v="7669"/>
    <s v="1101-03"/>
    <n v="0"/>
    <n v="5000000"/>
    <s v="012646150k transf a ambiado olivar"/>
    <n v="-5000000"/>
    <s v="Activo"/>
    <n v="-5000000"/>
    <x v="1"/>
  </r>
  <r>
    <n v="2026"/>
    <n v="4"/>
    <s v="30-04-2026"/>
    <n v="7670"/>
    <s v="1101-03"/>
    <n v="0"/>
    <n v="4981132"/>
    <s v="0153722110 transf a quezada pereir"/>
    <n v="-4981132"/>
    <s v="Activo"/>
    <n v="-4981132"/>
    <x v="1"/>
  </r>
  <r>
    <n v="2026"/>
    <n v="4"/>
    <s v="30-04-2026"/>
    <n v="7671"/>
    <s v="1101-03"/>
    <n v="0"/>
    <n v="4242441"/>
    <s v="012646150k transf a ambiado olivar"/>
    <n v="-4242441"/>
    <s v="Activo"/>
    <n v="-4242441"/>
    <x v="1"/>
  </r>
  <r>
    <n v="2026"/>
    <n v="4"/>
    <s v="30-04-2026"/>
    <n v="7672"/>
    <s v="1101-03"/>
    <n v="0"/>
    <n v="3113617"/>
    <s v="0774344497 transf a botsch spa"/>
    <n v="-3113617"/>
    <s v="Activo"/>
    <n v="-3113617"/>
    <x v="1"/>
  </r>
  <r>
    <n v="2026"/>
    <n v="4"/>
    <s v="30-04-2026"/>
    <n v="7673"/>
    <s v="1101-03"/>
    <n v="0"/>
    <n v="1432222"/>
    <s v="0774344497 transf a botsch spa"/>
    <n v="-1432222"/>
    <s v="Activo"/>
    <n v="-1432222"/>
    <x v="1"/>
  </r>
  <r>
    <n v="2026"/>
    <n v="4"/>
    <s v="30-04-2026"/>
    <n v="7674"/>
    <s v="1101-03"/>
    <n v="0"/>
    <n v="110458"/>
    <s v="Compra hiper penaflor ba"/>
    <n v="-110458"/>
    <s v="Activo"/>
    <n v="-110458"/>
    <x v="1"/>
  </r>
  <r>
    <n v="2026"/>
    <n v="4"/>
    <s v="30-04-2026"/>
    <n v="7675"/>
    <s v="1101-03"/>
    <n v="0"/>
    <n v="36050"/>
    <s v="Compra hiper penaflor ba"/>
    <n v="-36050"/>
    <s v="Activo"/>
    <n v="-36050"/>
    <x v="1"/>
  </r>
  <r>
    <n v="2026"/>
    <n v="4"/>
    <s v="30-04-2026"/>
    <n v="7676"/>
    <s v="1101-03"/>
    <n v="0"/>
    <n v="19050"/>
    <s v="Compra hiper penaflor ba"/>
    <n v="-19050"/>
    <s v="Activo"/>
    <n v="-19050"/>
    <x v="1"/>
  </r>
  <r>
    <n v="2026"/>
    <n v="4"/>
    <s v="30-04-2026"/>
    <n v="11858"/>
    <s v="1101-03"/>
    <n v="5672123"/>
    <n v="0"/>
    <s v="0966893109 abn crd db tran transba"/>
    <n v="5672123"/>
    <s v="Activo"/>
    <n v="5672123"/>
    <x v="1"/>
  </r>
  <r>
    <n v="2026"/>
    <n v="4"/>
    <s v="30-04-2026"/>
    <n v="11859"/>
    <s v="1101-03"/>
    <n v="436071"/>
    <n v="0"/>
    <s v="0761872877 transf. khipu spa"/>
    <n v="436071"/>
    <s v="Activo"/>
    <n v="436071"/>
    <x v="1"/>
  </r>
  <r>
    <n v="2026"/>
    <n v="5"/>
    <s v="04-05-2026"/>
    <n v="7706"/>
    <s v="1101-03"/>
    <n v="0"/>
    <n v="920325"/>
    <s v="Compra google workspace"/>
    <n v="-920325"/>
    <s v="Activo"/>
    <n v="-920325"/>
    <x v="1"/>
  </r>
  <r>
    <n v="2026"/>
    <n v="5"/>
    <s v="04-05-2026"/>
    <n v="7707"/>
    <s v="1101-03"/>
    <n v="0"/>
    <n v="196686"/>
    <s v="Nodo cartagena consumo electrico mes abril"/>
    <n v="-196686"/>
    <s v="Activo"/>
    <n v="-196686"/>
    <x v="1"/>
  </r>
  <r>
    <n v="2026"/>
    <n v="5"/>
    <s v="04-05-2026"/>
    <n v="7708"/>
    <s v="1101-03"/>
    <n v="0"/>
    <n v="120000"/>
    <s v="Pago bh 104 soledad del carmen maldonado z"/>
    <n v="-120000"/>
    <s v="Activo"/>
    <n v="-120000"/>
    <x v="1"/>
  </r>
  <r>
    <n v="2026"/>
    <n v="5"/>
    <s v="04-05-2026"/>
    <n v="11873"/>
    <s v="1101-03"/>
    <n v="8327599"/>
    <n v="0"/>
    <s v="0966893109 abn crd db tran transba"/>
    <n v="8327599"/>
    <s v="Activo"/>
    <n v="8327599"/>
    <x v="1"/>
  </r>
  <r>
    <n v="2026"/>
    <n v="5"/>
    <s v="04-05-2026"/>
    <n v="11874"/>
    <s v="1101-03"/>
    <n v="5000000"/>
    <n v="0"/>
    <s v="0765406986 transf."/>
    <n v="5000000"/>
    <s v="Activo"/>
    <n v="5000000"/>
    <x v="1"/>
  </r>
  <r>
    <n v="2026"/>
    <n v="5"/>
    <s v="04-05-2026"/>
    <n v="11875"/>
    <s v="1101-03"/>
    <n v="5000000"/>
    <n v="0"/>
    <s v="0765406986 transf."/>
    <n v="5000000"/>
    <s v="Activo"/>
    <n v="5000000"/>
    <x v="1"/>
  </r>
  <r>
    <n v="2026"/>
    <n v="5"/>
    <s v="04-05-2026"/>
    <n v="11876"/>
    <s v="1101-03"/>
    <n v="4779934"/>
    <n v="0"/>
    <s v="0761872877 transf. khipu spa"/>
    <n v="4779934"/>
    <s v="Activo"/>
    <n v="4779934"/>
    <x v="1"/>
  </r>
  <r>
    <n v="2026"/>
    <n v="5"/>
    <s v="04-05-2026"/>
    <n v="11877"/>
    <s v="1101-03"/>
    <n v="4108720"/>
    <n v="0"/>
    <s v="Ingreso por venta de divisas"/>
    <n v="4108720"/>
    <s v="Activo"/>
    <n v="4108720"/>
    <x v="1"/>
  </r>
  <r>
    <n v="2026"/>
    <n v="5"/>
    <s v="04-05-2026"/>
    <n v="11878"/>
    <s v="1101-03"/>
    <n v="4000000"/>
    <n v="0"/>
    <s v="0765406986 transf."/>
    <n v="4000000"/>
    <s v="Activo"/>
    <n v="4000000"/>
    <x v="1"/>
  </r>
  <r>
    <n v="2026"/>
    <n v="5"/>
    <s v="04-05-2026"/>
    <n v="11879"/>
    <s v="1101-03"/>
    <n v="4000000"/>
    <n v="0"/>
    <s v="0765406986 transf."/>
    <n v="4000000"/>
    <s v="Activo"/>
    <n v="4000000"/>
    <x v="1"/>
  </r>
  <r>
    <n v="2026"/>
    <n v="5"/>
    <s v="04-05-2026"/>
    <n v="11880"/>
    <s v="1101-03"/>
    <n v="1000000"/>
    <n v="0"/>
    <s v="0765406986 transf."/>
    <n v="1000000"/>
    <s v="Activo"/>
    <n v="1000000"/>
    <x v="1"/>
  </r>
  <r>
    <n v="2026"/>
    <n v="5"/>
    <s v="05-05-2026"/>
    <n v="7709"/>
    <s v="1101-03"/>
    <n v="0"/>
    <n v="39480277"/>
    <s v="Remuneraciones abril 2026"/>
    <n v="-39480277"/>
    <s v="Activo"/>
    <n v="-39480277"/>
    <x v="1"/>
  </r>
  <r>
    <n v="2026"/>
    <n v="5"/>
    <s v="05-05-2026"/>
    <n v="7710"/>
    <s v="1101-03"/>
    <n v="0"/>
    <n v="4509867"/>
    <s v="Traspaso internet a t. crédito"/>
    <n v="-4509867"/>
    <s v="Activo"/>
    <n v="-4509867"/>
    <x v="1"/>
  </r>
  <r>
    <n v="2026"/>
    <n v="5"/>
    <s v="05-05-2026"/>
    <n v="7711"/>
    <s v="1101-03"/>
    <n v="0"/>
    <n v="4452468"/>
    <s v="Traspaso internet a t. crédito"/>
    <n v="-4452468"/>
    <s v="Activo"/>
    <n v="-4452468"/>
    <x v="1"/>
  </r>
  <r>
    <n v="2026"/>
    <n v="5"/>
    <s v="05-05-2026"/>
    <n v="7712"/>
    <s v="1101-03"/>
    <n v="0"/>
    <n v="2317712"/>
    <s v="Traspaso internet a t. crédito"/>
    <n v="-2317712"/>
    <s v="Activo"/>
    <n v="-2317712"/>
    <x v="1"/>
  </r>
  <r>
    <n v="2026"/>
    <n v="5"/>
    <s v="05-05-2026"/>
    <n v="7713"/>
    <s v="1101-03"/>
    <n v="0"/>
    <n v="535500"/>
    <s v="Pago f15 luxconnect spa"/>
    <n v="-535500"/>
    <s v="Activo"/>
    <n v="-535500"/>
    <x v="1"/>
  </r>
  <r>
    <n v="2026"/>
    <n v="5"/>
    <s v="05-05-2026"/>
    <n v="7714"/>
    <s v="1101-03"/>
    <n v="0"/>
    <n v="500000"/>
    <s v="Pago f31373794 copec s.a."/>
    <n v="-500000"/>
    <s v="Activo"/>
    <n v="-500000"/>
    <x v="1"/>
  </r>
  <r>
    <n v="2026"/>
    <n v="5"/>
    <s v="05-05-2026"/>
    <n v="11881"/>
    <s v="1101-03"/>
    <n v="44601703"/>
    <n v="0"/>
    <s v="0966893109 abn crd db tran transba"/>
    <n v="44601703"/>
    <s v="Activo"/>
    <n v="44601703"/>
    <x v="1"/>
  </r>
  <r>
    <n v="2026"/>
    <n v="5"/>
    <s v="05-05-2026"/>
    <n v="11882"/>
    <s v="1101-03"/>
    <n v="1415478"/>
    <n v="0"/>
    <s v="0761872877 transf. khipu spa"/>
    <n v="1415478"/>
    <s v="Activo"/>
    <n v="1415478"/>
    <x v="1"/>
  </r>
  <r>
    <n v="2026"/>
    <n v="5"/>
    <s v="05-05-2026"/>
    <n v="11883"/>
    <s v="1101-03"/>
    <n v="600000"/>
    <n v="0"/>
    <s v="0765406986 transf."/>
    <n v="600000"/>
    <s v="Activo"/>
    <n v="600000"/>
    <x v="1"/>
  </r>
  <r>
    <n v="2026"/>
    <n v="5"/>
    <s v="05-05-2026"/>
    <n v="11884"/>
    <s v="1101-03"/>
    <n v="500000"/>
    <n v="0"/>
    <s v="0765406986 transf."/>
    <n v="500000"/>
    <s v="Activo"/>
    <n v="500000"/>
    <x v="1"/>
  </r>
  <r>
    <n v="2026"/>
    <n v="5"/>
    <s v="06-05-2026"/>
    <n v="7715"/>
    <s v="1101-03"/>
    <n v="0"/>
    <n v="2219998"/>
    <s v="Pago f4896685 telefonica empresas chile s.a."/>
    <n v="-2219998"/>
    <s v="Activo"/>
    <n v="-2219998"/>
    <x v="1"/>
  </r>
  <r>
    <n v="2026"/>
    <n v="5"/>
    <s v="06-05-2026"/>
    <n v="7716"/>
    <s v="1101-03"/>
    <n v="0"/>
    <n v="1199584"/>
    <s v="Finiquito cuota 23 carolina gonzalez"/>
    <n v="-1199584"/>
    <s v="Activo"/>
    <n v="-1199584"/>
    <x v="1"/>
  </r>
  <r>
    <n v="2026"/>
    <n v="5"/>
    <s v="06-05-2026"/>
    <n v="7717"/>
    <s v="1101-03"/>
    <n v="0"/>
    <n v="849782"/>
    <s v="Finiquito cuota 23 gisela alvarez"/>
    <n v="-849782"/>
    <s v="Activo"/>
    <n v="-849782"/>
    <x v="1"/>
  </r>
  <r>
    <n v="2026"/>
    <n v="5"/>
    <s v="06-05-2026"/>
    <n v="7718"/>
    <s v="1101-03"/>
    <n v="0"/>
    <n v="612007"/>
    <s v="Pago f526 growthpro spa"/>
    <n v="-612007"/>
    <s v="Activo"/>
    <n v="-612007"/>
    <x v="1"/>
  </r>
  <r>
    <n v="2026"/>
    <n v="5"/>
    <s v="06-05-2026"/>
    <n v="11885"/>
    <s v="1101-03"/>
    <n v="20035732"/>
    <n v="0"/>
    <s v="0966893109 abn crd db tran transba"/>
    <n v="20035732"/>
    <s v="Activo"/>
    <n v="20035732"/>
    <x v="1"/>
  </r>
  <r>
    <n v="2026"/>
    <n v="5"/>
    <s v="06-05-2026"/>
    <n v="11886"/>
    <s v="1101-03"/>
    <n v="2000000"/>
    <n v="0"/>
    <s v="0765406986 transf."/>
    <n v="2000000"/>
    <s v="Activo"/>
    <n v="2000000"/>
    <x v="1"/>
  </r>
  <r>
    <n v="2026"/>
    <n v="5"/>
    <s v="06-05-2026"/>
    <n v="11887"/>
    <s v="1101-03"/>
    <n v="1199584"/>
    <n v="0"/>
    <s v="0765406986 transf."/>
    <n v="1199584"/>
    <s v="Activo"/>
    <n v="1199584"/>
    <x v="1"/>
  </r>
  <r>
    <n v="2026"/>
    <n v="5"/>
    <s v="06-05-2026"/>
    <n v="11888"/>
    <s v="1101-03"/>
    <n v="849782"/>
    <n v="0"/>
    <s v="0765406986 transf."/>
    <n v="849782"/>
    <s v="Activo"/>
    <n v="849782"/>
    <x v="1"/>
  </r>
  <r>
    <n v="2026"/>
    <n v="5"/>
    <s v="06-05-2026"/>
    <n v="11889"/>
    <s v="1101-03"/>
    <n v="554767"/>
    <n v="0"/>
    <s v="0761872877 transf. khipu spa"/>
    <n v="554767"/>
    <s v="Activo"/>
    <n v="554767"/>
    <x v="1"/>
  </r>
  <r>
    <n v="2026"/>
    <n v="5"/>
    <s v="07-05-2026"/>
    <n v="7719"/>
    <s v="1101-03"/>
    <n v="0"/>
    <n v="6050833"/>
    <s v="Pago f8561 inversiones y telecomunicaciones r y m spa"/>
    <n v="-6050833"/>
    <s v="Activo"/>
    <n v="-6050833"/>
    <x v="1"/>
  </r>
  <r>
    <n v="2026"/>
    <n v="5"/>
    <s v="07-05-2026"/>
    <n v="7720"/>
    <s v="1101-03"/>
    <n v="0"/>
    <n v="4323468"/>
    <s v="Pago f38429 grupo zgh spa"/>
    <n v="-4323468"/>
    <s v="Activo"/>
    <n v="-4323468"/>
    <x v="1"/>
  </r>
  <r>
    <n v="2026"/>
    <n v="5"/>
    <s v="07-05-2026"/>
    <n v="7721"/>
    <s v="1101-03"/>
    <n v="0"/>
    <n v="3821541"/>
    <s v="Pago f279 asociacion gremial de pequenos proveedores de internet y television"/>
    <n v="-3821541"/>
    <s v="Activo"/>
    <n v="-3821541"/>
    <x v="1"/>
  </r>
  <r>
    <n v="2026"/>
    <n v="5"/>
    <s v="07-05-2026"/>
    <n v="7722"/>
    <s v="1101-03"/>
    <n v="0"/>
    <n v="3354373"/>
    <s v="Pago cuota crédito n 420051423355"/>
    <n v="-3354373"/>
    <s v="Activo"/>
    <n v="-3354373"/>
    <x v="1"/>
  </r>
  <r>
    <n v="2026"/>
    <n v="5"/>
    <s v="07-05-2026"/>
    <n v="7723"/>
    <s v="1101-03"/>
    <n v="0"/>
    <n v="3152876"/>
    <s v="Pago f11541 pit chile spa"/>
    <n v="-3152876"/>
    <s v="Activo"/>
    <n v="-3152876"/>
    <x v="1"/>
  </r>
  <r>
    <n v="2026"/>
    <n v="5"/>
    <s v="07-05-2026"/>
    <n v="7724"/>
    <s v="1101-03"/>
    <n v="0"/>
    <n v="2275760"/>
    <s v="Pago f9112 silica networks chile s.a."/>
    <n v="-2275760"/>
    <s v="Activo"/>
    <n v="-2275760"/>
    <x v="1"/>
  </r>
  <r>
    <n v="2026"/>
    <n v="5"/>
    <s v="07-05-2026"/>
    <n v="7725"/>
    <s v="1101-03"/>
    <n v="0"/>
    <n v="1484447"/>
    <s v="Pago f15583 asesorias tributarias pedro gonzalez limitada"/>
    <n v="-1484447"/>
    <s v="Activo"/>
    <n v="-1484447"/>
    <x v="1"/>
  </r>
  <r>
    <n v="2026"/>
    <n v="5"/>
    <s v="07-05-2026"/>
    <n v="7726"/>
    <s v="1101-03"/>
    <n v="0"/>
    <n v="1422350"/>
    <s v="Pago f3746 ficom telecomunicaciones spa"/>
    <n v="-1422350"/>
    <s v="Activo"/>
    <n v="-1422350"/>
    <x v="1"/>
  </r>
  <r>
    <n v="2026"/>
    <n v="5"/>
    <s v="07-05-2026"/>
    <n v="7727"/>
    <s v="1101-03"/>
    <n v="0"/>
    <n v="1105510"/>
    <s v="Pago f36635 comercial lagos e hijos ltda."/>
    <n v="-1105510"/>
    <s v="Activo"/>
    <n v="-1105510"/>
    <x v="1"/>
  </r>
  <r>
    <n v="2026"/>
    <n v="5"/>
    <s v="07-05-2026"/>
    <n v="7728"/>
    <s v="1101-03"/>
    <n v="0"/>
    <n v="1012739"/>
    <s v="Pago f8733 ascenty chile spa"/>
    <n v="-1012739"/>
    <s v="Activo"/>
    <n v="-1012739"/>
    <x v="1"/>
  </r>
  <r>
    <n v="2026"/>
    <n v="5"/>
    <s v="07-05-2026"/>
    <n v="7729"/>
    <s v="1101-03"/>
    <n v="0"/>
    <n v="1000000"/>
    <s v="Pago bh 605 freddy alex rodriguez saez"/>
    <n v="-1000000"/>
    <s v="Activo"/>
    <n v="-1000000"/>
    <x v="1"/>
  </r>
  <r>
    <n v="2026"/>
    <n v="5"/>
    <s v="07-05-2026"/>
    <n v="7730"/>
    <s v="1101-03"/>
    <n v="0"/>
    <n v="971940"/>
    <s v="Pago f38430 grupo zgh spa"/>
    <n v="-971940"/>
    <s v="Activo"/>
    <n v="-971940"/>
    <x v="1"/>
  </r>
  <r>
    <n v="2026"/>
    <n v="5"/>
    <s v="07-05-2026"/>
    <n v="7731"/>
    <s v="1101-03"/>
    <n v="0"/>
    <n v="811628"/>
    <s v="Pago f324 alberto diaz de valdes e hija limitada"/>
    <n v="-811628"/>
    <s v="Activo"/>
    <n v="-811628"/>
    <x v="1"/>
  </r>
  <r>
    <n v="2026"/>
    <n v="5"/>
    <s v="07-05-2026"/>
    <n v="7732"/>
    <s v="1101-03"/>
    <n v="0"/>
    <n v="801579"/>
    <s v="Pago f412888 tecnologia lk spa"/>
    <n v="-801579"/>
    <s v="Activo"/>
    <n v="-801579"/>
    <x v="1"/>
  </r>
  <r>
    <n v="2026"/>
    <n v="5"/>
    <s v="07-05-2026"/>
    <n v="7733"/>
    <s v="1101-03"/>
    <n v="0"/>
    <n v="797147"/>
    <s v="Pago f9092 inversiones y telecomunicaciones r y m spa"/>
    <n v="-797147"/>
    <s v="Activo"/>
    <n v="-797147"/>
    <x v="1"/>
  </r>
  <r>
    <n v="2026"/>
    <n v="5"/>
    <s v="07-05-2026"/>
    <n v="7734"/>
    <s v="1101-03"/>
    <n v="0"/>
    <n v="750000"/>
    <s v="Oficina las condes oficina las condes"/>
    <n v="-750000"/>
    <s v="Activo"/>
    <n v="-750000"/>
    <x v="1"/>
  </r>
  <r>
    <n v="2026"/>
    <n v="5"/>
    <s v="07-05-2026"/>
    <n v="7735"/>
    <s v="1101-03"/>
    <n v="0"/>
    <n v="711175"/>
    <s v="Pago f3745 ficom telecomunicaciones spa"/>
    <n v="-711175"/>
    <s v="Activo"/>
    <n v="-711175"/>
    <x v="1"/>
  </r>
  <r>
    <n v="2026"/>
    <n v="5"/>
    <s v="07-05-2026"/>
    <n v="7736"/>
    <s v="1101-03"/>
    <n v="0"/>
    <n v="522428"/>
    <s v="Nodo aromos arriendo nodo aromos"/>
    <n v="-522428"/>
    <s v="Activo"/>
    <n v="-522428"/>
    <x v="1"/>
  </r>
  <r>
    <n v="2026"/>
    <n v="5"/>
    <s v="07-05-2026"/>
    <n v="7737"/>
    <s v="1101-03"/>
    <n v="0"/>
    <n v="500000"/>
    <s v="0995200007 transf a muevo copec em"/>
    <n v="-500000"/>
    <s v="Activo"/>
    <n v="-500000"/>
    <x v="1"/>
  </r>
  <r>
    <n v="2026"/>
    <n v="5"/>
    <s v="07-05-2026"/>
    <n v="7738"/>
    <s v="1101-03"/>
    <n v="0"/>
    <n v="476000"/>
    <s v="Pago f5551 cia de comunicaciones coyhaique limitada"/>
    <n v="-476000"/>
    <s v="Activo"/>
    <n v="-476000"/>
    <x v="1"/>
  </r>
  <r>
    <n v="2026"/>
    <n v="5"/>
    <s v="07-05-2026"/>
    <n v="7739"/>
    <s v="1101-03"/>
    <n v="0"/>
    <n v="401200"/>
    <s v="Pago f5113 cg abogados limitada"/>
    <n v="-401200"/>
    <s v="Activo"/>
    <n v="-401200"/>
    <x v="1"/>
  </r>
  <r>
    <n v="2026"/>
    <n v="5"/>
    <s v="07-05-2026"/>
    <n v="7740"/>
    <s v="1101-03"/>
    <n v="0"/>
    <n v="341364"/>
    <s v="Pago f77612 powerhost telecom spa"/>
    <n v="-341364"/>
    <s v="Activo"/>
    <n v="-341364"/>
    <x v="1"/>
  </r>
  <r>
    <n v="2026"/>
    <n v="5"/>
    <s v="07-05-2026"/>
    <n v="7741"/>
    <s v="1101-03"/>
    <n v="0"/>
    <n v="250000"/>
    <s v="Pago bh 90 abraham issaac garate gonzalez"/>
    <n v="-250000"/>
    <s v="Activo"/>
    <n v="-250000"/>
    <x v="1"/>
  </r>
  <r>
    <n v="2026"/>
    <n v="5"/>
    <s v="07-05-2026"/>
    <n v="7742"/>
    <s v="1101-03"/>
    <n v="0"/>
    <n v="240000"/>
    <s v="Pago bh 205 julio orlando chaparro cares"/>
    <n v="-240000"/>
    <s v="Activo"/>
    <n v="-240000"/>
    <x v="1"/>
  </r>
  <r>
    <n v="2026"/>
    <n v="5"/>
    <s v="07-05-2026"/>
    <n v="7743"/>
    <s v="1101-03"/>
    <n v="0"/>
    <n v="230271"/>
    <s v="Pago f1085498 fedex express chile spa"/>
    <n v="-230271"/>
    <s v="Activo"/>
    <n v="-230271"/>
    <x v="1"/>
  </r>
  <r>
    <n v="2026"/>
    <n v="5"/>
    <s v="07-05-2026"/>
    <n v="7744"/>
    <s v="1101-03"/>
    <n v="0"/>
    <n v="204953"/>
    <s v="Nodo algarrobo arriendo nodo algarrobo"/>
    <n v="-204953"/>
    <s v="Activo"/>
    <n v="-204953"/>
    <x v="1"/>
  </r>
  <r>
    <n v="2026"/>
    <n v="5"/>
    <s v="07-05-2026"/>
    <n v="7745"/>
    <s v="1101-03"/>
    <n v="0"/>
    <n v="204952"/>
    <s v="Nodo cartagena arriendo nodo cartagena"/>
    <n v="-204952"/>
    <s v="Activo"/>
    <n v="-204952"/>
    <x v="1"/>
  </r>
  <r>
    <n v="2026"/>
    <n v="5"/>
    <s v="07-05-2026"/>
    <n v="7746"/>
    <s v="1101-03"/>
    <n v="0"/>
    <n v="130000"/>
    <s v="Nodo copihue arriendo nodo copihue"/>
    <n v="-130000"/>
    <s v="Activo"/>
    <n v="-130000"/>
    <x v="1"/>
  </r>
  <r>
    <n v="2026"/>
    <n v="5"/>
    <s v="07-05-2026"/>
    <n v="7747"/>
    <s v="1101-03"/>
    <n v="0"/>
    <n v="80931"/>
    <s v="Pago f8732 ascenty chile spa"/>
    <n v="-80931"/>
    <s v="Activo"/>
    <n v="-80931"/>
    <x v="1"/>
  </r>
  <r>
    <n v="2026"/>
    <n v="5"/>
    <s v="07-05-2026"/>
    <n v="7748"/>
    <s v="1101-03"/>
    <n v="0"/>
    <n v="76175"/>
    <s v="Pago f8730 ascenty chile spa"/>
    <n v="-76175"/>
    <s v="Activo"/>
    <n v="-76175"/>
    <x v="1"/>
  </r>
  <r>
    <n v="2026"/>
    <n v="5"/>
    <s v="07-05-2026"/>
    <n v="7749"/>
    <s v="1101-03"/>
    <n v="0"/>
    <n v="76175"/>
    <s v="Pago f8731 ascenty chile spa"/>
    <n v="-76175"/>
    <s v="Activo"/>
    <n v="-76175"/>
    <x v="1"/>
  </r>
  <r>
    <n v="2026"/>
    <n v="5"/>
    <s v="07-05-2026"/>
    <n v="7750"/>
    <s v="1101-03"/>
    <n v="0"/>
    <n v="71400"/>
    <s v="Pago f147 zettabyte spa"/>
    <n v="-71400"/>
    <s v="Activo"/>
    <n v="-71400"/>
    <x v="1"/>
  </r>
  <r>
    <n v="2026"/>
    <n v="5"/>
    <s v="07-05-2026"/>
    <n v="7751"/>
    <s v="1101-03"/>
    <n v="0"/>
    <n v="64205"/>
    <s v="Pago f8729 ascenty chile spa"/>
    <n v="-64205"/>
    <s v="Activo"/>
    <n v="-64205"/>
    <x v="1"/>
  </r>
  <r>
    <n v="2026"/>
    <n v="5"/>
    <s v="07-05-2026"/>
    <n v="7752"/>
    <s v="1101-03"/>
    <n v="0"/>
    <n v="64141"/>
    <s v="Pago f8728 ascenty chile spa"/>
    <n v="-64141"/>
    <s v="Activo"/>
    <n v="-64141"/>
    <x v="1"/>
  </r>
  <r>
    <n v="2026"/>
    <n v="5"/>
    <s v="07-05-2026"/>
    <n v="7753"/>
    <s v="1101-03"/>
    <n v="0"/>
    <n v="64012"/>
    <s v="Pago f8727 ascenty chile spa"/>
    <n v="-64012"/>
    <s v="Activo"/>
    <n v="-64012"/>
    <x v="1"/>
  </r>
  <r>
    <n v="2026"/>
    <n v="5"/>
    <s v="07-05-2026"/>
    <n v="7754"/>
    <s v="1101-03"/>
    <n v="0"/>
    <n v="41650"/>
    <s v="Pago f377 productora energeek limitada"/>
    <n v="-41650"/>
    <s v="Activo"/>
    <n v="-41650"/>
    <x v="1"/>
  </r>
  <r>
    <n v="2026"/>
    <n v="5"/>
    <s v="07-05-2026"/>
    <n v="7755"/>
    <s v="1101-03"/>
    <n v="0"/>
    <n v="10000"/>
    <s v="Compra aramco"/>
    <n v="-10000"/>
    <s v="Activo"/>
    <n v="-10000"/>
    <x v="1"/>
  </r>
  <r>
    <n v="2026"/>
    <n v="5"/>
    <s v="07-05-2026"/>
    <n v="11890"/>
    <s v="1101-03"/>
    <n v="8244705"/>
    <n v="0"/>
    <s v="0966893109 abn crd db tran transba"/>
    <n v="8244705"/>
    <s v="Activo"/>
    <n v="8244705"/>
    <x v="1"/>
  </r>
  <r>
    <n v="2026"/>
    <n v="5"/>
    <s v="07-05-2026"/>
    <n v="11891"/>
    <s v="1101-03"/>
    <n v="483707"/>
    <n v="0"/>
    <s v="0761872877 transf. khipu spa"/>
    <n v="483707"/>
    <s v="Activo"/>
    <n v="483707"/>
    <x v="1"/>
  </r>
  <r>
    <n v="2026"/>
    <n v="5"/>
    <s v="08-05-2026"/>
    <n v="7756"/>
    <s v="1101-03"/>
    <n v="0"/>
    <n v="4116428"/>
    <s v="Pago f6936 telxius cable chile s.a."/>
    <n v="-4116428"/>
    <s v="Activo"/>
    <n v="-4116428"/>
    <x v="1"/>
  </r>
  <r>
    <n v="2026"/>
    <n v="5"/>
    <s v="08-05-2026"/>
    <n v="7757"/>
    <s v="1101-03"/>
    <n v="0"/>
    <n v="3248455"/>
    <s v="Pago f38528 tac communications s.a."/>
    <n v="-3248455"/>
    <s v="Activo"/>
    <n v="-3248455"/>
    <x v="1"/>
  </r>
  <r>
    <n v="2026"/>
    <n v="5"/>
    <s v="08-05-2026"/>
    <n v="7758"/>
    <s v="1101-03"/>
    <n v="0"/>
    <n v="2089713"/>
    <s v="Pago f273 sociedad de inversiones straubing s.a."/>
    <n v="-2089713"/>
    <s v="Activo"/>
    <n v="-2089713"/>
    <x v="1"/>
  </r>
  <r>
    <n v="2026"/>
    <n v="5"/>
    <s v="08-05-2026"/>
    <n v="7759"/>
    <s v="1101-03"/>
    <n v="0"/>
    <n v="772310"/>
    <s v="Pago f39053 tac communications s.a."/>
    <n v="-772310"/>
    <s v="Activo"/>
    <n v="-772310"/>
    <x v="1"/>
  </r>
  <r>
    <n v="2026"/>
    <n v="5"/>
    <s v="08-05-2026"/>
    <n v="7760"/>
    <s v="1101-03"/>
    <n v="0"/>
    <n v="751000"/>
    <s v="Pago f10362 globalconnect spa"/>
    <n v="-751000"/>
    <s v="Activo"/>
    <n v="-751000"/>
    <x v="1"/>
  </r>
  <r>
    <n v="2026"/>
    <n v="5"/>
    <s v="08-05-2026"/>
    <n v="7761"/>
    <s v="1101-03"/>
    <n v="0"/>
    <n v="271320"/>
    <s v="Pago f2104 erika del carmen celis fernandez"/>
    <n v="-271320"/>
    <s v="Activo"/>
    <n v="-271320"/>
    <x v="1"/>
  </r>
  <r>
    <n v="2026"/>
    <n v="5"/>
    <s v="08-05-2026"/>
    <n v="7762"/>
    <s v="1101-03"/>
    <n v="0"/>
    <n v="254455"/>
    <s v="Pago f297048 buk spa"/>
    <n v="-254455"/>
    <s v="Activo"/>
    <n v="-254455"/>
    <x v="1"/>
  </r>
  <r>
    <n v="2026"/>
    <n v="5"/>
    <s v="08-05-2026"/>
    <n v="7763"/>
    <s v="1101-03"/>
    <n v="0"/>
    <n v="230435"/>
    <s v="Nodo cdr consumo electrico mes abril"/>
    <n v="-230435"/>
    <s v="Activo"/>
    <n v="-230435"/>
    <x v="1"/>
  </r>
  <r>
    <n v="2026"/>
    <n v="5"/>
    <s v="08-05-2026"/>
    <n v="7764"/>
    <s v="1101-03"/>
    <n v="0"/>
    <n v="160344"/>
    <s v="Nodo algarrobo consumo electrico mes abril"/>
    <n v="-160344"/>
    <s v="Activo"/>
    <n v="-160344"/>
    <x v="1"/>
  </r>
  <r>
    <n v="2026"/>
    <n v="5"/>
    <s v="08-05-2026"/>
    <n v="7765"/>
    <s v="1101-03"/>
    <n v="0"/>
    <n v="160000"/>
    <s v="Pago f60374 voissnet cloud services s.p.a."/>
    <n v="-160000"/>
    <s v="Activo"/>
    <n v="-160000"/>
    <x v="1"/>
  </r>
  <r>
    <n v="2026"/>
    <n v="5"/>
    <s v="08-05-2026"/>
    <n v="7766"/>
    <s v="1101-03"/>
    <n v="0"/>
    <n v="134350"/>
    <s v="Nodo carampangue consumo electrico mes abril"/>
    <n v="-134350"/>
    <s v="Activo"/>
    <n v="-134350"/>
    <x v="1"/>
  </r>
  <r>
    <n v="2026"/>
    <n v="5"/>
    <s v="08-05-2026"/>
    <n v="7767"/>
    <s v="1101-03"/>
    <n v="0"/>
    <n v="128574"/>
    <s v="Nodo la cruz consumo electrico mes abril"/>
    <n v="-128574"/>
    <s v="Activo"/>
    <n v="-128574"/>
    <x v="1"/>
  </r>
  <r>
    <n v="2026"/>
    <n v="5"/>
    <s v="08-05-2026"/>
    <n v="7768"/>
    <s v="1101-03"/>
    <n v="0"/>
    <n v="120000"/>
    <s v="Pago bh 105 soledad del carmen maldonado z"/>
    <n v="-120000"/>
    <s v="Activo"/>
    <n v="-120000"/>
    <x v="1"/>
  </r>
  <r>
    <n v="2026"/>
    <n v="5"/>
    <s v="08-05-2026"/>
    <n v="7769"/>
    <s v="1101-03"/>
    <n v="0"/>
    <n v="109107"/>
    <s v="Compra hiper penaflor ba"/>
    <n v="-109107"/>
    <s v="Activo"/>
    <n v="-109107"/>
    <x v="1"/>
  </r>
  <r>
    <n v="2026"/>
    <n v="5"/>
    <s v="08-05-2026"/>
    <n v="7770"/>
    <s v="1101-03"/>
    <n v="0"/>
    <n v="54510"/>
    <s v="Nodo aromos consumo electrico mes abril"/>
    <n v="-54510"/>
    <s v="Activo"/>
    <n v="-54510"/>
    <x v="1"/>
  </r>
  <r>
    <n v="2026"/>
    <n v="5"/>
    <s v="08-05-2026"/>
    <n v="11892"/>
    <s v="1101-03"/>
    <n v="3664739"/>
    <n v="0"/>
    <s v="0966893109 abn crd db tran transba"/>
    <n v="3664739"/>
    <s v="Activo"/>
    <n v="3664739"/>
    <x v="1"/>
  </r>
  <r>
    <n v="2026"/>
    <n v="5"/>
    <s v="08-05-2026"/>
    <n v="11893"/>
    <s v="1101-03"/>
    <n v="133335"/>
    <n v="0"/>
    <s v="0761872877 transf. khipu spa"/>
    <n v="133335"/>
    <s v="Activo"/>
    <n v="133335"/>
    <x v="1"/>
  </r>
  <r>
    <n v="2026"/>
    <n v="5"/>
    <s v="11-05-2026"/>
    <n v="7771"/>
    <s v="1101-03"/>
    <n v="0"/>
    <n v="3000000"/>
    <s v="0774344497 transf a botsch spa"/>
    <n v="-3000000"/>
    <s v="Activo"/>
    <n v="-3000000"/>
    <x v="1"/>
  </r>
  <r>
    <n v="2026"/>
    <n v="5"/>
    <s v="11-05-2026"/>
    <n v="7772"/>
    <s v="1101-03"/>
    <n v="0"/>
    <n v="1999249"/>
    <s v="Pago cuota crédito n 420022371370"/>
    <n v="-1999249"/>
    <s v="Activo"/>
    <n v="-1999249"/>
    <x v="1"/>
  </r>
  <r>
    <n v="2026"/>
    <n v="5"/>
    <s v="11-05-2026"/>
    <n v="7773"/>
    <s v="1101-03"/>
    <n v="0"/>
    <n v="1593490"/>
    <s v="Pago cuota crédito n 420021082928"/>
    <n v="-1593490"/>
    <s v="Activo"/>
    <n v="-1593490"/>
    <x v="1"/>
  </r>
  <r>
    <n v="2026"/>
    <n v="5"/>
    <s v="11-05-2026"/>
    <n v="7774"/>
    <s v="1101-03"/>
    <n v="0"/>
    <n v="500000"/>
    <s v="0995200007 transf a muevo copec em"/>
    <n v="-500000"/>
    <s v="Activo"/>
    <n v="-500000"/>
    <x v="1"/>
  </r>
  <r>
    <n v="2026"/>
    <n v="5"/>
    <s v="11-05-2026"/>
    <n v="7775"/>
    <s v="1101-03"/>
    <n v="0"/>
    <n v="200000"/>
    <s v="0765406986 transf a t-link spa"/>
    <n v="-200000"/>
    <s v="Activo"/>
    <n v="-200000"/>
    <x v="1"/>
  </r>
  <r>
    <n v="2026"/>
    <n v="5"/>
    <s v="11-05-2026"/>
    <n v="11894"/>
    <s v="1101-03"/>
    <n v="4092719"/>
    <n v="0"/>
    <s v="0966893109 abn crd db tran transba"/>
    <n v="4092719"/>
    <s v="Activo"/>
    <n v="4092719"/>
    <x v="1"/>
  </r>
  <r>
    <n v="2026"/>
    <n v="5"/>
    <s v="11-05-2026"/>
    <n v="11895"/>
    <s v="1101-03"/>
    <n v="4000000"/>
    <n v="0"/>
    <s v="0765406986 transf."/>
    <n v="4000000"/>
    <s v="Activo"/>
    <n v="4000000"/>
    <x v="1"/>
  </r>
  <r>
    <n v="2026"/>
    <n v="5"/>
    <s v="11-05-2026"/>
    <n v="11896"/>
    <s v="1101-03"/>
    <n v="150142"/>
    <n v="0"/>
    <s v="0761872877 transf. khipu spa"/>
    <n v="150142"/>
    <s v="Activo"/>
    <n v="150142"/>
    <x v="1"/>
  </r>
  <r>
    <n v="2026"/>
    <n v="5"/>
    <s v="12-05-2026"/>
    <n v="7776"/>
    <s v="1101-03"/>
    <n v="0"/>
    <n v="6858242"/>
    <s v="Pago en linea previred"/>
    <n v="-6858242"/>
    <s v="Activo"/>
    <n v="-6858242"/>
    <x v="1"/>
  </r>
  <r>
    <n v="2026"/>
    <n v="5"/>
    <s v="12-05-2026"/>
    <n v="7776"/>
    <s v="1101-03"/>
    <n v="0"/>
    <n v="4922447"/>
    <s v="Pago en linea previred"/>
    <n v="-4922447"/>
    <s v="Activo"/>
    <n v="-4922447"/>
    <x v="1"/>
  </r>
  <r>
    <n v="2026"/>
    <n v="5"/>
    <s v="12-05-2026"/>
    <n v="7776"/>
    <s v="1101-03"/>
    <n v="0"/>
    <n v="4827298"/>
    <s v="Pago en linea previred"/>
    <n v="-4827298"/>
    <s v="Activo"/>
    <n v="-4827298"/>
    <x v="1"/>
  </r>
  <r>
    <n v="2026"/>
    <n v="5"/>
    <s v="12-05-2026"/>
    <n v="7777"/>
    <s v="1101-03"/>
    <n v="0"/>
    <n v="4000000"/>
    <s v="Pago f96 mileniumnet spa."/>
    <n v="-4000000"/>
    <s v="Activo"/>
    <n v="-4000000"/>
    <x v="1"/>
  </r>
  <r>
    <n v="2026"/>
    <n v="5"/>
    <s v="12-05-2026"/>
    <n v="7778"/>
    <s v="1101-03"/>
    <n v="0"/>
    <n v="2000000"/>
    <s v="0774344497 transf a botsch spa"/>
    <n v="-2000000"/>
    <s v="Activo"/>
    <n v="-2000000"/>
    <x v="1"/>
  </r>
  <r>
    <n v="2026"/>
    <n v="5"/>
    <s v="12-05-2026"/>
    <n v="7779"/>
    <s v="1101-03"/>
    <n v="0"/>
    <n v="1230764"/>
    <s v="Pago f96 mileniumnet spa."/>
    <n v="-1230764"/>
    <s v="Activo"/>
    <n v="-1230764"/>
    <x v="1"/>
  </r>
  <r>
    <n v="2026"/>
    <n v="5"/>
    <s v="12-05-2026"/>
    <n v="7780"/>
    <s v="1101-03"/>
    <n v="0"/>
    <n v="1000000"/>
    <s v="Pago f57881 compañia de telecomunicaciones sistek sp"/>
    <n v="-1000000"/>
    <s v="Activo"/>
    <n v="-1000000"/>
    <x v="1"/>
  </r>
  <r>
    <n v="2026"/>
    <n v="5"/>
    <s v="12-05-2026"/>
    <n v="7781"/>
    <s v="1101-03"/>
    <n v="0"/>
    <n v="600000"/>
    <s v="Pago bh 121 patrick adolfo lopez nunez"/>
    <n v="-600000"/>
    <s v="Activo"/>
    <n v="-600000"/>
    <x v="1"/>
  </r>
  <r>
    <n v="2026"/>
    <n v="5"/>
    <s v="12-05-2026"/>
    <n v="7782"/>
    <s v="1101-03"/>
    <n v="0"/>
    <n v="500000"/>
    <s v="0995200007 transf a muevo copec em"/>
    <n v="-500000"/>
    <s v="Activo"/>
    <n v="-500000"/>
    <x v="1"/>
  </r>
  <r>
    <n v="2026"/>
    <n v="5"/>
    <s v="12-05-2026"/>
    <n v="7783"/>
    <s v="1101-03"/>
    <n v="0"/>
    <n v="163090"/>
    <s v="Pago f12178914 dimerc sa"/>
    <n v="-163090"/>
    <s v="Activo"/>
    <n v="-163090"/>
    <x v="1"/>
  </r>
  <r>
    <n v="2026"/>
    <n v="5"/>
    <s v="12-05-2026"/>
    <n v="7784"/>
    <s v="1101-03"/>
    <n v="0"/>
    <n v="105000"/>
    <s v="Pago bh 106 soledad del carmen maldonado z"/>
    <n v="-105000"/>
    <s v="Activo"/>
    <n v="-105000"/>
    <x v="1"/>
  </r>
  <r>
    <n v="2026"/>
    <n v="5"/>
    <s v="12-05-2026"/>
    <n v="7785"/>
    <s v="1101-03"/>
    <n v="0"/>
    <n v="100000"/>
    <s v="0765406986 transf a t-link spa"/>
    <n v="-100000"/>
    <s v="Activo"/>
    <n v="-100000"/>
    <x v="1"/>
  </r>
  <r>
    <n v="2026"/>
    <n v="5"/>
    <s v="12-05-2026"/>
    <n v="7786"/>
    <s v="1101-03"/>
    <n v="0"/>
    <n v="90000"/>
    <s v="Pago bh 122 patrick adolfo lopez nunez"/>
    <n v="-90000"/>
    <s v="Activo"/>
    <n v="-90000"/>
    <x v="1"/>
  </r>
  <r>
    <n v="2026"/>
    <n v="5"/>
    <s v="12-05-2026"/>
    <n v="7787"/>
    <s v="1101-03"/>
    <n v="0"/>
    <n v="90000"/>
    <s v="Pago bh 60 christian italo quezada pereir"/>
    <n v="-90000"/>
    <s v="Activo"/>
    <n v="-90000"/>
    <x v="1"/>
  </r>
  <r>
    <n v="2026"/>
    <n v="5"/>
    <s v="12-05-2026"/>
    <n v="7788"/>
    <s v="1101-03"/>
    <n v="0"/>
    <n v="90000"/>
    <s v="0153722110 transf a quezada pereir"/>
    <n v="-90000"/>
    <s v="Activo"/>
    <n v="-90000"/>
    <x v="1"/>
  </r>
  <r>
    <n v="2026"/>
    <n v="5"/>
    <s v="12-05-2026"/>
    <n v="11897"/>
    <s v="1101-03"/>
    <n v="9958806"/>
    <n v="0"/>
    <s v="0966893109 abn crd db tran transba"/>
    <n v="9958806"/>
    <s v="Activo"/>
    <n v="9958806"/>
    <x v="1"/>
  </r>
  <r>
    <n v="2026"/>
    <n v="5"/>
    <s v="12-05-2026"/>
    <n v="11898"/>
    <s v="1101-03"/>
    <n v="1122511"/>
    <n v="0"/>
    <s v="0761872877 transf. khipu spa"/>
    <n v="1122511"/>
    <s v="Activo"/>
    <n v="1122511"/>
    <x v="1"/>
  </r>
  <r>
    <n v="2026"/>
    <n v="5"/>
    <s v="13-05-2026"/>
    <n v="7789"/>
    <s v="1101-03"/>
    <n v="0"/>
    <n v="4424800"/>
    <s v="Pago f38891 tac communications s.a."/>
    <n v="-4424800"/>
    <s v="Activo"/>
    <n v="-4424800"/>
    <x v="1"/>
  </r>
  <r>
    <n v="2026"/>
    <n v="5"/>
    <s v="13-05-2026"/>
    <n v="7790"/>
    <s v="1101-03"/>
    <n v="0"/>
    <n v="2278374"/>
    <s v="Pago f39110 tac communications s.a."/>
    <n v="-2278374"/>
    <s v="Activo"/>
    <n v="-2278374"/>
    <x v="1"/>
  </r>
  <r>
    <n v="2026"/>
    <n v="5"/>
    <s v="13-05-2026"/>
    <n v="7791"/>
    <s v="1101-03"/>
    <n v="0"/>
    <n v="2042040"/>
    <s v="Pago f37111 comercial lagos e hijos ltda."/>
    <n v="-2042040"/>
    <s v="Activo"/>
    <n v="-2042040"/>
    <x v="1"/>
  </r>
  <r>
    <n v="2026"/>
    <n v="5"/>
    <s v="13-05-2026"/>
    <n v="7792"/>
    <s v="1101-03"/>
    <n v="0"/>
    <n v="1612007"/>
    <s v="Pago f540 growthpro spa"/>
    <n v="-1612007"/>
    <s v="Activo"/>
    <n v="-1612007"/>
    <x v="1"/>
  </r>
  <r>
    <n v="2026"/>
    <n v="5"/>
    <s v="13-05-2026"/>
    <n v="7793"/>
    <s v="1101-03"/>
    <n v="0"/>
    <n v="1256649"/>
    <s v="Pago f57881 compañia de telecomunicaciones sistek sp"/>
    <n v="-1256649"/>
    <s v="Activo"/>
    <n v="-1256649"/>
    <x v="1"/>
  </r>
  <r>
    <n v="2026"/>
    <n v="5"/>
    <s v="13-05-2026"/>
    <n v="7794"/>
    <s v="1101-03"/>
    <n v="0"/>
    <n v="593247"/>
    <s v="Pago en linea servipag"/>
    <n v="-593247"/>
    <s v="Activo"/>
    <n v="-593247"/>
    <x v="1"/>
  </r>
  <r>
    <n v="2026"/>
    <n v="5"/>
    <s v="13-05-2026"/>
    <n v="7795"/>
    <s v="1101-03"/>
    <n v="0"/>
    <n v="308448"/>
    <s v="Pago f413646 tecnologia lk spa"/>
    <n v="-308448"/>
    <s v="Activo"/>
    <n v="-308448"/>
    <x v="1"/>
  </r>
  <r>
    <n v="2026"/>
    <n v="5"/>
    <s v="13-05-2026"/>
    <n v="7796"/>
    <s v="1101-03"/>
    <n v="0"/>
    <n v="263022"/>
    <s v="Pago f10453 central sistemas spa"/>
    <n v="-263022"/>
    <s v="Activo"/>
    <n v="-263022"/>
    <x v="1"/>
  </r>
  <r>
    <n v="2026"/>
    <n v="5"/>
    <s v="13-05-2026"/>
    <n v="7797"/>
    <s v="1101-03"/>
    <n v="0"/>
    <n v="90200"/>
    <s v="Pago f196605 regus management de chile limitada"/>
    <n v="-90200"/>
    <s v="Activo"/>
    <n v="-90200"/>
    <x v="1"/>
  </r>
  <r>
    <n v="2026"/>
    <n v="5"/>
    <s v="13-05-2026"/>
    <n v="7798"/>
    <s v="1101-03"/>
    <n v="0"/>
    <n v="71732"/>
    <s v="Pago f388 mdd soluciones spa"/>
    <n v="-71732"/>
    <s v="Activo"/>
    <n v="-71732"/>
    <x v="1"/>
  </r>
  <r>
    <n v="2026"/>
    <n v="5"/>
    <s v="13-05-2026"/>
    <n v="7799"/>
    <s v="1101-03"/>
    <n v="0"/>
    <n v="47700"/>
    <s v="Pago f217628 inversiones y proyectos haensgen limitada"/>
    <n v="-47700"/>
    <s v="Activo"/>
    <n v="-47700"/>
    <x v="1"/>
  </r>
  <r>
    <n v="2026"/>
    <n v="5"/>
    <s v="13-05-2026"/>
    <n v="11899"/>
    <s v="1101-03"/>
    <n v="8161253"/>
    <n v="0"/>
    <s v="0966893109 abn crd db tran transba"/>
    <n v="8161253"/>
    <s v="Activo"/>
    <n v="8161253"/>
    <x v="1"/>
  </r>
  <r>
    <n v="2026"/>
    <n v="5"/>
    <s v="13-05-2026"/>
    <n v="11900"/>
    <s v="1101-03"/>
    <n v="2300000"/>
    <n v="0"/>
    <s v="0765406986 transf. tlink spa"/>
    <n v="2300000"/>
    <s v="Activo"/>
    <n v="2300000"/>
    <x v="1"/>
  </r>
  <r>
    <n v="2026"/>
    <n v="5"/>
    <s v="13-05-2026"/>
    <n v="11901"/>
    <s v="1101-03"/>
    <n v="2000000"/>
    <n v="0"/>
    <s v="0765406986 transf."/>
    <n v="2000000"/>
    <s v="Activo"/>
    <n v="2000000"/>
    <x v="1"/>
  </r>
  <r>
    <n v="2026"/>
    <n v="5"/>
    <s v="13-05-2026"/>
    <n v="11902"/>
    <s v="1101-03"/>
    <n v="199576"/>
    <n v="0"/>
    <s v="0761872877 transf. khipu spa"/>
    <n v="199576"/>
    <s v="Activo"/>
    <n v="199576"/>
    <x v="1"/>
  </r>
  <r>
    <n v="2026"/>
    <n v="5"/>
    <s v="14-05-2026"/>
    <n v="7800"/>
    <s v="1101-03"/>
    <n v="0"/>
    <n v="500000"/>
    <s v="0995200007 transf a muevo copec em"/>
    <n v="-500000"/>
    <s v="Activo"/>
    <n v="-500000"/>
    <x v="1"/>
  </r>
  <r>
    <n v="2026"/>
    <n v="5"/>
    <s v="14-05-2026"/>
    <n v="7801"/>
    <s v="1101-03"/>
    <n v="0"/>
    <n v="31200"/>
    <s v="Pago f245476 comercial rio puelo limitada"/>
    <n v="-31200"/>
    <s v="Activo"/>
    <n v="-31200"/>
    <x v="1"/>
  </r>
  <r>
    <n v="2026"/>
    <n v="5"/>
    <s v="14-05-2026"/>
    <n v="11903"/>
    <s v="1101-03"/>
    <n v="2868742"/>
    <n v="0"/>
    <s v="0966893109 abn crd db tran transba"/>
    <n v="2868742"/>
    <s v="Activo"/>
    <n v="2868742"/>
    <x v="1"/>
  </r>
  <r>
    <n v="2026"/>
    <n v="5"/>
    <s v="14-05-2026"/>
    <n v="11904"/>
    <s v="1101-03"/>
    <n v="29643"/>
    <n v="0"/>
    <s v="0761872877 transf. khipu spa"/>
    <n v="29643"/>
    <s v="Activo"/>
    <n v="29643"/>
    <x v="1"/>
  </r>
  <r>
    <n v="2026"/>
    <n v="5"/>
    <s v="15-05-2026"/>
    <n v="7802"/>
    <s v="1101-03"/>
    <n v="0"/>
    <n v="2202772"/>
    <s v="Pago f13866 asesorias tributarias pedro gonzalez limitada"/>
    <n v="-2202772"/>
    <s v="Activo"/>
    <n v="-2202772"/>
    <x v="1"/>
  </r>
  <r>
    <n v="2026"/>
    <n v="5"/>
    <s v="15-05-2026"/>
    <n v="7803"/>
    <s v="1101-03"/>
    <n v="0"/>
    <n v="400000"/>
    <s v="Nodo santo domingo arriendo nodo santo domingo"/>
    <n v="-400000"/>
    <s v="Activo"/>
    <n v="-400000"/>
    <x v="1"/>
  </r>
  <r>
    <n v="2026"/>
    <n v="5"/>
    <s v="15-05-2026"/>
    <n v="7804"/>
    <s v="1101-03"/>
    <n v="0"/>
    <n v="100000"/>
    <s v="Pago f60377 voissnet cloud services s.p.a."/>
    <n v="-100000"/>
    <s v="Activo"/>
    <n v="-100000"/>
    <x v="1"/>
  </r>
  <r>
    <n v="2026"/>
    <n v="5"/>
    <s v="15-05-2026"/>
    <n v="7805"/>
    <s v="1101-03"/>
    <n v="0"/>
    <n v="85000"/>
    <s v="Pago f60373 voissnet cloud services s.p.a."/>
    <n v="-85000"/>
    <s v="Activo"/>
    <n v="-85000"/>
    <x v="1"/>
  </r>
  <r>
    <n v="2026"/>
    <n v="5"/>
    <s v="15-05-2026"/>
    <n v="7806"/>
    <s v="1101-03"/>
    <n v="0"/>
    <n v="65000"/>
    <s v="Pago f60372 voissnet cloud services s.p.a."/>
    <n v="-65000"/>
    <s v="Activo"/>
    <n v="-65000"/>
    <x v="1"/>
  </r>
  <r>
    <n v="2026"/>
    <n v="5"/>
    <s v="15-05-2026"/>
    <n v="7807"/>
    <s v="1101-03"/>
    <n v="0"/>
    <n v="44000"/>
    <s v="Pago f58265 voissnet cloud services s.p.a."/>
    <n v="-44000"/>
    <s v="Activo"/>
    <n v="-44000"/>
    <x v="1"/>
  </r>
  <r>
    <n v="2026"/>
    <n v="5"/>
    <s v="15-05-2026"/>
    <n v="7808"/>
    <s v="1101-03"/>
    <n v="0"/>
    <n v="42000"/>
    <s v="Pago f60379 voissnet cloud services s.p.a."/>
    <n v="-42000"/>
    <s v="Activo"/>
    <n v="-42000"/>
    <x v="1"/>
  </r>
  <r>
    <n v="2026"/>
    <n v="5"/>
    <s v="15-05-2026"/>
    <n v="7809"/>
    <s v="1101-03"/>
    <n v="0"/>
    <n v="42000"/>
    <s v="Pago f60369 voissnet cloud services s.p.a."/>
    <n v="-42000"/>
    <s v="Activo"/>
    <n v="-42000"/>
    <x v="1"/>
  </r>
  <r>
    <n v="2026"/>
    <n v="5"/>
    <s v="15-05-2026"/>
    <n v="7810"/>
    <s v="1101-03"/>
    <n v="0"/>
    <n v="42000"/>
    <s v="Pago f60375 voissnet cloud services s.p.a."/>
    <n v="-42000"/>
    <s v="Activo"/>
    <n v="-42000"/>
    <x v="1"/>
  </r>
  <r>
    <n v="2026"/>
    <n v="5"/>
    <s v="15-05-2026"/>
    <n v="7811"/>
    <s v="1101-03"/>
    <n v="0"/>
    <n v="42000"/>
    <s v="Pago f60378 voissnet cloud services s.p.a."/>
    <n v="-42000"/>
    <s v="Activo"/>
    <n v="-42000"/>
    <x v="1"/>
  </r>
  <r>
    <n v="2026"/>
    <n v="5"/>
    <s v="15-05-2026"/>
    <n v="7812"/>
    <s v="1101-03"/>
    <n v="0"/>
    <n v="42000"/>
    <s v="Pago f60370 voissnet cloud services s.p.a."/>
    <n v="-42000"/>
    <s v="Activo"/>
    <n v="-42000"/>
    <x v="1"/>
  </r>
  <r>
    <n v="2026"/>
    <n v="5"/>
    <s v="15-05-2026"/>
    <n v="7813"/>
    <s v="1101-03"/>
    <n v="0"/>
    <n v="42000"/>
    <s v="Pago f60368 voissnet cloud services s.p.a."/>
    <n v="-42000"/>
    <s v="Activo"/>
    <n v="-42000"/>
    <x v="1"/>
  </r>
  <r>
    <n v="2026"/>
    <n v="5"/>
    <s v="15-05-2026"/>
    <n v="7814"/>
    <s v="1101-03"/>
    <n v="0"/>
    <n v="42000"/>
    <s v="Pago f60371 voissnet cloud services s.p.a."/>
    <n v="-42000"/>
    <s v="Activo"/>
    <n v="-42000"/>
    <x v="1"/>
  </r>
  <r>
    <n v="2026"/>
    <n v="5"/>
    <s v="15-05-2026"/>
    <n v="7815"/>
    <s v="1101-03"/>
    <n v="0"/>
    <n v="42000"/>
    <s v="Pago f60380 voissnet cloud services s.p.a."/>
    <n v="-42000"/>
    <s v="Activo"/>
    <n v="-42000"/>
    <x v="1"/>
  </r>
  <r>
    <n v="2026"/>
    <n v="5"/>
    <s v="15-05-2026"/>
    <n v="7816"/>
    <s v="1101-03"/>
    <n v="0"/>
    <n v="42000"/>
    <s v="Pago f60376 voissnet cloud services s.p.a."/>
    <n v="-42000"/>
    <s v="Activo"/>
    <n v="-42000"/>
    <x v="1"/>
  </r>
  <r>
    <n v="2026"/>
    <n v="5"/>
    <s v="15-05-2026"/>
    <n v="7817"/>
    <s v="1101-03"/>
    <n v="0"/>
    <n v="42000"/>
    <s v="Pago f59827 voissnet cloud services s.p.a."/>
    <n v="-42000"/>
    <s v="Activo"/>
    <n v="-42000"/>
    <x v="1"/>
  </r>
  <r>
    <n v="2026"/>
    <n v="5"/>
    <s v="15-05-2026"/>
    <n v="7818"/>
    <s v="1101-03"/>
    <n v="0"/>
    <n v="24600"/>
    <s v="Nodo padre hurtado consumo electrico mes abril"/>
    <n v="-24600"/>
    <s v="Activo"/>
    <n v="-24600"/>
    <x v="1"/>
  </r>
  <r>
    <n v="2026"/>
    <n v="5"/>
    <s v="15-05-2026"/>
    <n v="7819"/>
    <s v="1101-03"/>
    <n v="0"/>
    <n v="8580"/>
    <s v="Compra ekono la cisterna"/>
    <n v="-8580"/>
    <s v="Activo"/>
    <n v="-8580"/>
    <x v="1"/>
  </r>
  <r>
    <n v="2026"/>
    <n v="5"/>
    <s v="15-05-2026"/>
    <n v="11905"/>
    <s v="1101-03"/>
    <n v="987088"/>
    <n v="0"/>
    <s v="0966893109 abn crd db tran transba"/>
    <n v="987088"/>
    <s v="Activo"/>
    <n v="987088"/>
    <x v="1"/>
  </r>
  <r>
    <n v="2026"/>
    <n v="5"/>
    <s v="15-05-2026"/>
    <n v="11906"/>
    <s v="1101-03"/>
    <n v="8580"/>
    <n v="0"/>
    <s v="013473812k transf. patricio daniel"/>
    <n v="8580"/>
    <s v="Activo"/>
    <n v="8580"/>
    <x v="1"/>
  </r>
  <r>
    <n v="2026"/>
    <n v="5"/>
    <s v="18-05-2026"/>
    <n v="7820"/>
    <s v="1101-03"/>
    <n v="0"/>
    <n v="5000000"/>
    <s v="0774344497 transf a botsch spa"/>
    <n v="-5000000"/>
    <s v="Activo"/>
    <n v="-5000000"/>
    <x v="1"/>
  </r>
  <r>
    <n v="2026"/>
    <n v="5"/>
    <s v="18-05-2026"/>
    <n v="7821"/>
    <s v="1101-03"/>
    <n v="0"/>
    <n v="5000000"/>
    <s v="0774344497 transf a botsch spa"/>
    <n v="-5000000"/>
    <s v="Activo"/>
    <n v="-5000000"/>
    <x v="1"/>
  </r>
  <r>
    <n v="2026"/>
    <n v="5"/>
    <s v="18-05-2026"/>
    <n v="7822"/>
    <s v="1101-03"/>
    <n v="0"/>
    <n v="500000"/>
    <s v="0995200007 transf a muevo copec em"/>
    <n v="-500000"/>
    <s v="Activo"/>
    <n v="-500000"/>
    <x v="1"/>
  </r>
  <r>
    <n v="2026"/>
    <n v="5"/>
    <s v="18-05-2026"/>
    <n v="7823"/>
    <s v="1101-03"/>
    <n v="0"/>
    <n v="359475"/>
    <s v="Pago f417720 tecnologia lk spa"/>
    <n v="-359475"/>
    <s v="Activo"/>
    <n v="-359475"/>
    <x v="1"/>
  </r>
  <r>
    <n v="2026"/>
    <n v="5"/>
    <s v="18-05-2026"/>
    <n v="11907"/>
    <s v="1101-03"/>
    <n v="5000000"/>
    <n v="0"/>
    <s v="0765406986 transf. tlink spa"/>
    <n v="5000000"/>
    <s v="Activo"/>
    <n v="5000000"/>
    <x v="1"/>
  </r>
  <r>
    <n v="2026"/>
    <n v="5"/>
    <s v="18-05-2026"/>
    <n v="11908"/>
    <s v="1101-03"/>
    <n v="5000000"/>
    <n v="0"/>
    <s v="0765406986 transf. tlink spa"/>
    <n v="5000000"/>
    <s v="Activo"/>
    <n v="5000000"/>
    <x v="1"/>
  </r>
  <r>
    <n v="2026"/>
    <n v="5"/>
    <s v="18-05-2026"/>
    <n v="11909"/>
    <s v="1101-03"/>
    <n v="5000000"/>
    <n v="0"/>
    <s v="0765406986 transf. tlink spa"/>
    <n v="5000000"/>
    <s v="Activo"/>
    <n v="5000000"/>
    <x v="1"/>
  </r>
  <r>
    <n v="2026"/>
    <n v="5"/>
    <s v="18-05-2026"/>
    <n v="11910"/>
    <s v="1101-03"/>
    <n v="4221428"/>
    <n v="0"/>
    <s v="0765406986 transf. tlink spa"/>
    <n v="4221428"/>
    <s v="Activo"/>
    <n v="4221428"/>
    <x v="1"/>
  </r>
  <r>
    <n v="2026"/>
    <n v="5"/>
    <s v="18-05-2026"/>
    <n v="11911"/>
    <s v="1101-03"/>
    <n v="1557144"/>
    <n v="0"/>
    <s v="0765406986 transf. tlink spa"/>
    <n v="1557144"/>
    <s v="Activo"/>
    <n v="1557144"/>
    <x v="1"/>
  </r>
  <r>
    <n v="2026"/>
    <n v="5"/>
    <s v="18-05-2026"/>
    <n v="11912"/>
    <s v="1101-03"/>
    <n v="722334"/>
    <n v="0"/>
    <s v="0966893109 abn crd db tran transba"/>
    <n v="722334"/>
    <s v="Activo"/>
    <n v="722334"/>
    <x v="1"/>
  </r>
  <r>
    <n v="2026"/>
    <n v="5"/>
    <s v="18-05-2026"/>
    <n v="11913"/>
    <s v="1101-03"/>
    <n v="433649"/>
    <n v="0"/>
    <s v="0761872877 transf. khipu spa"/>
    <n v="433649"/>
    <s v="Activo"/>
    <n v="433649"/>
    <x v="1"/>
  </r>
  <r>
    <n v="2026"/>
    <n v="5"/>
    <s v="19-05-2026"/>
    <n v="11914"/>
    <s v="1101-03"/>
    <n v="9996209"/>
    <n v="0"/>
    <s v="0966893109 abn crd db tran transba"/>
    <n v="9996209"/>
    <s v="Activo"/>
    <n v="9996209"/>
    <x v="1"/>
  </r>
  <r>
    <n v="2026"/>
    <n v="5"/>
    <s v="19-05-2026"/>
    <n v="11915"/>
    <s v="1101-03"/>
    <n v="5000000"/>
    <n v="0"/>
    <s v="0765406986 transf. tlink spa"/>
    <n v="5000000"/>
    <s v="Activo"/>
    <n v="5000000"/>
    <x v="1"/>
  </r>
  <r>
    <n v="2026"/>
    <n v="5"/>
    <s v="19-05-2026"/>
    <n v="11916"/>
    <s v="1101-03"/>
    <n v="5000000"/>
    <n v="0"/>
    <s v="0765406986 transf. tlink spa"/>
    <n v="5000000"/>
    <s v="Activo"/>
    <n v="5000000"/>
    <x v="1"/>
  </r>
  <r>
    <n v="2026"/>
    <n v="5"/>
    <s v="19-05-2026"/>
    <n v="11917"/>
    <s v="1101-03"/>
    <n v="5000000"/>
    <n v="0"/>
    <s v="0765406986 transf. tlink spa"/>
    <n v="5000000"/>
    <s v="Activo"/>
    <n v="5000000"/>
    <x v="1"/>
  </r>
  <r>
    <n v="2026"/>
    <n v="5"/>
    <s v="19-05-2026"/>
    <n v="11918"/>
    <s v="1101-03"/>
    <n v="5000000"/>
    <n v="0"/>
    <s v="0765406986 transf. tlink spa"/>
    <n v="5000000"/>
    <s v="Activo"/>
    <n v="5000000"/>
    <x v="1"/>
  </r>
  <r>
    <n v="2026"/>
    <n v="5"/>
    <s v="19-05-2026"/>
    <n v="11919"/>
    <s v="1101-03"/>
    <n v="5000000"/>
    <n v="0"/>
    <s v="0765406986 transf. tlink spa"/>
    <n v="5000000"/>
    <s v="Activo"/>
    <n v="5000000"/>
    <x v="1"/>
  </r>
  <r>
    <n v="2026"/>
    <n v="5"/>
    <s v="19-05-2026"/>
    <n v="11920"/>
    <s v="1101-03"/>
    <n v="5000000"/>
    <n v="0"/>
    <s v="0765406986 transf. tlink spa"/>
    <n v="5000000"/>
    <s v="Activo"/>
    <n v="5000000"/>
    <x v="1"/>
  </r>
  <r>
    <n v="2026"/>
    <n v="5"/>
    <s v="19-05-2026"/>
    <n v="11921"/>
    <s v="1101-03"/>
    <n v="2000000"/>
    <n v="0"/>
    <s v="0765406986 transf. tlink spa"/>
    <n v="2000000"/>
    <s v="Activo"/>
    <n v="2000000"/>
    <x v="1"/>
  </r>
  <r>
    <n v="2026"/>
    <n v="5"/>
    <s v="19-05-2026"/>
    <n v="11922"/>
    <s v="1101-03"/>
    <n v="601923"/>
    <n v="0"/>
    <s v="0765406986 transf. tlink spa"/>
    <n v="601923"/>
    <s v="Activo"/>
    <n v="601923"/>
    <x v="1"/>
  </r>
  <r>
    <n v="2026"/>
    <n v="5"/>
    <s v="19-05-2026"/>
    <n v="11923"/>
    <s v="1101-03"/>
    <n v="317044"/>
    <n v="0"/>
    <s v="0761872877 transf. khipu spa"/>
    <n v="317044"/>
    <s v="Activo"/>
    <n v="317044"/>
    <x v="1"/>
  </r>
  <r>
    <n v="2026"/>
    <n v="5"/>
    <s v="20-05-2026"/>
    <n v="7824"/>
    <s v="1101-03"/>
    <n v="0"/>
    <n v="29362549"/>
    <s v="Pago f29 abril"/>
    <n v="-29362549"/>
    <s v="Activo"/>
    <n v="-29362549"/>
    <x v="1"/>
  </r>
  <r>
    <n v="2026"/>
    <n v="5"/>
    <s v="20-05-2026"/>
    <n v="7825"/>
    <s v="1101-03"/>
    <n v="0"/>
    <n v="5000000"/>
    <s v="0774344497 transf a botsch spa"/>
    <n v="-5000000"/>
    <s v="Activo"/>
    <n v="-5000000"/>
    <x v="1"/>
  </r>
  <r>
    <n v="2026"/>
    <n v="5"/>
    <s v="20-05-2026"/>
    <n v="7826"/>
    <s v="1101-03"/>
    <n v="0"/>
    <n v="5000000"/>
    <s v="0774344497 transf a botsch spa"/>
    <n v="-5000000"/>
    <s v="Activo"/>
    <n v="-5000000"/>
    <x v="1"/>
  </r>
  <r>
    <n v="2026"/>
    <n v="5"/>
    <s v="20-05-2026"/>
    <n v="7827"/>
    <s v="1101-03"/>
    <n v="0"/>
    <n v="5000000"/>
    <s v="0774344497 transf a botsch spa"/>
    <n v="-5000000"/>
    <s v="Activo"/>
    <n v="-5000000"/>
    <x v="1"/>
  </r>
  <r>
    <n v="2026"/>
    <n v="5"/>
    <s v="20-05-2026"/>
    <n v="7828"/>
    <s v="1101-03"/>
    <n v="0"/>
    <n v="5000000"/>
    <s v="012646150k transf a ambiado olivar"/>
    <n v="-5000000"/>
    <s v="Activo"/>
    <n v="-5000000"/>
    <x v="1"/>
  </r>
  <r>
    <n v="2026"/>
    <n v="5"/>
    <s v="20-05-2026"/>
    <n v="7829"/>
    <s v="1101-03"/>
    <n v="0"/>
    <n v="3377132"/>
    <s v="012646150k transf a ambiado olivar"/>
    <n v="-3377132"/>
    <s v="Activo"/>
    <n v="-3377132"/>
    <x v="1"/>
  </r>
  <r>
    <n v="2026"/>
    <n v="5"/>
    <s v="20-05-2026"/>
    <n v="7830"/>
    <s v="1101-03"/>
    <n v="0"/>
    <n v="2224791"/>
    <s v="0774344497 transf a botsch spa"/>
    <n v="-2224791"/>
    <s v="Activo"/>
    <n v="-2224791"/>
    <x v="1"/>
  </r>
  <r>
    <n v="2026"/>
    <n v="5"/>
    <s v="20-05-2026"/>
    <n v="7831"/>
    <s v="1101-03"/>
    <n v="0"/>
    <n v="500000"/>
    <s v="0995200007 transf a muevo copec em"/>
    <n v="-500000"/>
    <s v="Activo"/>
    <n v="-500000"/>
    <x v="1"/>
  </r>
  <r>
    <n v="2026"/>
    <n v="5"/>
    <s v="20-05-2026"/>
    <n v="7832"/>
    <s v="1101-03"/>
    <n v="0"/>
    <n v="86131"/>
    <s v="Compra hiper penaflor ba"/>
    <n v="-86131"/>
    <s v="Activo"/>
    <n v="-86131"/>
    <x v="1"/>
  </r>
  <r>
    <n v="2026"/>
    <n v="5"/>
    <s v="20-05-2026"/>
    <n v="11924"/>
    <s v="1101-03"/>
    <n v="7118642"/>
    <n v="0"/>
    <s v="0966893109 abn crd db tran transba"/>
    <n v="7118642"/>
    <s v="Activo"/>
    <n v="7118642"/>
    <x v="1"/>
  </r>
  <r>
    <n v="2026"/>
    <n v="5"/>
    <s v="20-05-2026"/>
    <n v="11925"/>
    <s v="1101-03"/>
    <n v="186701"/>
    <n v="0"/>
    <s v="0761872877 transf. khipu spa"/>
    <n v="186701"/>
    <s v="Activo"/>
    <n v="186701"/>
    <x v="1"/>
  </r>
  <r>
    <n v="2026"/>
    <n v="5"/>
    <s v="22-05-2026"/>
    <n v="7833"/>
    <s v="1101-03"/>
    <n v="0"/>
    <n v="5000000"/>
    <s v="Pago f38891 tac communications s.a."/>
    <n v="-5000000"/>
    <s v="Activo"/>
    <n v="-5000000"/>
    <x v="1"/>
  </r>
  <r>
    <n v="2026"/>
    <n v="5"/>
    <s v="22-05-2026"/>
    <n v="7834"/>
    <s v="1101-03"/>
    <n v="0"/>
    <n v="4871617"/>
    <s v="Pago cuota crédito n 420050694789"/>
    <n v="-4871617"/>
    <s v="Activo"/>
    <n v="-4871617"/>
    <x v="1"/>
  </r>
  <r>
    <n v="2026"/>
    <n v="5"/>
    <s v="22-05-2026"/>
    <n v="7835"/>
    <s v="1101-03"/>
    <n v="0"/>
    <n v="500000"/>
    <s v="0995200007 transf a muevo copec em"/>
    <n v="-500000"/>
    <s v="Activo"/>
    <n v="-500000"/>
    <x v="1"/>
  </r>
  <r>
    <n v="2026"/>
    <n v="5"/>
    <s v="22-05-2026"/>
    <n v="7836"/>
    <s v="1101-03"/>
    <n v="0"/>
    <n v="300000"/>
    <s v="0765406986 transf a t-link spa"/>
    <n v="-300000"/>
    <s v="Activo"/>
    <n v="-300000"/>
    <x v="1"/>
  </r>
  <r>
    <n v="2026"/>
    <n v="5"/>
    <s v="22-05-2026"/>
    <n v="11926"/>
    <s v="1101-03"/>
    <n v="2849529"/>
    <n v="0"/>
    <s v="0966893109 abn crd db tran transba"/>
    <n v="2849529"/>
    <s v="Activo"/>
    <n v="2849529"/>
    <x v="1"/>
  </r>
  <r>
    <n v="2026"/>
    <n v="5"/>
    <s v="22-05-2026"/>
    <n v="11927"/>
    <s v="1101-03"/>
    <n v="140233"/>
    <n v="0"/>
    <s v="0761872877 transf. khipu spa"/>
    <n v="140233"/>
    <s v="Activo"/>
    <n v="140233"/>
    <x v="1"/>
  </r>
  <r>
    <n v="2026"/>
    <n v="5"/>
    <s v="25-05-2026"/>
    <n v="7837"/>
    <s v="1101-03"/>
    <n v="0"/>
    <n v="4819500"/>
    <s v="Pago f37988 tac communications s.a."/>
    <n v="-4819500"/>
    <s v="Activo"/>
    <n v="-4819500"/>
    <x v="1"/>
  </r>
  <r>
    <n v="2026"/>
    <n v="5"/>
    <s v="25-05-2026"/>
    <n v="7838"/>
    <s v="1101-03"/>
    <n v="0"/>
    <n v="3715000"/>
    <s v="Pago f38860 tac communications s.a."/>
    <n v="-3715000"/>
    <s v="Activo"/>
    <n v="-3715000"/>
    <x v="1"/>
  </r>
  <r>
    <n v="2026"/>
    <n v="5"/>
    <s v="25-05-2026"/>
    <n v="7839"/>
    <s v="1101-03"/>
    <n v="0"/>
    <n v="1351398"/>
    <s v="Pago f303 lars spa"/>
    <n v="-1351398"/>
    <s v="Activo"/>
    <n v="-1351398"/>
    <x v="1"/>
  </r>
  <r>
    <n v="2026"/>
    <n v="5"/>
    <s v="25-05-2026"/>
    <n v="7840"/>
    <s v="1101-03"/>
    <n v="0"/>
    <n v="1341220"/>
    <s v="Pago f38269 tac communications s.a."/>
    <n v="-1341220"/>
    <s v="Activo"/>
    <n v="-1341220"/>
    <x v="1"/>
  </r>
  <r>
    <n v="2026"/>
    <n v="5"/>
    <s v="25-05-2026"/>
    <n v="7841"/>
    <s v="1101-03"/>
    <n v="0"/>
    <n v="557218"/>
    <s v="Pago f38908 tac communications s.a."/>
    <n v="-557218"/>
    <s v="Activo"/>
    <n v="-557218"/>
    <x v="1"/>
  </r>
  <r>
    <n v="2026"/>
    <n v="5"/>
    <s v="25-05-2026"/>
    <n v="7842"/>
    <s v="1101-03"/>
    <n v="0"/>
    <n v="500000"/>
    <s v="Prestamo a cristian perez - tlink spa préstamos a trabajadores"/>
    <n v="-500000"/>
    <s v="Activo"/>
    <n v="-500000"/>
    <x v="1"/>
  </r>
  <r>
    <n v="2026"/>
    <n v="5"/>
    <s v="25-05-2026"/>
    <n v="7843"/>
    <s v="1101-03"/>
    <n v="0"/>
    <n v="317812"/>
    <s v="Pago bh 109 jorge elizardo rocha saez"/>
    <n v="-317812"/>
    <s v="Activo"/>
    <n v="-317812"/>
    <x v="1"/>
  </r>
  <r>
    <n v="2026"/>
    <n v="5"/>
    <s v="25-05-2026"/>
    <n v="7844"/>
    <s v="1101-03"/>
    <n v="0"/>
    <n v="210000"/>
    <s v="Pago bh 107 felipe ignacio luengo moreira"/>
    <n v="-210000"/>
    <s v="Activo"/>
    <n v="-210000"/>
    <x v="1"/>
  </r>
  <r>
    <n v="2026"/>
    <n v="5"/>
    <s v="25-05-2026"/>
    <n v="7845"/>
    <s v="1101-03"/>
    <n v="0"/>
    <n v="121232"/>
    <s v="Pago f2745204 operadora de sistemas electrónicos spa"/>
    <n v="-121232"/>
    <s v="Activo"/>
    <n v="-121232"/>
    <x v="1"/>
  </r>
  <r>
    <n v="2026"/>
    <n v="5"/>
    <s v="25-05-2026"/>
    <n v="7846"/>
    <s v="1101-03"/>
    <n v="0"/>
    <n v="120000"/>
    <s v="Pago bh 107 soledad del carmen maldonado z"/>
    <n v="-120000"/>
    <s v="Activo"/>
    <n v="-120000"/>
    <x v="1"/>
  </r>
  <r>
    <n v="2026"/>
    <n v="5"/>
    <s v="25-05-2026"/>
    <n v="7847"/>
    <s v="1101-03"/>
    <n v="0"/>
    <n v="30000"/>
    <s v="Pago bh 108 camila elizabeth ortiz cruz"/>
    <n v="-30000"/>
    <s v="Activo"/>
    <n v="-30000"/>
    <x v="1"/>
  </r>
  <r>
    <n v="2026"/>
    <n v="5"/>
    <s v="25-05-2026"/>
    <n v="11928"/>
    <s v="1101-03"/>
    <n v="5000000"/>
    <n v="0"/>
    <s v="0765406986 transf. tlink spa"/>
    <n v="5000000"/>
    <s v="Activo"/>
    <n v="5000000"/>
    <x v="1"/>
  </r>
  <r>
    <n v="2026"/>
    <n v="5"/>
    <s v="25-05-2026"/>
    <n v="11929"/>
    <s v="1101-03"/>
    <n v="5000000"/>
    <n v="0"/>
    <s v="0765406986 transf. tlink spa"/>
    <n v="5000000"/>
    <s v="Activo"/>
    <n v="5000000"/>
    <x v="1"/>
  </r>
  <r>
    <n v="2026"/>
    <n v="5"/>
    <s v="25-05-2026"/>
    <n v="11930"/>
    <s v="1101-03"/>
    <n v="4818156"/>
    <n v="0"/>
    <s v="0966893109 abn crd db tran transba"/>
    <n v="4818156"/>
    <s v="Activo"/>
    <n v="4818156"/>
    <x v="1"/>
  </r>
  <r>
    <n v="2026"/>
    <n v="5"/>
    <s v="25-05-2026"/>
    <n v="11931"/>
    <s v="1101-03"/>
    <n v="2000000"/>
    <n v="0"/>
    <s v="0765406986 transf."/>
    <n v="2000000"/>
    <s v="Activo"/>
    <n v="2000000"/>
    <x v="1"/>
  </r>
  <r>
    <n v="2026"/>
    <n v="5"/>
    <s v="25-05-2026"/>
    <n v="11932"/>
    <s v="1101-03"/>
    <n v="1071611"/>
    <n v="0"/>
    <s v="0765406986 transf. tlink spa"/>
    <n v="1071611"/>
    <s v="Activo"/>
    <n v="1071611"/>
    <x v="1"/>
  </r>
  <r>
    <n v="2026"/>
    <n v="5"/>
    <s v="25-05-2026"/>
    <n v="11933"/>
    <s v="1101-03"/>
    <n v="566268"/>
    <n v="0"/>
    <s v="0761872877 transf. khipu spa"/>
    <n v="566268"/>
    <s v="Activo"/>
    <n v="566268"/>
    <x v="1"/>
  </r>
  <r>
    <n v="2026"/>
    <n v="5"/>
    <s v="26-05-2026"/>
    <n v="7848"/>
    <s v="1101-03"/>
    <n v="0"/>
    <n v="500000"/>
    <s v="0995200007 transf a muevo copec em"/>
    <n v="-500000"/>
    <s v="Activo"/>
    <n v="-500000"/>
    <x v="1"/>
  </r>
  <r>
    <n v="2026"/>
    <n v="5"/>
    <s v="26-05-2026"/>
    <n v="7849"/>
    <s v="1101-03"/>
    <n v="0"/>
    <n v="500000"/>
    <s v="0995200007 transf a muevo copec em"/>
    <n v="-500000"/>
    <s v="Activo"/>
    <n v="-500000"/>
    <x v="1"/>
  </r>
  <r>
    <n v="2026"/>
    <n v="5"/>
    <s v="26-05-2026"/>
    <n v="11934"/>
    <s v="1101-03"/>
    <n v="7551898"/>
    <n v="0"/>
    <s v="0966893109 abn crd db tran transba"/>
    <n v="7551898"/>
    <s v="Activo"/>
    <n v="7551898"/>
    <x v="1"/>
  </r>
  <r>
    <n v="2026"/>
    <n v="5"/>
    <s v="26-05-2026"/>
    <n v="11935"/>
    <s v="1101-03"/>
    <n v="634693"/>
    <n v="0"/>
    <s v="0761872877 transf. khipu spa"/>
    <n v="634693"/>
    <s v="Activo"/>
    <n v="634693"/>
    <x v="1"/>
  </r>
  <r>
    <n v="2026"/>
    <n v="5"/>
    <s v="27-05-2026"/>
    <n v="7850"/>
    <s v="1101-03"/>
    <n v="0"/>
    <n v="29990"/>
    <s v="Compra mayorista 10 san"/>
    <n v="-29990"/>
    <s v="Activo"/>
    <n v="-29990"/>
    <x v="1"/>
  </r>
  <r>
    <n v="2026"/>
    <n v="5"/>
    <s v="27-05-2026"/>
    <n v="7851"/>
    <s v="1101-03"/>
    <n v="0"/>
    <n v="23675"/>
    <s v="Pago f56004291 santander - chile"/>
    <n v="-23675"/>
    <s v="Activo"/>
    <n v="-23675"/>
    <x v="1"/>
  </r>
  <r>
    <n v="2026"/>
    <n v="5"/>
    <s v="27-05-2026"/>
    <n v="11936"/>
    <s v="1101-03"/>
    <n v="5057054"/>
    <n v="0"/>
    <s v="0966893109 abn crd db tran transba"/>
    <n v="5057054"/>
    <s v="Activo"/>
    <n v="5057054"/>
    <x v="1"/>
  </r>
  <r>
    <n v="2026"/>
    <n v="5"/>
    <s v="27-05-2026"/>
    <n v="11937"/>
    <s v="1101-03"/>
    <n v="3716315"/>
    <n v="0"/>
    <s v="0765406986 transf."/>
    <n v="3716315"/>
    <s v="Activo"/>
    <n v="3716315"/>
    <x v="1"/>
  </r>
  <r>
    <n v="2026"/>
    <n v="5"/>
    <s v="27-05-2026"/>
    <n v="11938"/>
    <s v="1101-03"/>
    <n v="585766"/>
    <n v="0"/>
    <s v="0761872877 transf. khipu spa"/>
    <n v="585766"/>
    <s v="Activo"/>
    <n v="585766"/>
    <x v="1"/>
  </r>
  <r>
    <n v="2026"/>
    <n v="5"/>
    <s v="28-05-2026"/>
    <n v="7852"/>
    <s v="1101-03"/>
    <n v="0"/>
    <n v="500000"/>
    <s v="0995200007 transf a muevo copec em"/>
    <n v="-500000"/>
    <s v="Activo"/>
    <n v="-500000"/>
    <x v="1"/>
  </r>
  <r>
    <n v="2026"/>
    <n v="5"/>
    <s v="28-05-2026"/>
    <n v="7853"/>
    <s v="1101-03"/>
    <n v="0"/>
    <n v="4000"/>
    <s v="Compra comercial don teo"/>
    <n v="-4000"/>
    <s v="Activo"/>
    <n v="-4000"/>
    <x v="1"/>
  </r>
  <r>
    <n v="2026"/>
    <n v="5"/>
    <s v="28-05-2026"/>
    <n v="11939"/>
    <s v="1101-03"/>
    <n v="4894274"/>
    <n v="0"/>
    <s v="0966893109 abn crd db tran transba"/>
    <n v="4894274"/>
    <s v="Activo"/>
    <n v="4894274"/>
    <x v="1"/>
  </r>
  <r>
    <n v="2026"/>
    <n v="5"/>
    <s v="28-05-2026"/>
    <n v="11940"/>
    <s v="1101-03"/>
    <n v="3000000"/>
    <n v="0"/>
    <s v="0765406986 transf."/>
    <n v="3000000"/>
    <s v="Activo"/>
    <n v="3000000"/>
    <x v="1"/>
  </r>
  <r>
    <n v="2026"/>
    <n v="5"/>
    <s v="28-05-2026"/>
    <n v="11941"/>
    <s v="1101-03"/>
    <n v="835022"/>
    <n v="0"/>
    <s v="0761872877 transf. khipu spa"/>
    <n v="835022"/>
    <s v="Activo"/>
    <n v="835022"/>
    <x v="1"/>
  </r>
  <r>
    <n v="2026"/>
    <n v="5"/>
    <s v="29-05-2026"/>
    <n v="7854"/>
    <s v="1101-03"/>
    <n v="0"/>
    <n v="2202772"/>
    <s v="Pago f13866 asesorias tributarias pedro gonzalez limitada"/>
    <n v="-2202772"/>
    <s v="Activo"/>
    <n v="-2202772"/>
    <x v="1"/>
  </r>
  <r>
    <n v="2026"/>
    <n v="5"/>
    <s v="29-05-2026"/>
    <n v="7855"/>
    <s v="1101-03"/>
    <n v="0"/>
    <n v="1000000"/>
    <s v="Pago f2602 solution box chile spa"/>
    <n v="-1000000"/>
    <s v="Activo"/>
    <n v="-1000000"/>
    <x v="1"/>
  </r>
  <r>
    <n v="2026"/>
    <n v="5"/>
    <s v="29-05-2026"/>
    <n v="7856"/>
    <s v="1101-03"/>
    <n v="0"/>
    <n v="922890"/>
    <s v="Arriendo nodo trebolar arriendo nodo trebolar"/>
    <n v="-922890"/>
    <s v="Activo"/>
    <n v="-922890"/>
    <x v="1"/>
  </r>
  <r>
    <n v="2026"/>
    <n v="5"/>
    <s v="29-05-2026"/>
    <n v="7857"/>
    <s v="1101-03"/>
    <n v="0"/>
    <n v="598177"/>
    <s v="0762517582 transf a comercial iman"/>
    <n v="-598177"/>
    <s v="Activo"/>
    <n v="-598177"/>
    <x v="1"/>
  </r>
  <r>
    <n v="2026"/>
    <n v="5"/>
    <s v="29-05-2026"/>
    <n v="7858"/>
    <s v="1101-03"/>
    <n v="0"/>
    <n v="169638"/>
    <s v="Nodo cartagena consumo electrico mes abril"/>
    <n v="-169638"/>
    <s v="Activo"/>
    <n v="-169638"/>
    <x v="1"/>
  </r>
  <r>
    <n v="2026"/>
    <n v="5"/>
    <s v="29-05-2026"/>
    <n v="7859"/>
    <s v="1101-03"/>
    <n v="0"/>
    <n v="159222"/>
    <s v="Pago f59598 voissnet cloud services s.p.a."/>
    <n v="-159222"/>
    <s v="Activo"/>
    <n v="-159222"/>
    <x v="1"/>
  </r>
  <r>
    <n v="2026"/>
    <n v="5"/>
    <s v="29-05-2026"/>
    <n v="7860"/>
    <s v="1101-03"/>
    <n v="0"/>
    <n v="105000"/>
    <s v="Pago bh 108 soledad del carmen maldonado z"/>
    <n v="-105000"/>
    <s v="Activo"/>
    <n v="-105000"/>
    <x v="1"/>
  </r>
  <r>
    <n v="2026"/>
    <n v="5"/>
    <s v="29-05-2026"/>
    <n v="7861"/>
    <s v="1101-03"/>
    <n v="0"/>
    <n v="100000"/>
    <s v="0765406986 transf a t-link spa"/>
    <n v="-100000"/>
    <s v="Activo"/>
    <n v="-100000"/>
    <x v="1"/>
  </r>
  <r>
    <n v="2026"/>
    <n v="5"/>
    <s v="29-05-2026"/>
    <n v="11942"/>
    <s v="1101-03"/>
    <n v="4788257"/>
    <n v="0"/>
    <s v="0966893109 abn crd db tran transba"/>
    <n v="4788257"/>
    <s v="Activo"/>
    <n v="4788257"/>
    <x v="1"/>
  </r>
  <r>
    <n v="2026"/>
    <n v="5"/>
    <s v="29-05-2026"/>
    <n v="11943"/>
    <s v="1101-03"/>
    <n v="922890"/>
    <n v="0"/>
    <s v="0765406986 transf. tlink spa"/>
    <n v="922890"/>
    <s v="Activo"/>
    <n v="922890"/>
    <x v="1"/>
  </r>
  <r>
    <n v="2026"/>
    <n v="5"/>
    <s v="29-05-2026"/>
    <n v="11944"/>
    <s v="1101-03"/>
    <n v="286440"/>
    <n v="0"/>
    <s v="0761872877 transf. khipu spa"/>
    <n v="286440"/>
    <s v="Activo"/>
    <n v="286440"/>
    <x v="1"/>
  </r>
  <r>
    <n v="2026"/>
    <n v="5"/>
    <s v="29-05-2026"/>
    <n v="11945"/>
    <s v="1101-03"/>
    <n v="100000"/>
    <n v="0"/>
    <s v="0765406986 transf. tlink spa"/>
    <n v="100000"/>
    <s v="Activo"/>
    <n v="100000"/>
    <x v="1"/>
  </r>
  <r>
    <n v="2026"/>
    <n v="6"/>
    <s v="01-06-2026"/>
    <n v="7967"/>
    <s v="1101-03"/>
    <n v="0"/>
    <n v="5000000"/>
    <s v="012646150k transf a ambiado olivares al"/>
    <n v="-5000000"/>
    <s v="Activo"/>
    <n v="-5000000"/>
    <x v="1"/>
  </r>
  <r>
    <n v="2026"/>
    <n v="6"/>
    <s v="01-06-2026"/>
    <n v="7968"/>
    <s v="1101-03"/>
    <n v="0"/>
    <n v="4150152"/>
    <s v="012646150k transf a ambiado olivares al"/>
    <n v="-4150152"/>
    <s v="Activo"/>
    <n v="-4150152"/>
    <x v="1"/>
  </r>
  <r>
    <n v="2026"/>
    <n v="6"/>
    <s v="01-06-2026"/>
    <n v="7969"/>
    <s v="1101-03"/>
    <n v="0"/>
    <n v="500000"/>
    <s v="Muevo copec empresas fact 32108767"/>
    <n v="-500000"/>
    <s v="Activo"/>
    <n v="-500000"/>
    <x v="1"/>
  </r>
  <r>
    <n v="2026"/>
    <n v="6"/>
    <s v="01-06-2026"/>
    <n v="7970"/>
    <s v="1101-03"/>
    <n v="0"/>
    <n v="912977"/>
    <s v="Compra google workspace"/>
    <n v="-912977"/>
    <s v="Activo"/>
    <n v="-912977"/>
    <x v="1"/>
  </r>
  <r>
    <n v="2026"/>
    <n v="6"/>
    <s v="01-06-2026"/>
    <n v="7971"/>
    <s v="1101-03"/>
    <n v="0"/>
    <n v="200000"/>
    <s v="0765406986 transf a t-link spa"/>
    <n v="-200000"/>
    <s v="Activo"/>
    <n v="-200000"/>
    <x v="1"/>
  </r>
  <r>
    <n v="2026"/>
    <n v="6"/>
    <s v="01-06-2026"/>
    <n v="7972"/>
    <s v="1101-03"/>
    <n v="0"/>
    <n v="5000000"/>
    <s v="0774344497 transf a botsch spa"/>
    <n v="-5000000"/>
    <s v="Activo"/>
    <n v="-5000000"/>
    <x v="1"/>
  </r>
  <r>
    <n v="2026"/>
    <n v="6"/>
    <s v="01-06-2026"/>
    <n v="7973"/>
    <s v="1101-03"/>
    <n v="0"/>
    <n v="5000000"/>
    <s v="0774344497 transf a botsch spa"/>
    <n v="-5000000"/>
    <s v="Activo"/>
    <n v="-5000000"/>
    <x v="1"/>
  </r>
  <r>
    <n v="2026"/>
    <n v="6"/>
    <s v="01-06-2026"/>
    <n v="7974"/>
    <s v="1101-03"/>
    <n v="0"/>
    <n v="1425049"/>
    <s v="0774344497 transf a botsch spa"/>
    <n v="-1425049"/>
    <s v="Activo"/>
    <n v="-1425049"/>
    <x v="1"/>
  </r>
  <r>
    <n v="2026"/>
    <n v="6"/>
    <s v="01-06-2026"/>
    <n v="7975"/>
    <s v="1101-03"/>
    <n v="0"/>
    <n v="4969935"/>
    <s v="Remuneraciones quezada pereira chr"/>
    <n v="-4969935"/>
    <s v="Activo"/>
    <n v="-4969935"/>
    <x v="1"/>
  </r>
  <r>
    <n v="2026"/>
    <n v="6"/>
    <s v="01-06-2026"/>
    <n v="8097"/>
    <s v="1101-03"/>
    <n v="0"/>
    <n v="3848368"/>
    <s v="Pago f 38665 tac communications s.a."/>
    <n v="-3848368"/>
    <s v="Activo"/>
    <n v="-3848368"/>
    <x v="1"/>
  </r>
  <r>
    <n v="2026"/>
    <n v="6"/>
    <s v="01-06-2026"/>
    <n v="12607"/>
    <s v="1101-03"/>
    <n v="3236589"/>
    <n v="0"/>
    <s v="0761872877 transf. khipu spa"/>
    <n v="3236589"/>
    <s v="Activo"/>
    <n v="3236589"/>
    <x v="1"/>
  </r>
  <r>
    <n v="2026"/>
    <n v="6"/>
    <s v="01-06-2026"/>
    <n v="12608"/>
    <s v="1101-03"/>
    <n v="6822480"/>
    <n v="0"/>
    <s v="0966893109 abn crd db tran transbank s"/>
    <n v="6822480"/>
    <s v="Activo"/>
    <n v="6822480"/>
    <x v="1"/>
  </r>
  <r>
    <n v="2026"/>
    <n v="6"/>
    <s v="02-06-2026"/>
    <n v="8088"/>
    <s v="1101-03"/>
    <n v="0"/>
    <n v="975149"/>
    <s v="Pago f 38596 tac communications s.a."/>
    <n v="-975149"/>
    <s v="Activo"/>
    <n v="-975149"/>
    <x v="1"/>
  </r>
  <r>
    <n v="2026"/>
    <n v="6"/>
    <s v="02-06-2026"/>
    <n v="8089"/>
    <s v="1101-03"/>
    <n v="0"/>
    <n v="2075241"/>
    <s v="Pago f 37249 comercial lagos e hijos ltda."/>
    <n v="-2075241"/>
    <s v="Activo"/>
    <n v="-2075241"/>
    <x v="1"/>
  </r>
  <r>
    <n v="2026"/>
    <n v="6"/>
    <s v="02-06-2026"/>
    <n v="8090"/>
    <s v="1101-03"/>
    <n v="0"/>
    <n v="94823"/>
    <s v="Pago f 2544 sociedad emisora de tarjetas los héroes s.a"/>
    <n v="-94823"/>
    <s v="Activo"/>
    <n v="-94823"/>
    <x v="1"/>
  </r>
  <r>
    <n v="2026"/>
    <n v="6"/>
    <s v="02-06-2026"/>
    <n v="8091"/>
    <s v="1101-03"/>
    <n v="0"/>
    <n v="202300"/>
    <s v="Pago f 575 ingsor spa"/>
    <n v="-202300"/>
    <s v="Activo"/>
    <n v="-202300"/>
    <x v="1"/>
  </r>
  <r>
    <n v="2026"/>
    <n v="6"/>
    <s v="02-06-2026"/>
    <n v="8092"/>
    <s v="1101-03"/>
    <n v="0"/>
    <n v="478380"/>
    <s v="Pago f 38973 tac communications s.a."/>
    <n v="-478380"/>
    <s v="Activo"/>
    <n v="-478380"/>
    <x v="1"/>
  </r>
  <r>
    <n v="2026"/>
    <n v="6"/>
    <s v="02-06-2026"/>
    <n v="8093"/>
    <s v="1101-03"/>
    <n v="0"/>
    <n v="1990701"/>
    <s v="Pago f 2602 solution box chile spa"/>
    <n v="-1990701"/>
    <s v="Activo"/>
    <n v="-1990701"/>
    <x v="1"/>
  </r>
  <r>
    <n v="2026"/>
    <n v="6"/>
    <s v="02-06-2026"/>
    <n v="8094"/>
    <s v="1101-03"/>
    <n v="0"/>
    <n v="1507333"/>
    <s v="Pago f 6676 optictimes spa"/>
    <n v="-1507333"/>
    <s v="Activo"/>
    <n v="-1507333"/>
    <x v="1"/>
  </r>
  <r>
    <n v="2026"/>
    <n v="6"/>
    <s v="02-06-2026"/>
    <n v="8095"/>
    <s v="1101-03"/>
    <n v="0"/>
    <n v="171640"/>
    <s v="Pago f 200798 contempora compania de seguros generales s.a"/>
    <n v="-171640"/>
    <s v="Activo"/>
    <n v="-171640"/>
    <x v="1"/>
  </r>
  <r>
    <n v="2026"/>
    <n v="6"/>
    <s v="02-06-2026"/>
    <n v="8096"/>
    <s v="1101-03"/>
    <n v="0"/>
    <n v="538426"/>
    <s v="Pago f 412170 tecnologia lk spa"/>
    <n v="-538426"/>
    <s v="Activo"/>
    <n v="-538426"/>
    <x v="1"/>
  </r>
  <r>
    <n v="2026"/>
    <n v="6"/>
    <s v="02-06-2026"/>
    <n v="12605"/>
    <s v="1101-03"/>
    <n v="1082008"/>
    <n v="0"/>
    <s v="Abono khipu spa"/>
    <n v="1082008"/>
    <s v="Activo"/>
    <n v="1082008"/>
    <x v="1"/>
  </r>
  <r>
    <n v="2026"/>
    <n v="6"/>
    <s v="02-06-2026"/>
    <n v="12606"/>
    <s v="1101-03"/>
    <n v="24313075"/>
    <n v="0"/>
    <s v="Abono transbank s"/>
    <n v="24313075"/>
    <s v="Activo"/>
    <n v="24313075"/>
    <x v="1"/>
  </r>
  <r>
    <n v="2026"/>
    <n v="6"/>
    <s v="03-06-2026"/>
    <n v="7965"/>
    <s v="1101-03"/>
    <n v="0"/>
    <n v="24230"/>
    <s v="Compra hiper penaflor ba"/>
    <n v="-24230"/>
    <s v="Activo"/>
    <n v="-24230"/>
    <x v="1"/>
  </r>
  <r>
    <n v="2026"/>
    <n v="6"/>
    <s v="03-06-2026"/>
    <n v="7966"/>
    <s v="1101-03"/>
    <n v="0"/>
    <n v="500000"/>
    <s v="Muevo copec empresas fact 32108767"/>
    <n v="-500000"/>
    <s v="Activo"/>
    <n v="-500000"/>
    <x v="1"/>
  </r>
  <r>
    <n v="2026"/>
    <n v="6"/>
    <s v="03-06-2026"/>
    <n v="8087"/>
    <s v="1101-03"/>
    <n v="0"/>
    <n v="100000"/>
    <s v="0765406986 transf a t-link spa"/>
    <n v="-100000"/>
    <s v="Activo"/>
    <n v="-100000"/>
    <x v="1"/>
  </r>
  <r>
    <n v="2026"/>
    <n v="6"/>
    <s v="03-06-2026"/>
    <n v="12603"/>
    <s v="1101-03"/>
    <n v="1126612"/>
    <n v="0"/>
    <s v="0761872877 transf. khipu spa"/>
    <n v="1126612"/>
    <s v="Activo"/>
    <n v="1126612"/>
    <x v="1"/>
  </r>
  <r>
    <n v="2026"/>
    <n v="6"/>
    <s v="03-06-2026"/>
    <n v="12604"/>
    <s v="1101-03"/>
    <n v="15698479"/>
    <n v="0"/>
    <s v="0966893109 abn crd db tran transbank s"/>
    <n v="15698479"/>
    <s v="Activo"/>
    <n v="15698479"/>
    <x v="1"/>
  </r>
  <r>
    <n v="2026"/>
    <n v="6"/>
    <s v="04-06-2026"/>
    <n v="7963"/>
    <s v="1101-03"/>
    <n v="0"/>
    <n v="3000000"/>
    <s v="0774344497 transf a botsch spa"/>
    <n v="-3000000"/>
    <s v="Activo"/>
    <n v="-3000000"/>
    <x v="1"/>
  </r>
  <r>
    <n v="2026"/>
    <n v="6"/>
    <s v="04-06-2026"/>
    <n v="7964"/>
    <s v="1101-03"/>
    <n v="0"/>
    <n v="20079"/>
    <s v="Compra hiper penaflor ba"/>
    <n v="-20079"/>
    <s v="Activo"/>
    <n v="-20079"/>
    <x v="1"/>
  </r>
  <r>
    <n v="2026"/>
    <n v="6"/>
    <s v="04-06-2026"/>
    <n v="8086"/>
    <s v="1101-03"/>
    <n v="0"/>
    <n v="682770"/>
    <s v="0765406986 transf a t-link spa"/>
    <n v="-682770"/>
    <s v="Activo"/>
    <n v="-682770"/>
    <x v="1"/>
  </r>
  <r>
    <n v="2026"/>
    <n v="6"/>
    <s v="04-06-2026"/>
    <n v="12601"/>
    <s v="1101-03"/>
    <n v="1163351"/>
    <n v="0"/>
    <s v="0761872877 transf. khipu spa"/>
    <n v="1163351"/>
    <s v="Activo"/>
    <n v="1163351"/>
    <x v="1"/>
  </r>
  <r>
    <n v="2026"/>
    <n v="6"/>
    <s v="04-06-2026"/>
    <n v="12602"/>
    <s v="1101-03"/>
    <n v="13888900"/>
    <n v="0"/>
    <s v="0966893109 abn crd db tran transbank s"/>
    <n v="13888900"/>
    <s v="Activo"/>
    <n v="13888900"/>
    <x v="1"/>
  </r>
  <r>
    <n v="2026"/>
    <n v="6"/>
    <s v="04-06-2026"/>
    <n v="10837"/>
    <s v="1101-03"/>
    <n v="0"/>
    <n v="3180554"/>
    <s v="Traspaso internet a t. crédito"/>
    <n v="-3180554"/>
    <s v="Activo"/>
    <n v="-3180554"/>
    <x v="1"/>
  </r>
  <r>
    <n v="2026"/>
    <n v="6"/>
    <s v="04-06-2026"/>
    <n v="10838"/>
    <s v="1101-03"/>
    <n v="0"/>
    <n v="668393"/>
    <s v="Traspaso internet a t. crédito"/>
    <n v="-668393"/>
    <s v="Activo"/>
    <n v="-668393"/>
    <x v="1"/>
  </r>
  <r>
    <n v="2026"/>
    <n v="6"/>
    <s v="04-06-2026"/>
    <n v="10839"/>
    <s v="1101-03"/>
    <n v="0"/>
    <n v="4960859"/>
    <s v="Traspaso internet a t. crédito"/>
    <n v="-4960859"/>
    <s v="Activo"/>
    <n v="-4960859"/>
    <x v="1"/>
  </r>
  <r>
    <n v="2026"/>
    <n v="6"/>
    <s v="05-06-2026"/>
    <n v="7961"/>
    <s v="1101-03"/>
    <n v="0"/>
    <n v="500000"/>
    <s v="Muevo copec empresas fact 32108767"/>
    <n v="-500000"/>
    <s v="Activo"/>
    <n v="-500000"/>
    <x v="1"/>
  </r>
  <r>
    <n v="2026"/>
    <n v="6"/>
    <s v="05-06-2026"/>
    <n v="7962"/>
    <s v="1101-03"/>
    <n v="0"/>
    <n v="38978520"/>
    <s v="Remuneraciones mayo 2026"/>
    <n v="-38978520"/>
    <s v="Activo"/>
    <n v="-38978520"/>
    <x v="1"/>
  </r>
  <r>
    <n v="2026"/>
    <n v="6"/>
    <s v="05-06-2026"/>
    <n v="8085"/>
    <s v="1101-03"/>
    <n v="0"/>
    <n v="385000"/>
    <s v="Pago bh 1 renato guillen alvarez marquez"/>
    <n v="-385000"/>
    <s v="Activo"/>
    <n v="-385000"/>
    <x v="1"/>
  </r>
  <r>
    <n v="2026"/>
    <n v="6"/>
    <s v="05-06-2026"/>
    <n v="12599"/>
    <s v="1101-03"/>
    <n v="383274"/>
    <n v="0"/>
    <s v="0761872877 transf. khipu spa"/>
    <n v="383274"/>
    <s v="Activo"/>
    <n v="383274"/>
    <x v="1"/>
  </r>
  <r>
    <n v="2026"/>
    <n v="6"/>
    <s v="05-06-2026"/>
    <n v="12600"/>
    <s v="1101-03"/>
    <n v="9514100"/>
    <n v="0"/>
    <s v="0966893109 abn crd db tran transbank s"/>
    <n v="9514100"/>
    <s v="Activo"/>
    <n v="9514100"/>
    <x v="1"/>
  </r>
  <r>
    <n v="2026"/>
    <n v="6"/>
    <s v="08-06-2026"/>
    <n v="7907"/>
    <s v="1101-03"/>
    <n v="0"/>
    <n v="3356037"/>
    <s v="Pago cuota crédito n 420051423355"/>
    <n v="-3356037"/>
    <s v="Activo"/>
    <n v="-3356037"/>
    <x v="1"/>
  </r>
  <r>
    <n v="2026"/>
    <n v="6"/>
    <s v="08-06-2026"/>
    <n v="7950"/>
    <s v="1101-03"/>
    <n v="0"/>
    <n v="2500000"/>
    <s v="0774344497 transf a botsch spa"/>
    <n v="-2500000"/>
    <s v="Activo"/>
    <n v="-2500000"/>
    <x v="1"/>
  </r>
  <r>
    <n v="2026"/>
    <n v="6"/>
    <s v="08-06-2026"/>
    <n v="7951"/>
    <s v="1101-03"/>
    <n v="0"/>
    <n v="918079"/>
    <s v="Pago finiquito gonzalez nuñez caro"/>
    <n v="-918079"/>
    <s v="Activo"/>
    <n v="-918079"/>
    <x v="1"/>
  </r>
  <r>
    <n v="2026"/>
    <n v="6"/>
    <s v="08-06-2026"/>
    <n v="7952"/>
    <s v="1101-03"/>
    <n v="0"/>
    <n v="500000"/>
    <s v="Muevo copec empresas fact 32108767"/>
    <n v="-500000"/>
    <s v="Activo"/>
    <n v="-500000"/>
    <x v="1"/>
  </r>
  <r>
    <n v="2026"/>
    <n v="6"/>
    <s v="08-06-2026"/>
    <n v="7953"/>
    <s v="1101-03"/>
    <n v="0"/>
    <n v="25000"/>
    <s v="Pago vulcanizacion"/>
    <n v="-25000"/>
    <s v="Activo"/>
    <n v="-25000"/>
    <x v="1"/>
  </r>
  <r>
    <n v="2026"/>
    <n v="6"/>
    <s v="08-06-2026"/>
    <n v="7954"/>
    <s v="1101-03"/>
    <n v="0"/>
    <n v="750000"/>
    <s v="Arriendo oficina"/>
    <n v="-750000"/>
    <s v="Activo"/>
    <n v="-750000"/>
    <x v="1"/>
  </r>
  <r>
    <n v="2026"/>
    <n v="6"/>
    <s v="08-06-2026"/>
    <n v="7955"/>
    <s v="1101-03"/>
    <n v="0"/>
    <n v="1253866"/>
    <s v="Finiquito gisela alvarez bello"/>
    <n v="-1253866"/>
    <s v="Activo"/>
    <n v="-1253866"/>
    <x v="1"/>
  </r>
  <r>
    <n v="2026"/>
    <n v="6"/>
    <s v="08-06-2026"/>
    <n v="7956"/>
    <s v="1101-03"/>
    <n v="0"/>
    <n v="207546"/>
    <s v="Nodo algarrobo nodo algarrobo"/>
    <n v="-207546"/>
    <s v="Activo"/>
    <n v="-207546"/>
    <x v="1"/>
  </r>
  <r>
    <n v="2026"/>
    <n v="6"/>
    <s v="08-06-2026"/>
    <n v="7957"/>
    <s v="1101-03"/>
    <n v="0"/>
    <n v="529039"/>
    <s v="Nodo aromos nodo aromos"/>
    <n v="-529039"/>
    <s v="Activo"/>
    <n v="-529039"/>
    <x v="1"/>
  </r>
  <r>
    <n v="2026"/>
    <n v="6"/>
    <s v="08-06-2026"/>
    <n v="7958"/>
    <s v="1101-03"/>
    <n v="0"/>
    <n v="207546"/>
    <s v="Nodo cartagena nodo cartagena"/>
    <n v="-207546"/>
    <s v="Activo"/>
    <n v="-207546"/>
    <x v="1"/>
  </r>
  <r>
    <n v="2026"/>
    <n v="6"/>
    <s v="08-06-2026"/>
    <n v="7959"/>
    <s v="1101-03"/>
    <n v="0"/>
    <n v="130000"/>
    <s v="Nodo copihue nodo copihue"/>
    <n v="-130000"/>
    <s v="Activo"/>
    <n v="-130000"/>
    <x v="1"/>
  </r>
  <r>
    <n v="2026"/>
    <n v="6"/>
    <s v="08-06-2026"/>
    <n v="7960"/>
    <s v="1101-03"/>
    <n v="0"/>
    <n v="200000"/>
    <s v="Nodo santo domingo nodo santo domingo"/>
    <n v="-200000"/>
    <s v="Activo"/>
    <n v="-200000"/>
    <x v="1"/>
  </r>
  <r>
    <n v="2026"/>
    <n v="6"/>
    <s v="08-06-2026"/>
    <n v="8055"/>
    <s v="1101-03"/>
    <n v="0"/>
    <n v="3215069"/>
    <s v="Pago f 11780 pit chile spa"/>
    <n v="-3215069"/>
    <s v="Activo"/>
    <n v="-3215069"/>
    <x v="1"/>
  </r>
  <r>
    <n v="2026"/>
    <n v="6"/>
    <s v="08-06-2026"/>
    <n v="8056"/>
    <s v="1101-03"/>
    <n v="0"/>
    <n v="406270"/>
    <s v="Pago f 5162 cg abogados limitada"/>
    <n v="-406270"/>
    <s v="Activo"/>
    <n v="-406270"/>
    <x v="1"/>
  </r>
  <r>
    <n v="2026"/>
    <n v="6"/>
    <s v="08-06-2026"/>
    <n v="8057"/>
    <s v="1101-03"/>
    <n v="0"/>
    <n v="4408751"/>
    <s v="Pago f 39670 grupo zgh spa"/>
    <n v="-4408751"/>
    <s v="Activo"/>
    <n v="-4408751"/>
    <x v="1"/>
  </r>
  <r>
    <n v="2026"/>
    <n v="6"/>
    <s v="08-06-2026"/>
    <n v="8058"/>
    <s v="1101-03"/>
    <n v="0"/>
    <n v="991111"/>
    <s v="Pago f 39671 grupo zgh spa"/>
    <n v="-991111"/>
    <s v="Activo"/>
    <n v="-991111"/>
    <x v="1"/>
  </r>
  <r>
    <n v="2026"/>
    <n v="6"/>
    <s v="08-06-2026"/>
    <n v="8059"/>
    <s v="1101-03"/>
    <n v="0"/>
    <n v="821561"/>
    <s v="Pago f 325 alberto diaz de valdes e hija limitada"/>
    <n v="-821561"/>
    <s v="Activo"/>
    <n v="-821561"/>
    <x v="1"/>
  </r>
  <r>
    <n v="2026"/>
    <n v="6"/>
    <s v="08-06-2026"/>
    <n v="8060"/>
    <s v="1101-03"/>
    <n v="0"/>
    <n v="535500"/>
    <s v="Pago f 16 luxconnect spa"/>
    <n v="-535500"/>
    <s v="Activo"/>
    <n v="-535500"/>
    <x v="1"/>
  </r>
  <r>
    <n v="2026"/>
    <n v="6"/>
    <s v="08-06-2026"/>
    <n v="8061"/>
    <s v="1101-03"/>
    <n v="0"/>
    <n v="1000000"/>
    <s v="Pago f 3 echoframe spa"/>
    <n v="-1000000"/>
    <s v="Activo"/>
    <n v="-1000000"/>
    <x v="1"/>
  </r>
  <r>
    <n v="2026"/>
    <n v="6"/>
    <s v="08-06-2026"/>
    <n v="8062"/>
    <s v="1101-03"/>
    <n v="0"/>
    <n v="86282"/>
    <s v="Pago f 39439 imporgrafica ltda"/>
    <n v="-86282"/>
    <s v="Activo"/>
    <n v="-86282"/>
    <x v="1"/>
  </r>
  <r>
    <n v="2026"/>
    <n v="6"/>
    <s v="08-06-2026"/>
    <n v="8063"/>
    <s v="1101-03"/>
    <n v="0"/>
    <n v="486000"/>
    <s v="0118439457 transf a paulo cortes"/>
    <n v="-486000"/>
    <s v="Activo"/>
    <n v="-486000"/>
    <x v="1"/>
  </r>
  <r>
    <n v="2026"/>
    <n v="6"/>
    <s v="08-06-2026"/>
    <n v="8064"/>
    <s v="1101-03"/>
    <n v="0"/>
    <n v="120000"/>
    <s v="Pago bh 109 soledad del carmen maldonado z"/>
    <n v="-120000"/>
    <s v="Activo"/>
    <n v="-120000"/>
    <x v="1"/>
  </r>
  <r>
    <n v="2026"/>
    <n v="6"/>
    <s v="08-06-2026"/>
    <n v="8065"/>
    <s v="1101-03"/>
    <n v="0"/>
    <n v="800000"/>
    <s v="Pago f 8 altaseo limitada"/>
    <n v="-800000"/>
    <s v="Activo"/>
    <n v="-800000"/>
    <x v="1"/>
  </r>
  <r>
    <n v="2026"/>
    <n v="6"/>
    <s v="08-06-2026"/>
    <n v="8066"/>
    <s v="1101-03"/>
    <n v="0"/>
    <n v="240000"/>
    <s v="Pago bh 206 julio orlando chaparro cares"/>
    <n v="-240000"/>
    <s v="Activo"/>
    <n v="-240000"/>
    <x v="1"/>
  </r>
  <r>
    <n v="2026"/>
    <n v="6"/>
    <s v="08-06-2026"/>
    <n v="8067"/>
    <s v="1101-03"/>
    <n v="0"/>
    <n v="74906"/>
    <s v="Pago f 8772 ascenty chile spa"/>
    <n v="-74906"/>
    <s v="Activo"/>
    <n v="-74906"/>
    <x v="1"/>
  </r>
  <r>
    <n v="2026"/>
    <n v="6"/>
    <s v="08-06-2026"/>
    <n v="8068"/>
    <s v="1101-03"/>
    <n v="0"/>
    <n v="63262"/>
    <s v="Pago f 8771 ascenty chile spa"/>
    <n v="-63262"/>
    <s v="Activo"/>
    <n v="-63262"/>
    <x v="1"/>
  </r>
  <r>
    <n v="2026"/>
    <n v="6"/>
    <s v="08-06-2026"/>
    <n v="8069"/>
    <s v="1101-03"/>
    <n v="0"/>
    <n v="1002650"/>
    <s v="Pago f 9064 ascenty chile spa"/>
    <n v="-1002650"/>
    <s v="Activo"/>
    <n v="-1002650"/>
    <x v="1"/>
  </r>
  <r>
    <n v="2026"/>
    <n v="6"/>
    <s v="08-06-2026"/>
    <n v="8070"/>
    <s v="1101-03"/>
    <n v="0"/>
    <n v="80124"/>
    <s v="Pago f 9063 ascenty chile spa"/>
    <n v="-80124"/>
    <s v="Activo"/>
    <n v="-80124"/>
    <x v="1"/>
  </r>
  <r>
    <n v="2026"/>
    <n v="6"/>
    <s v="08-06-2026"/>
    <n v="8071"/>
    <s v="1101-03"/>
    <n v="0"/>
    <n v="100000"/>
    <s v="0765406986 transf a t-link spa"/>
    <n v="-100000"/>
    <s v="Activo"/>
    <n v="-100000"/>
    <x v="1"/>
  </r>
  <r>
    <n v="2026"/>
    <n v="6"/>
    <s v="08-06-2026"/>
    <n v="8072"/>
    <s v="1101-03"/>
    <n v="0"/>
    <n v="64325"/>
    <s v="Pago f 9066 ascenty chile spa"/>
    <n v="-64325"/>
    <s v="Activo"/>
    <n v="-64325"/>
    <x v="1"/>
  </r>
  <r>
    <n v="2026"/>
    <n v="6"/>
    <s v="08-06-2026"/>
    <n v="8073"/>
    <s v="1101-03"/>
    <n v="0"/>
    <n v="63375"/>
    <s v="Pago f 9065 ascenty chile spa"/>
    <n v="-63375"/>
    <s v="Activo"/>
    <n v="-63375"/>
    <x v="1"/>
  </r>
  <r>
    <n v="2026"/>
    <n v="6"/>
    <s v="08-06-2026"/>
    <n v="8074"/>
    <s v="1101-03"/>
    <n v="0"/>
    <n v="76168"/>
    <s v="Pago f 9068 ascenty chile spa"/>
    <n v="-76168"/>
    <s v="Activo"/>
    <n v="-76168"/>
    <x v="1"/>
  </r>
  <r>
    <n v="2026"/>
    <n v="6"/>
    <s v="08-06-2026"/>
    <n v="8075"/>
    <s v="1101-03"/>
    <n v="0"/>
    <n v="63565"/>
    <s v="Pago f 9067 ascenty chile spa"/>
    <n v="-63565"/>
    <s v="Activo"/>
    <n v="-63565"/>
    <x v="1"/>
  </r>
  <r>
    <n v="2026"/>
    <n v="6"/>
    <s v="08-06-2026"/>
    <n v="8076"/>
    <s v="1101-03"/>
    <n v="0"/>
    <n v="75416"/>
    <s v="Pago f 9069 ascenty chile spa"/>
    <n v="-75416"/>
    <s v="Activo"/>
    <n v="-75416"/>
    <x v="1"/>
  </r>
  <r>
    <n v="2026"/>
    <n v="6"/>
    <s v="08-06-2026"/>
    <n v="8077"/>
    <s v="1101-03"/>
    <n v="0"/>
    <n v="75416"/>
    <s v="Pago f 9070 ascenty chile spa"/>
    <n v="-75416"/>
    <s v="Activo"/>
    <n v="-75416"/>
    <x v="1"/>
  </r>
  <r>
    <n v="2026"/>
    <n v="6"/>
    <s v="08-06-2026"/>
    <n v="8078"/>
    <s v="1101-03"/>
    <n v="0"/>
    <n v="63072"/>
    <s v="Pago f 9111 ascenty chile spa"/>
    <n v="-63072"/>
    <s v="Activo"/>
    <n v="-63072"/>
    <x v="1"/>
  </r>
  <r>
    <n v="2026"/>
    <n v="6"/>
    <s v="08-06-2026"/>
    <n v="8079"/>
    <s v="1101-03"/>
    <n v="0"/>
    <n v="120000"/>
    <s v="Pago bh 110 soledad del carmen maldonado z"/>
    <n v="-120000"/>
    <s v="Activo"/>
    <n v="-120000"/>
    <x v="1"/>
  </r>
  <r>
    <n v="2026"/>
    <n v="6"/>
    <s v="08-06-2026"/>
    <n v="8080"/>
    <s v="1101-03"/>
    <n v="0"/>
    <n v="71400"/>
    <s v="Pago f 157 zettabyte spa"/>
    <n v="-71400"/>
    <s v="Activo"/>
    <n v="-71400"/>
    <x v="1"/>
  </r>
  <r>
    <n v="2026"/>
    <n v="6"/>
    <s v="08-06-2026"/>
    <n v="8081"/>
    <s v="1101-03"/>
    <n v="0"/>
    <n v="1000000"/>
    <s v="Pago bh 615 freddy alex rodriguez saez"/>
    <n v="-1000000"/>
    <s v="Activo"/>
    <n v="-1000000"/>
    <x v="1"/>
  </r>
  <r>
    <n v="2026"/>
    <n v="6"/>
    <s v="08-06-2026"/>
    <n v="8082"/>
    <s v="1101-03"/>
    <n v="0"/>
    <n v="1502596"/>
    <s v="Pago f 16012 asesorias tributarias pedro gonzalez limitada"/>
    <n v="-1502596"/>
    <s v="Activo"/>
    <n v="-1502596"/>
    <x v="1"/>
  </r>
  <r>
    <n v="2026"/>
    <n v="6"/>
    <s v="08-06-2026"/>
    <n v="8083"/>
    <s v="1101-03"/>
    <n v="0"/>
    <n v="571200"/>
    <s v="Pago f 1625 cinthya margarita catalan pizarro"/>
    <n v="-571200"/>
    <s v="Activo"/>
    <n v="-571200"/>
    <x v="1"/>
  </r>
  <r>
    <n v="2026"/>
    <n v="6"/>
    <s v="08-06-2026"/>
    <n v="8084"/>
    <s v="1101-03"/>
    <n v="0"/>
    <n v="3063060"/>
    <s v="Pago f 97 mileniumnet spa."/>
    <n v="-3063060"/>
    <s v="Activo"/>
    <n v="-3063060"/>
    <x v="1"/>
  </r>
  <r>
    <n v="2026"/>
    <n v="6"/>
    <s v="08-06-2026"/>
    <n v="12597"/>
    <s v="1101-03"/>
    <n v="1037104"/>
    <n v="0"/>
    <s v="0761872877 transf. khipu spa"/>
    <n v="1037104"/>
    <s v="Activo"/>
    <n v="1037104"/>
    <x v="1"/>
  </r>
  <r>
    <n v="2026"/>
    <n v="6"/>
    <s v="08-06-2026"/>
    <n v="12598"/>
    <s v="1101-03"/>
    <n v="6259088"/>
    <n v="0"/>
    <s v="0966893109 abn crd db tran transbank s"/>
    <n v="6259088"/>
    <s v="Activo"/>
    <n v="6259088"/>
    <x v="1"/>
  </r>
  <r>
    <n v="2026"/>
    <n v="6"/>
    <s v="08-06-2026"/>
    <n v="10832"/>
    <s v="1101-03"/>
    <n v="1277541"/>
    <n v="0"/>
    <s v="Traspaso entre cuentas"/>
    <n v="1277541"/>
    <s v="Activo"/>
    <n v="1277541"/>
    <x v="1"/>
  </r>
  <r>
    <n v="2026"/>
    <n v="6"/>
    <s v="08-06-2026"/>
    <n v="10833"/>
    <s v="1101-03"/>
    <n v="5000000"/>
    <n v="0"/>
    <s v="Traspaso entre cuentas"/>
    <n v="5000000"/>
    <s v="Activo"/>
    <n v="5000000"/>
    <x v="1"/>
  </r>
  <r>
    <n v="2026"/>
    <n v="6"/>
    <s v="08-06-2026"/>
    <n v="10834"/>
    <s v="1101-03"/>
    <n v="2864466"/>
    <n v="0"/>
    <s v="Traspaso entre cuentas"/>
    <n v="2864466"/>
    <s v="Activo"/>
    <n v="2864466"/>
    <x v="1"/>
  </r>
  <r>
    <n v="2026"/>
    <n v="6"/>
    <s v="08-06-2026"/>
    <n v="10835"/>
    <s v="1101-03"/>
    <n v="5000000"/>
    <n v="0"/>
    <s v="Traspaso entre cuentas"/>
    <n v="5000000"/>
    <s v="Activo"/>
    <n v="5000000"/>
    <x v="1"/>
  </r>
  <r>
    <n v="2026"/>
    <n v="6"/>
    <s v="08-06-2026"/>
    <n v="10836"/>
    <s v="1101-03"/>
    <n v="5000000"/>
    <n v="0"/>
    <s v="Traspaso entre cuentas"/>
    <n v="5000000"/>
    <s v="Activo"/>
    <n v="5000000"/>
    <x v="1"/>
  </r>
  <r>
    <n v="2026"/>
    <n v="6"/>
    <s v="09-06-2026"/>
    <n v="12595"/>
    <s v="1101-03"/>
    <n v="1273892"/>
    <n v="0"/>
    <s v="0761872877 transf. khipu spa"/>
    <n v="1273892"/>
    <s v="Activo"/>
    <n v="1273892"/>
    <x v="1"/>
  </r>
  <r>
    <n v="2026"/>
    <n v="6"/>
    <s v="09-06-2026"/>
    <n v="12596"/>
    <s v="1101-03"/>
    <n v="20740464"/>
    <n v="0"/>
    <s v="0966893109 abn crd db tran transbank s"/>
    <n v="20740464"/>
    <s v="Activo"/>
    <n v="20740464"/>
    <x v="1"/>
  </r>
  <r>
    <n v="2026"/>
    <n v="6"/>
    <s v="10-06-2026"/>
    <n v="7906"/>
    <s v="1101-03"/>
    <n v="0"/>
    <n v="1593490"/>
    <s v="Pago cuota crédito n 420021082928"/>
    <n v="-1593490"/>
    <s v="Activo"/>
    <n v="-1593490"/>
    <x v="1"/>
  </r>
  <r>
    <n v="2026"/>
    <n v="6"/>
    <s v="10-06-2026"/>
    <n v="7948"/>
    <s v="1101-03"/>
    <n v="0"/>
    <n v="58950"/>
    <s v="Compra hiper penaflor ba"/>
    <n v="-58950"/>
    <s v="Activo"/>
    <n v="-58950"/>
    <x v="1"/>
  </r>
  <r>
    <n v="2026"/>
    <n v="6"/>
    <s v="10-06-2026"/>
    <n v="7949"/>
    <s v="1101-03"/>
    <n v="0"/>
    <n v="500000"/>
    <s v="Muevo copec empresas fact 32108767"/>
    <n v="-500000"/>
    <s v="Activo"/>
    <n v="-500000"/>
    <x v="1"/>
  </r>
  <r>
    <n v="2026"/>
    <n v="6"/>
    <s v="10-06-2026"/>
    <n v="8054"/>
    <s v="1101-03"/>
    <n v="0"/>
    <n v="200000"/>
    <s v="0765406986 transf a t-link spa"/>
    <n v="-200000"/>
    <s v="Activo"/>
    <n v="-200000"/>
    <x v="1"/>
  </r>
  <r>
    <n v="2026"/>
    <n v="6"/>
    <s v="10-06-2026"/>
    <n v="12593"/>
    <s v="1101-03"/>
    <n v="14812"/>
    <n v="0"/>
    <s v="0761872877 transf. khipu spa"/>
    <n v="14812"/>
    <s v="Activo"/>
    <n v="14812"/>
    <x v="1"/>
  </r>
  <r>
    <n v="2026"/>
    <n v="6"/>
    <s v="10-06-2026"/>
    <n v="12594"/>
    <s v="1101-03"/>
    <n v="11366886"/>
    <n v="0"/>
    <s v="0966893109 abn crd db tran transbank s"/>
    <n v="11366886"/>
    <s v="Activo"/>
    <n v="11366886"/>
    <x v="1"/>
  </r>
  <r>
    <n v="2026"/>
    <n v="6"/>
    <s v="11-06-2026"/>
    <n v="7904"/>
    <s v="1101-03"/>
    <n v="0"/>
    <n v="1999249"/>
    <s v="Pago cuota crédito n 420022371370"/>
    <n v="-1999249"/>
    <s v="Activo"/>
    <n v="-1999249"/>
    <x v="1"/>
  </r>
  <r>
    <n v="2026"/>
    <n v="6"/>
    <s v="11-06-2026"/>
    <n v="7938"/>
    <s v="1101-03"/>
    <n v="0"/>
    <n v="2790"/>
    <s v="Compra mc donalds 4 04"/>
    <n v="-2790"/>
    <s v="Activo"/>
    <n v="-2790"/>
    <x v="1"/>
  </r>
  <r>
    <n v="2026"/>
    <n v="6"/>
    <s v="11-06-2026"/>
    <n v="7939"/>
    <s v="1101-03"/>
    <n v="0"/>
    <n v="32000"/>
    <s v="Nodo padre hurtado consumo electrico mes mayo"/>
    <n v="-32000"/>
    <s v="Activo"/>
    <n v="-32000"/>
    <x v="1"/>
  </r>
  <r>
    <n v="2026"/>
    <n v="6"/>
    <s v="11-06-2026"/>
    <n v="7940"/>
    <s v="1101-03"/>
    <n v="0"/>
    <n v="90000"/>
    <s v="012646150k transf a ambiado olivares al"/>
    <n v="-90000"/>
    <s v="Activo"/>
    <n v="-90000"/>
    <x v="1"/>
  </r>
  <r>
    <n v="2026"/>
    <n v="6"/>
    <s v="11-06-2026"/>
    <n v="7941"/>
    <s v="1101-03"/>
    <n v="0"/>
    <n v="128574"/>
    <s v="Nodo la cruz consumo electrico mes mayo"/>
    <n v="-128574"/>
    <s v="Activo"/>
    <n v="-128574"/>
    <x v="1"/>
  </r>
  <r>
    <n v="2026"/>
    <n v="6"/>
    <s v="11-06-2026"/>
    <n v="7942"/>
    <s v="1101-03"/>
    <n v="0"/>
    <n v="1559365"/>
    <s v="Nodo aromos consumo electrico mes mayo"/>
    <n v="-1559365"/>
    <s v="Activo"/>
    <n v="-1559365"/>
    <x v="1"/>
  </r>
  <r>
    <n v="2026"/>
    <n v="6"/>
    <s v="11-06-2026"/>
    <n v="7943"/>
    <s v="1101-03"/>
    <n v="0"/>
    <n v="52140"/>
    <s v="Nodo aromos consumo electrico mes mayo"/>
    <n v="-52140"/>
    <s v="Activo"/>
    <n v="-52140"/>
    <x v="1"/>
  </r>
  <r>
    <n v="2026"/>
    <n v="6"/>
    <s v="11-06-2026"/>
    <n v="7944"/>
    <s v="1101-03"/>
    <n v="0"/>
    <n v="230435"/>
    <s v="Nodo cdr consumo electrico mes mayo"/>
    <n v="-230435"/>
    <s v="Activo"/>
    <n v="-230435"/>
    <x v="1"/>
  </r>
  <r>
    <n v="2026"/>
    <n v="6"/>
    <s v="11-06-2026"/>
    <n v="7945"/>
    <s v="1101-03"/>
    <n v="0"/>
    <n v="134350"/>
    <s v="Nodo carampangue consumo electrico mes mayo"/>
    <n v="-134350"/>
    <s v="Activo"/>
    <n v="-134350"/>
    <x v="1"/>
  </r>
  <r>
    <n v="2026"/>
    <n v="6"/>
    <s v="11-06-2026"/>
    <n v="7946"/>
    <s v="1101-03"/>
    <n v="0"/>
    <n v="113446"/>
    <s v="Nodo algarrobo consumo electrico mes mayo"/>
    <n v="-113446"/>
    <s v="Activo"/>
    <n v="-113446"/>
    <x v="1"/>
  </r>
  <r>
    <n v="2026"/>
    <n v="6"/>
    <s v="11-06-2026"/>
    <n v="7947"/>
    <s v="1101-03"/>
    <n v="0"/>
    <n v="168591"/>
    <s v="Nodo santo domingo consumo electrico mes mayo"/>
    <n v="-168591"/>
    <s v="Activo"/>
    <n v="-168591"/>
    <x v="1"/>
  </r>
  <r>
    <n v="2026"/>
    <n v="6"/>
    <s v="11-06-2026"/>
    <n v="8033"/>
    <s v="1101-03"/>
    <n v="0"/>
    <n v="402904"/>
    <s v="Pago en linea servipag"/>
    <n v="-402904"/>
    <s v="Activo"/>
    <n v="-402904"/>
    <x v="1"/>
  </r>
  <r>
    <n v="2026"/>
    <n v="6"/>
    <s v="11-06-2026"/>
    <n v="8034"/>
    <s v="1101-03"/>
    <n v="0"/>
    <n v="1432291"/>
    <s v="Pago f 3912 ficom telecomunicaciones spa"/>
    <n v="-1432291"/>
    <s v="Activo"/>
    <n v="-1432291"/>
    <x v="1"/>
  </r>
  <r>
    <n v="2026"/>
    <n v="6"/>
    <s v="11-06-2026"/>
    <n v="8035"/>
    <s v="1101-03"/>
    <n v="0"/>
    <n v="716146"/>
    <s v="Pago f 3913 ficom telecomunicaciones spa"/>
    <n v="-716146"/>
    <s v="Activo"/>
    <n v="-716146"/>
    <x v="1"/>
  </r>
  <r>
    <n v="2026"/>
    <n v="6"/>
    <s v="11-06-2026"/>
    <n v="8036"/>
    <s v="1101-03"/>
    <n v="0"/>
    <n v="348097"/>
    <s v="Pago f 78262 powerhost telecom spa"/>
    <n v="-348097"/>
    <s v="Activo"/>
    <n v="-348097"/>
    <x v="1"/>
  </r>
  <r>
    <n v="2026"/>
    <n v="6"/>
    <s v="11-06-2026"/>
    <n v="8037"/>
    <s v="1101-03"/>
    <n v="0"/>
    <n v="751000"/>
    <s v="Pago f 10780 globalconnect spa"/>
    <n v="-751000"/>
    <s v="Activo"/>
    <n v="-751000"/>
    <x v="1"/>
  </r>
  <r>
    <n v="2026"/>
    <n v="6"/>
    <s v="11-06-2026"/>
    <n v="8038"/>
    <s v="1101-03"/>
    <n v="0"/>
    <n v="4804080"/>
    <s v="Pago f 7035 telxius cable chile s.a."/>
    <n v="-4804080"/>
    <s v="Activo"/>
    <n v="-4804080"/>
    <x v="1"/>
  </r>
  <r>
    <n v="2026"/>
    <n v="6"/>
    <s v="11-06-2026"/>
    <n v="8039"/>
    <s v="1101-03"/>
    <n v="0"/>
    <n v="90200"/>
    <s v="Pago f 197325 regus management de chile limitada"/>
    <n v="-90200"/>
    <s v="Activo"/>
    <n v="-90200"/>
    <x v="1"/>
  </r>
  <r>
    <n v="2026"/>
    <n v="6"/>
    <s v="11-06-2026"/>
    <n v="8040"/>
    <s v="1101-03"/>
    <n v="0"/>
    <n v="90000"/>
    <s v="Pago bh 61 christian italo quezada pereir"/>
    <n v="-90000"/>
    <s v="Activo"/>
    <n v="-90000"/>
    <x v="1"/>
  </r>
  <r>
    <n v="2026"/>
    <n v="6"/>
    <s v="11-06-2026"/>
    <n v="8041"/>
    <s v="1101-03"/>
    <n v="0"/>
    <n v="72641"/>
    <s v="Pago f 403 mdd soluciones spa"/>
    <n v="-72641"/>
    <s v="Activo"/>
    <n v="-72641"/>
    <x v="1"/>
  </r>
  <r>
    <n v="2026"/>
    <n v="6"/>
    <s v="11-06-2026"/>
    <n v="8042"/>
    <s v="1101-03"/>
    <n v="0"/>
    <n v="919493"/>
    <s v="Pago f 420230 tecnologia lk spa"/>
    <n v="-919493"/>
    <s v="Activo"/>
    <n v="-919493"/>
    <x v="1"/>
  </r>
  <r>
    <n v="2026"/>
    <n v="6"/>
    <s v="11-06-2026"/>
    <n v="8043"/>
    <s v="1101-03"/>
    <n v="0"/>
    <n v="476000"/>
    <s v="Pago f 5612 cia de comunicaciones coyhaique limitada"/>
    <n v="-476000"/>
    <s v="Activo"/>
    <n v="-476000"/>
    <x v="1"/>
  </r>
  <r>
    <n v="2026"/>
    <n v="6"/>
    <s v="11-06-2026"/>
    <n v="8044"/>
    <s v="1101-03"/>
    <n v="0"/>
    <n v="6137011"/>
    <s v="Pago f 8755 inversiones y telecomunicaciones r y m spa"/>
    <n v="-6137011"/>
    <s v="Activo"/>
    <n v="-6137011"/>
    <x v="1"/>
  </r>
  <r>
    <n v="2026"/>
    <n v="6"/>
    <s v="11-06-2026"/>
    <n v="8045"/>
    <s v="1101-03"/>
    <n v="0"/>
    <n v="966535"/>
    <s v="Pago f 8633 inversiones y telecomunicaciones r y m spa"/>
    <n v="-966535"/>
    <s v="Activo"/>
    <n v="-966535"/>
    <x v="1"/>
  </r>
  <r>
    <n v="2026"/>
    <n v="6"/>
    <s v="11-06-2026"/>
    <n v="8046"/>
    <s v="1101-03"/>
    <n v="0"/>
    <n v="41650"/>
    <s v="Pago f 395 productora energeek limitada"/>
    <n v="-41650"/>
    <s v="Activo"/>
    <n v="-41650"/>
    <x v="1"/>
  </r>
  <r>
    <n v="2026"/>
    <n v="6"/>
    <s v="11-06-2026"/>
    <n v="8047"/>
    <s v="1101-03"/>
    <n v="0"/>
    <n v="2116160"/>
    <s v="Pago f 277 sociedad de inversiones straubing s.a."/>
    <n v="-2116160"/>
    <s v="Activo"/>
    <n v="-2116160"/>
    <x v="1"/>
  </r>
  <r>
    <n v="2026"/>
    <n v="6"/>
    <s v="11-06-2026"/>
    <n v="8048"/>
    <s v="1101-03"/>
    <n v="0"/>
    <n v="234660"/>
    <s v="Pago f 310149 buk spa"/>
    <n v="-234660"/>
    <s v="Activo"/>
    <n v="-234660"/>
    <x v="1"/>
  </r>
  <r>
    <n v="2026"/>
    <n v="6"/>
    <s v="11-06-2026"/>
    <n v="8049"/>
    <s v="1101-03"/>
    <n v="0"/>
    <n v="265908"/>
    <s v="Pago f 10672 central sistemas spa"/>
    <n v="-265908"/>
    <s v="Activo"/>
    <n v="-265908"/>
    <x v="1"/>
  </r>
  <r>
    <n v="2026"/>
    <n v="6"/>
    <s v="11-06-2026"/>
    <n v="8050"/>
    <s v="1101-03"/>
    <n v="0"/>
    <n v="3248457"/>
    <s v="Pago f 38528 tac communications s.a."/>
    <n v="-3248457"/>
    <s v="Activo"/>
    <n v="-3248457"/>
    <x v="1"/>
  </r>
  <r>
    <n v="2026"/>
    <n v="6"/>
    <s v="11-06-2026"/>
    <n v="8051"/>
    <s v="1101-03"/>
    <n v="0"/>
    <n v="90000"/>
    <s v="Pago bh 123 patrick adolfo lopez nunez"/>
    <n v="-90000"/>
    <s v="Activo"/>
    <n v="-90000"/>
    <x v="1"/>
  </r>
  <r>
    <n v="2026"/>
    <n v="6"/>
    <s v="11-06-2026"/>
    <n v="8052"/>
    <s v="1101-03"/>
    <n v="0"/>
    <n v="190000"/>
    <s v="Pago f 3 echoframe spa"/>
    <n v="-190000"/>
    <s v="Activo"/>
    <n v="-190000"/>
    <x v="1"/>
  </r>
  <r>
    <n v="2026"/>
    <n v="6"/>
    <s v="11-06-2026"/>
    <n v="8053"/>
    <s v="1101-03"/>
    <n v="0"/>
    <n v="600000"/>
    <s v="Pago bh 125 patrick adolfo lopez nunez"/>
    <n v="-600000"/>
    <s v="Activo"/>
    <n v="-600000"/>
    <x v="1"/>
  </r>
  <r>
    <n v="2026"/>
    <n v="6"/>
    <s v="11-06-2026"/>
    <n v="12590"/>
    <s v="1101-03"/>
    <n v="110638"/>
    <n v="0"/>
    <s v="0761872877 transf. khipu spa"/>
    <n v="110638"/>
    <s v="Activo"/>
    <n v="110638"/>
    <x v="1"/>
  </r>
  <r>
    <n v="2026"/>
    <n v="6"/>
    <s v="11-06-2026"/>
    <n v="12591"/>
    <s v="1101-03"/>
    <n v="3902594"/>
    <n v="0"/>
    <s v="0966893109 abn crd db tran transbank s"/>
    <n v="3902594"/>
    <s v="Activo"/>
    <n v="3902594"/>
    <x v="1"/>
  </r>
  <r>
    <n v="2026"/>
    <n v="6"/>
    <s v="11-06-2026"/>
    <n v="12592"/>
    <s v="1101-03"/>
    <n v="2790"/>
    <n v="0"/>
    <s v="013473812k transf. patricio daniel diazvaldes escobar"/>
    <n v="2790"/>
    <s v="Activo"/>
    <n v="2790"/>
    <x v="1"/>
  </r>
  <r>
    <n v="2026"/>
    <n v="6"/>
    <s v="11-06-2026"/>
    <n v="12609"/>
    <s v="1101-03"/>
    <n v="1425056"/>
    <n v="0"/>
    <s v="Ingreso por venta de divisas"/>
    <n v="1425056"/>
    <s v="Activo"/>
    <n v="1425056"/>
    <x v="1"/>
  </r>
  <r>
    <n v="2026"/>
    <n v="6"/>
    <s v="11-06-2026"/>
    <n v="10829"/>
    <s v="1101-03"/>
    <n v="4424800"/>
    <n v="0"/>
    <s v="Traspaso entre cuentas"/>
    <n v="4424800"/>
    <s v="Activo"/>
    <n v="4424800"/>
    <x v="1"/>
  </r>
  <r>
    <n v="2026"/>
    <n v="6"/>
    <s v="11-06-2026"/>
    <n v="10830"/>
    <s v="1101-03"/>
    <n v="5000000"/>
    <n v="0"/>
    <s v="Traspaso entre cuentas"/>
    <n v="5000000"/>
    <s v="Activo"/>
    <n v="5000000"/>
    <x v="1"/>
  </r>
  <r>
    <n v="2026"/>
    <n v="6"/>
    <s v="11-06-2026"/>
    <n v="10831"/>
    <s v="1101-03"/>
    <n v="2499000"/>
    <n v="0"/>
    <s v="Traspaso entre cuentas"/>
    <n v="2499000"/>
    <s v="Activo"/>
    <n v="2499000"/>
    <x v="1"/>
  </r>
  <r>
    <n v="2026"/>
    <n v="6"/>
    <s v="12-06-2026"/>
    <n v="7937"/>
    <s v="1101-03"/>
    <n v="0"/>
    <n v="500000"/>
    <s v="Muevo copec empresas fact 32108767"/>
    <n v="-500000"/>
    <s v="Activo"/>
    <n v="-500000"/>
    <x v="1"/>
  </r>
  <r>
    <n v="2026"/>
    <n v="6"/>
    <s v="12-06-2026"/>
    <n v="7979"/>
    <s v="1101-03"/>
    <n v="0"/>
    <n v="5980388"/>
    <s v="Pago en linea previred"/>
    <n v="-5980388"/>
    <s v="Activo"/>
    <n v="-5980388"/>
    <x v="1"/>
  </r>
  <r>
    <n v="2026"/>
    <n v="6"/>
    <s v="12-06-2026"/>
    <n v="7979"/>
    <s v="1101-03"/>
    <n v="0"/>
    <n v="7775585"/>
    <s v="Pago en linea previred"/>
    <n v="-7775585"/>
    <s v="Activo"/>
    <n v="-7775585"/>
    <x v="1"/>
  </r>
  <r>
    <n v="2026"/>
    <n v="6"/>
    <s v="12-06-2026"/>
    <n v="7979"/>
    <s v="1101-03"/>
    <n v="0"/>
    <n v="3122501"/>
    <s v="Pago en linea previred"/>
    <n v="-3122501"/>
    <s v="Activo"/>
    <n v="-3122501"/>
    <x v="1"/>
  </r>
  <r>
    <n v="2026"/>
    <n v="6"/>
    <s v="12-06-2026"/>
    <n v="8026"/>
    <s v="1101-03"/>
    <n v="0"/>
    <n v="200000"/>
    <s v="0765406986 transf a t-link spa"/>
    <n v="-200000"/>
    <s v="Activo"/>
    <n v="-200000"/>
    <x v="1"/>
  </r>
  <r>
    <n v="2026"/>
    <n v="6"/>
    <s v="12-06-2026"/>
    <n v="8027"/>
    <s v="1101-03"/>
    <n v="0"/>
    <n v="5000000"/>
    <s v="Pago f 38891 tac communications s.a."/>
    <n v="-5000000"/>
    <s v="Activo"/>
    <n v="-5000000"/>
    <x v="1"/>
  </r>
  <r>
    <n v="2026"/>
    <n v="6"/>
    <s v="12-06-2026"/>
    <n v="8028"/>
    <s v="1101-03"/>
    <n v="0"/>
    <n v="4424800"/>
    <s v="Pago f 38891 tac communications s.a."/>
    <n v="-4424800"/>
    <s v="Activo"/>
    <n v="-4424800"/>
    <x v="1"/>
  </r>
  <r>
    <n v="2026"/>
    <n v="6"/>
    <s v="12-06-2026"/>
    <n v="8029"/>
    <s v="1101-03"/>
    <n v="0"/>
    <n v="250000"/>
    <s v="Pago bh 92 abraham issaac garate gonzalez"/>
    <n v="-250000"/>
    <s v="Activo"/>
    <n v="-250000"/>
    <x v="1"/>
  </r>
  <r>
    <n v="2026"/>
    <n v="6"/>
    <s v="12-06-2026"/>
    <n v="8030"/>
    <s v="1101-03"/>
    <n v="0"/>
    <n v="77350"/>
    <s v="Pago f 79 servicio tecnico a domicilio muza spa"/>
    <n v="-77350"/>
    <s v="Activo"/>
    <n v="-77350"/>
    <x v="1"/>
  </r>
  <r>
    <n v="2026"/>
    <n v="6"/>
    <s v="12-06-2026"/>
    <n v="8031"/>
    <s v="1101-03"/>
    <n v="0"/>
    <n v="175000"/>
    <s v="Pago bh 104 german stalyn llerena juarez"/>
    <n v="-175000"/>
    <s v="Activo"/>
    <n v="-175000"/>
    <x v="1"/>
  </r>
  <r>
    <n v="2026"/>
    <n v="6"/>
    <s v="12-06-2026"/>
    <n v="8032"/>
    <s v="1101-03"/>
    <n v="0"/>
    <n v="2499000"/>
    <s v="Pago f 38892 transworld power telcom spa"/>
    <n v="-2499000"/>
    <s v="Activo"/>
    <n v="-2499000"/>
    <x v="1"/>
  </r>
  <r>
    <n v="2026"/>
    <n v="6"/>
    <s v="12-06-2026"/>
    <n v="12589"/>
    <s v="1101-03"/>
    <n v="1124899"/>
    <n v="0"/>
    <s v="0966893109 abn crd db tran transbank s"/>
    <n v="1124899"/>
    <s v="Activo"/>
    <n v="1124899"/>
    <x v="1"/>
  </r>
  <r>
    <n v="2026"/>
    <n v="6"/>
    <s v="12-06-2026"/>
    <n v="10827"/>
    <s v="1101-03"/>
    <n v="1000000"/>
    <n v="0"/>
    <s v="Traspaso entre cuentas"/>
    <n v="1000000"/>
    <s v="Activo"/>
    <n v="1000000"/>
    <x v="1"/>
  </r>
  <r>
    <n v="2026"/>
    <n v="6"/>
    <s v="12-06-2026"/>
    <n v="10828"/>
    <s v="1101-03"/>
    <n v="5000000"/>
    <n v="0"/>
    <s v="Traspaso entre cuentas"/>
    <n v="5000000"/>
    <s v="Activo"/>
    <n v="5000000"/>
    <x v="1"/>
  </r>
  <r>
    <n v="2026"/>
    <n v="6"/>
    <s v="15-06-2026"/>
    <n v="7934"/>
    <s v="1101-03"/>
    <n v="0"/>
    <n v="500000"/>
    <s v="Muevo copec empresas fact 32108767"/>
    <n v="-500000"/>
    <s v="Activo"/>
    <n v="-500000"/>
    <x v="1"/>
  </r>
  <r>
    <n v="2026"/>
    <n v="6"/>
    <s v="15-06-2026"/>
    <n v="7935"/>
    <s v="1101-03"/>
    <n v="0"/>
    <n v="9160"/>
    <s v="Compra colacion"/>
    <n v="-9160"/>
    <s v="Activo"/>
    <n v="-9160"/>
    <x v="1"/>
  </r>
  <r>
    <n v="2026"/>
    <n v="6"/>
    <s v="15-06-2026"/>
    <n v="7936"/>
    <s v="1101-03"/>
    <n v="0"/>
    <n v="113801"/>
    <s v="Anticipo edgard bernardo godoy lavín"/>
    <n v="-113801"/>
    <s v="Activo"/>
    <n v="-113801"/>
    <x v="1"/>
  </r>
  <r>
    <n v="2026"/>
    <n v="6"/>
    <s v="15-06-2026"/>
    <n v="8023"/>
    <s v="1101-03"/>
    <n v="0"/>
    <n v="1498928"/>
    <s v="Pago f 79 sociedad de inversiones straubing s.a."/>
    <n v="-1498928"/>
    <s v="Activo"/>
    <n v="-1498928"/>
    <x v="1"/>
  </r>
  <r>
    <n v="2026"/>
    <n v="6"/>
    <s v="15-06-2026"/>
    <n v="8024"/>
    <s v="1101-03"/>
    <n v="0"/>
    <n v="2082500"/>
    <s v="Pago f 39128 tac communications s.a."/>
    <n v="-2082500"/>
    <s v="Activo"/>
    <n v="-2082500"/>
    <x v="1"/>
  </r>
  <r>
    <n v="2026"/>
    <n v="6"/>
    <s v="15-06-2026"/>
    <n v="8025"/>
    <s v="1101-03"/>
    <n v="0"/>
    <n v="3825167"/>
    <s v="Pago f 294 asociacion gremial de pequenos proveedores de internet y television"/>
    <n v="-3825167"/>
    <s v="Activo"/>
    <n v="-3825167"/>
    <x v="1"/>
  </r>
  <r>
    <n v="2026"/>
    <n v="6"/>
    <s v="15-06-2026"/>
    <n v="12587"/>
    <s v="1101-03"/>
    <n v="14812"/>
    <n v="0"/>
    <s v="0761872877 transf. khipu spa"/>
    <n v="14812"/>
    <s v="Activo"/>
    <n v="14812"/>
    <x v="1"/>
  </r>
  <r>
    <n v="2026"/>
    <n v="6"/>
    <s v="15-06-2026"/>
    <n v="12588"/>
    <s v="1101-03"/>
    <n v="1054607"/>
    <n v="0"/>
    <s v="0966893109 abn crd db tran transbank s"/>
    <n v="1054607"/>
    <s v="Activo"/>
    <n v="1054607"/>
    <x v="1"/>
  </r>
  <r>
    <n v="2026"/>
    <n v="6"/>
    <s v="16-06-2026"/>
    <n v="7933"/>
    <s v="1101-03"/>
    <n v="0"/>
    <n v="76142"/>
    <s v="Colaciones"/>
    <n v="-76142"/>
    <s v="Activo"/>
    <n v="-76142"/>
    <x v="1"/>
  </r>
  <r>
    <n v="2026"/>
    <n v="6"/>
    <s v="16-06-2026"/>
    <n v="12586"/>
    <s v="1101-03"/>
    <n v="1572537"/>
    <n v="0"/>
    <s v="0966893109 abn crd db tran transbank s"/>
    <n v="1572537"/>
    <s v="Activo"/>
    <n v="1572537"/>
    <x v="1"/>
  </r>
  <r>
    <n v="2026"/>
    <n v="6"/>
    <s v="17-06-2026"/>
    <n v="7930"/>
    <s v="1101-03"/>
    <n v="0"/>
    <n v="500000"/>
    <s v="Muevo copec empresas fact 32108767"/>
    <n v="-500000"/>
    <s v="Activo"/>
    <n v="-500000"/>
    <x v="1"/>
  </r>
  <r>
    <n v="2026"/>
    <n v="6"/>
    <s v="17-06-2026"/>
    <n v="7931"/>
    <s v="1101-03"/>
    <n v="0"/>
    <n v="1443419"/>
    <s v="0774344497 transf a botsch spa"/>
    <n v="-1443419"/>
    <s v="Activo"/>
    <n v="-1443419"/>
    <x v="1"/>
  </r>
  <r>
    <n v="2026"/>
    <n v="6"/>
    <s v="17-06-2026"/>
    <n v="7932"/>
    <s v="1101-03"/>
    <n v="0"/>
    <n v="70000"/>
    <s v="Compra copec asistido"/>
    <n v="-70000"/>
    <s v="Activo"/>
    <n v="-70000"/>
    <x v="1"/>
  </r>
  <r>
    <n v="2026"/>
    <n v="6"/>
    <s v="17-06-2026"/>
    <n v="8020"/>
    <s v="1101-03"/>
    <n v="0"/>
    <n v="344206"/>
    <s v="Pago f 77960 powerhost telecom spa"/>
    <n v="-344206"/>
    <s v="Activo"/>
    <n v="-344206"/>
    <x v="1"/>
  </r>
  <r>
    <n v="2026"/>
    <n v="6"/>
    <s v="17-06-2026"/>
    <n v="8021"/>
    <s v="1101-03"/>
    <n v="0"/>
    <n v="141610"/>
    <s v="Pago f 3710 m m impresores limitada"/>
    <n v="-141610"/>
    <s v="Activo"/>
    <n v="-141610"/>
    <x v="1"/>
  </r>
  <r>
    <n v="2026"/>
    <n v="6"/>
    <s v="17-06-2026"/>
    <n v="8022"/>
    <s v="1101-03"/>
    <n v="0"/>
    <n v="28500"/>
    <s v="Pago f 3737981 soc. comerc. de repuestos s.p.a."/>
    <n v="-28500"/>
    <s v="Activo"/>
    <n v="-28500"/>
    <x v="1"/>
  </r>
  <r>
    <n v="2026"/>
    <n v="6"/>
    <s v="17-06-2026"/>
    <n v="12584"/>
    <s v="1101-03"/>
    <n v="475150"/>
    <n v="0"/>
    <s v="0761872877 transf. khipu spa"/>
    <n v="475150"/>
    <s v="Activo"/>
    <n v="475150"/>
    <x v="1"/>
  </r>
  <r>
    <n v="2026"/>
    <n v="6"/>
    <s v="17-06-2026"/>
    <n v="12585"/>
    <s v="1101-03"/>
    <n v="1670586"/>
    <n v="0"/>
    <s v="0966893109 abn crd db tran transbank s"/>
    <n v="1670586"/>
    <s v="Activo"/>
    <n v="1670586"/>
    <x v="1"/>
  </r>
  <r>
    <n v="2026"/>
    <n v="6"/>
    <s v="17-06-2026"/>
    <n v="10826"/>
    <s v="1101-03"/>
    <n v="2798931"/>
    <n v="0"/>
    <s v="Traspaso entre cuentas"/>
    <n v="2798931"/>
    <s v="Activo"/>
    <n v="2798931"/>
    <x v="1"/>
  </r>
  <r>
    <n v="2026"/>
    <n v="6"/>
    <s v="18-06-2026"/>
    <n v="7926"/>
    <s v="1101-03"/>
    <n v="0"/>
    <n v="210"/>
    <s v="Estacionamiento tuu amisca spa"/>
    <n v="-210"/>
    <s v="Activo"/>
    <n v="-210"/>
    <x v="1"/>
  </r>
  <r>
    <n v="2026"/>
    <n v="6"/>
    <s v="18-06-2026"/>
    <n v="7927"/>
    <s v="1101-03"/>
    <n v="0"/>
    <n v="6628873"/>
    <s v="Finiquitos junio 2026"/>
    <n v="-6628873"/>
    <s v="Activo"/>
    <n v="-6628873"/>
    <x v="1"/>
  </r>
  <r>
    <n v="2026"/>
    <n v="6"/>
    <s v="18-06-2026"/>
    <n v="7928"/>
    <s v="1101-03"/>
    <n v="0"/>
    <n v="1050"/>
    <s v="Estacionamiento"/>
    <n v="-1050"/>
    <s v="Activo"/>
    <n v="-1050"/>
    <x v="1"/>
  </r>
  <r>
    <n v="2026"/>
    <n v="6"/>
    <s v="18-06-2026"/>
    <n v="7929"/>
    <s v="1101-03"/>
    <n v="0"/>
    <n v="5000"/>
    <s v="Notaria puga firma finiquito"/>
    <n v="-5000"/>
    <s v="Activo"/>
    <n v="-5000"/>
    <x v="1"/>
  </r>
  <r>
    <n v="2026"/>
    <n v="6"/>
    <s v="18-06-2026"/>
    <n v="12582"/>
    <s v="1101-03"/>
    <n v="110619"/>
    <n v="0"/>
    <s v="0761872877 transf. khipu spa"/>
    <n v="110619"/>
    <s v="Activo"/>
    <n v="110619"/>
    <x v="1"/>
  </r>
  <r>
    <n v="2026"/>
    <n v="6"/>
    <s v="18-06-2026"/>
    <n v="12583"/>
    <s v="1101-03"/>
    <n v="2541541"/>
    <n v="0"/>
    <s v="0966893109 abn crd db tran transbank s"/>
    <n v="2541541"/>
    <s v="Activo"/>
    <n v="2541541"/>
    <x v="1"/>
  </r>
  <r>
    <n v="2026"/>
    <n v="6"/>
    <s v="18-06-2026"/>
    <n v="10822"/>
    <s v="1101-03"/>
    <n v="4901382"/>
    <n v="0"/>
    <s v="Traspaso entre cuentas"/>
    <n v="4901382"/>
    <s v="Activo"/>
    <n v="4901382"/>
    <x v="1"/>
  </r>
  <r>
    <n v="2026"/>
    <n v="6"/>
    <s v="18-06-2026"/>
    <n v="10823"/>
    <s v="1101-03"/>
    <n v="1873536"/>
    <n v="0"/>
    <s v="Traspaso entre cuentas"/>
    <n v="1873536"/>
    <s v="Activo"/>
    <n v="1873536"/>
    <x v="1"/>
  </r>
  <r>
    <n v="2026"/>
    <n v="6"/>
    <s v="18-06-2026"/>
    <n v="10824"/>
    <s v="1101-03"/>
    <n v="1628873"/>
    <n v="0"/>
    <s v="Traspaso entre cuentas"/>
    <n v="1628873"/>
    <s v="Activo"/>
    <n v="1628873"/>
    <x v="1"/>
  </r>
  <r>
    <n v="2026"/>
    <n v="6"/>
    <s v="18-06-2026"/>
    <n v="10825"/>
    <s v="1101-03"/>
    <n v="5000000"/>
    <n v="0"/>
    <s v="Traspaso entre cuentas"/>
    <n v="5000000"/>
    <s v="Activo"/>
    <n v="5000000"/>
    <x v="1"/>
  </r>
  <r>
    <n v="2026"/>
    <n v="6"/>
    <s v="19-06-2026"/>
    <n v="7925"/>
    <s v="1101-03"/>
    <n v="0"/>
    <n v="500000"/>
    <s v="Muevo copec empresas fact 32108767"/>
    <n v="-500000"/>
    <s v="Activo"/>
    <n v="-500000"/>
    <x v="1"/>
  </r>
  <r>
    <n v="2026"/>
    <n v="6"/>
    <s v="19-06-2026"/>
    <n v="8017"/>
    <s v="1101-03"/>
    <n v="0"/>
    <n v="4901382"/>
    <s v="Pago f 59659 compañia de telecomunicaciones sistek sp"/>
    <n v="-4901382"/>
    <s v="Activo"/>
    <n v="-4901382"/>
    <x v="1"/>
  </r>
  <r>
    <n v="2026"/>
    <n v="6"/>
    <s v="19-06-2026"/>
    <n v="8018"/>
    <s v="1101-03"/>
    <n v="0"/>
    <n v="1873536"/>
    <s v="Pago f 421077 tecnologia lk spa"/>
    <n v="-1873536"/>
    <s v="Activo"/>
    <n v="-1873536"/>
    <x v="1"/>
  </r>
  <r>
    <n v="2026"/>
    <n v="6"/>
    <s v="19-06-2026"/>
    <n v="8019"/>
    <s v="1101-03"/>
    <n v="0"/>
    <n v="3415467"/>
    <s v="Pago f 58794 compañia de telecomunicaciones sistek sp"/>
    <n v="-3415467"/>
    <s v="Activo"/>
    <n v="-3415467"/>
    <x v="1"/>
  </r>
  <r>
    <n v="2026"/>
    <n v="6"/>
    <s v="19-06-2026"/>
    <n v="12580"/>
    <s v="1101-03"/>
    <n v="229182"/>
    <n v="0"/>
    <s v="0761872877 transf. khipu spa"/>
    <n v="229182"/>
    <s v="Activo"/>
    <n v="229182"/>
    <x v="1"/>
  </r>
  <r>
    <n v="2026"/>
    <n v="6"/>
    <s v="19-06-2026"/>
    <n v="12581"/>
    <s v="1101-03"/>
    <n v="5003172"/>
    <n v="0"/>
    <s v="0966893109 abn crd db tran transbank s"/>
    <n v="5003172"/>
    <s v="Activo"/>
    <n v="5003172"/>
    <x v="1"/>
  </r>
  <r>
    <n v="2026"/>
    <n v="6"/>
    <s v="19-06-2026"/>
    <n v="10816"/>
    <s v="1101-03"/>
    <n v="5000000"/>
    <n v="0"/>
    <s v="Traspaso entre cuentas"/>
    <n v="5000000"/>
    <s v="Activo"/>
    <n v="5000000"/>
    <x v="1"/>
  </r>
  <r>
    <n v="2026"/>
    <n v="6"/>
    <s v="19-06-2026"/>
    <n v="10817"/>
    <s v="1101-03"/>
    <n v="5000000"/>
    <n v="0"/>
    <s v="Traspaso entre cuentas"/>
    <n v="5000000"/>
    <s v="Activo"/>
    <n v="5000000"/>
    <x v="1"/>
  </r>
  <r>
    <n v="2026"/>
    <n v="6"/>
    <s v="19-06-2026"/>
    <n v="10818"/>
    <s v="1101-03"/>
    <n v="2000000"/>
    <n v="0"/>
    <s v="Traspaso entre cuentas"/>
    <n v="2000000"/>
    <s v="Activo"/>
    <n v="2000000"/>
    <x v="1"/>
  </r>
  <r>
    <n v="2026"/>
    <n v="6"/>
    <s v="19-06-2026"/>
    <n v="10819"/>
    <s v="1101-03"/>
    <n v="5000000"/>
    <n v="0"/>
    <s v="Traspaso entre cuentas"/>
    <n v="5000000"/>
    <s v="Activo"/>
    <n v="5000000"/>
    <x v="1"/>
  </r>
  <r>
    <n v="2026"/>
    <n v="6"/>
    <s v="19-06-2026"/>
    <n v="10820"/>
    <s v="1101-03"/>
    <n v="3000000"/>
    <n v="0"/>
    <s v="Traspaso entre cuentas"/>
    <n v="3000000"/>
    <s v="Activo"/>
    <n v="3000000"/>
    <x v="1"/>
  </r>
  <r>
    <n v="2026"/>
    <n v="6"/>
    <s v="19-06-2026"/>
    <n v="10821"/>
    <s v="1101-03"/>
    <n v="3415467"/>
    <n v="0"/>
    <s v="Traspaso entre cuentas"/>
    <n v="3415467"/>
    <s v="Activo"/>
    <n v="3415467"/>
    <x v="1"/>
  </r>
  <r>
    <n v="2026"/>
    <n v="6"/>
    <s v="22-06-2026"/>
    <n v="7922"/>
    <s v="1101-03"/>
    <n v="0"/>
    <n v="120000"/>
    <s v="0189610955 transf a soledad del carmen maldonado zuniga"/>
    <n v="-120000"/>
    <s v="Activo"/>
    <n v="-120000"/>
    <x v="1"/>
  </r>
  <r>
    <n v="2026"/>
    <n v="6"/>
    <s v="22-06-2026"/>
    <n v="7923"/>
    <s v="1101-03"/>
    <n v="0"/>
    <n v="1000000"/>
    <s v="0774344497 transf a botsch spa"/>
    <n v="-1000000"/>
    <s v="Activo"/>
    <n v="-1000000"/>
    <x v="1"/>
  </r>
  <r>
    <n v="2026"/>
    <n v="6"/>
    <s v="22-06-2026"/>
    <n v="7924"/>
    <s v="1101-03"/>
    <n v="0"/>
    <n v="30881218"/>
    <s v="Pago f-29 mayo"/>
    <n v="-30881218"/>
    <s v="Activo"/>
    <n v="-30881218"/>
    <x v="1"/>
  </r>
  <r>
    <n v="2026"/>
    <n v="6"/>
    <s v="22-06-2026"/>
    <n v="8016"/>
    <s v="1101-03"/>
    <n v="0"/>
    <n v="95486"/>
    <s v="Pago f 2606 sociedad emisora de tarjetas los héroes s.a"/>
    <n v="-95486"/>
    <s v="Activo"/>
    <n v="-95486"/>
    <x v="1"/>
  </r>
  <r>
    <n v="2026"/>
    <n v="6"/>
    <s v="22-06-2026"/>
    <n v="12578"/>
    <s v="1101-03"/>
    <n v="523673"/>
    <n v="0"/>
    <s v="0761872877 transf. khipu spa"/>
    <n v="523673"/>
    <s v="Activo"/>
    <n v="523673"/>
    <x v="1"/>
  </r>
  <r>
    <n v="2026"/>
    <n v="6"/>
    <s v="22-06-2026"/>
    <n v="12579"/>
    <s v="1101-03"/>
    <n v="3859299"/>
    <n v="0"/>
    <s v="0966893109 abn crd db tran transbank s"/>
    <n v="3859299"/>
    <s v="Activo"/>
    <n v="3859299"/>
    <x v="1"/>
  </r>
  <r>
    <n v="2026"/>
    <n v="6"/>
    <s v="23-06-2026"/>
    <n v="7905"/>
    <s v="1101-03"/>
    <n v="0"/>
    <n v="4874325"/>
    <s v="Pago cuota crédito n 420050694789"/>
    <n v="-4874325"/>
    <s v="Activo"/>
    <n v="-4874325"/>
    <x v="1"/>
  </r>
  <r>
    <n v="2026"/>
    <n v="6"/>
    <s v="23-06-2026"/>
    <n v="7919"/>
    <s v="1101-03"/>
    <n v="0"/>
    <n v="500000"/>
    <s v="0995200007 transf a muevo copec empresas"/>
    <n v="-500000"/>
    <s v="Activo"/>
    <n v="-500000"/>
    <x v="1"/>
  </r>
  <r>
    <n v="2026"/>
    <n v="6"/>
    <s v="23-06-2026"/>
    <n v="7920"/>
    <s v="1101-03"/>
    <n v="0"/>
    <n v="168151"/>
    <s v="0052555582 transf a ayala farias jorge"/>
    <n v="-168151"/>
    <s v="Activo"/>
    <n v="-168151"/>
    <x v="1"/>
  </r>
  <r>
    <n v="2026"/>
    <n v="6"/>
    <s v="23-06-2026"/>
    <n v="7921"/>
    <s v="1101-03"/>
    <n v="0"/>
    <n v="14990"/>
    <s v="0172535054 transf a espinoza caceres st"/>
    <n v="-14990"/>
    <s v="Activo"/>
    <n v="-14990"/>
    <x v="1"/>
  </r>
  <r>
    <n v="2026"/>
    <n v="6"/>
    <s v="23-06-2026"/>
    <n v="8011"/>
    <s v="1101-03"/>
    <n v="0"/>
    <n v="771120"/>
    <s v="Pago f 253 sfplus spa"/>
    <n v="-771120"/>
    <s v="Activo"/>
    <n v="-771120"/>
    <x v="1"/>
  </r>
  <r>
    <n v="2026"/>
    <n v="6"/>
    <s v="23-06-2026"/>
    <n v="8012"/>
    <s v="1101-03"/>
    <n v="0"/>
    <n v="429245"/>
    <s v="Pago f 39157 tac communications s.a."/>
    <n v="-429245"/>
    <s v="Activo"/>
    <n v="-429245"/>
    <x v="1"/>
  </r>
  <r>
    <n v="2026"/>
    <n v="6"/>
    <s v="23-06-2026"/>
    <n v="8013"/>
    <s v="1101-03"/>
    <n v="0"/>
    <n v="975149"/>
    <s v="Pago f 38596 tac communications s.a."/>
    <n v="-975149"/>
    <s v="Activo"/>
    <n v="-975149"/>
    <x v="1"/>
  </r>
  <r>
    <n v="2026"/>
    <n v="6"/>
    <s v="23-06-2026"/>
    <n v="8014"/>
    <s v="1101-03"/>
    <n v="0"/>
    <n v="178500"/>
    <s v="Pago f 39128 tac communications s.a."/>
    <n v="-178500"/>
    <s v="Activo"/>
    <n v="-178500"/>
    <x v="1"/>
  </r>
  <r>
    <n v="2026"/>
    <n v="6"/>
    <s v="23-06-2026"/>
    <n v="8015"/>
    <s v="1101-03"/>
    <n v="0"/>
    <n v="546924"/>
    <s v="Pago f 8137 hyl telecom ltda."/>
    <n v="-546924"/>
    <s v="Activo"/>
    <n v="-546924"/>
    <x v="1"/>
  </r>
  <r>
    <n v="2026"/>
    <n v="6"/>
    <s v="23-06-2026"/>
    <n v="12576"/>
    <s v="1101-03"/>
    <n v="128375"/>
    <n v="0"/>
    <s v="0761872877 transf. khipu spa"/>
    <n v="128375"/>
    <s v="Activo"/>
    <n v="128375"/>
    <x v="1"/>
  </r>
  <r>
    <n v="2026"/>
    <n v="6"/>
    <s v="23-06-2026"/>
    <n v="12577"/>
    <s v="1101-03"/>
    <n v="3038993"/>
    <n v="0"/>
    <s v="0966893109 abn crd db tran transbank s"/>
    <n v="3038993"/>
    <s v="Activo"/>
    <n v="3038993"/>
    <x v="1"/>
  </r>
  <r>
    <n v="2026"/>
    <n v="6"/>
    <s v="23-06-2026"/>
    <n v="10814"/>
    <s v="1101-03"/>
    <n v="2908318"/>
    <n v="0"/>
    <s v="Traspaso entre cuentas"/>
    <n v="2908318"/>
    <s v="Activo"/>
    <n v="2908318"/>
    <x v="1"/>
  </r>
  <r>
    <n v="2026"/>
    <n v="6"/>
    <s v="23-06-2026"/>
    <n v="10815"/>
    <s v="1101-03"/>
    <n v="3000000"/>
    <n v="0"/>
    <s v="Traspaso entre cuentas"/>
    <n v="3000000"/>
    <s v="Activo"/>
    <n v="3000000"/>
    <x v="1"/>
  </r>
  <r>
    <n v="2026"/>
    <n v="6"/>
    <s v="24-06-2026"/>
    <n v="7915"/>
    <s v="1101-03"/>
    <n v="0"/>
    <n v="6600"/>
    <s v="Colacion proyecto chillan"/>
    <n v="-6600"/>
    <s v="Activo"/>
    <n v="-6600"/>
    <x v="1"/>
  </r>
  <r>
    <n v="2026"/>
    <n v="6"/>
    <s v="24-06-2026"/>
    <n v="7916"/>
    <s v="1101-03"/>
    <n v="0"/>
    <n v="3100"/>
    <s v="Compra saba arauco chill"/>
    <n v="-3100"/>
    <s v="Activo"/>
    <n v="-3100"/>
    <x v="1"/>
  </r>
  <r>
    <n v="2026"/>
    <n v="6"/>
    <s v="24-06-2026"/>
    <n v="7917"/>
    <s v="1101-03"/>
    <n v="0"/>
    <n v="300000"/>
    <s v="0122365484 transf a braulio lopez"/>
    <n v="-300000"/>
    <s v="Activo"/>
    <n v="-300000"/>
    <x v="1"/>
  </r>
  <r>
    <n v="2026"/>
    <n v="6"/>
    <s v="24-06-2026"/>
    <n v="7918"/>
    <s v="1101-03"/>
    <n v="0"/>
    <n v="400000"/>
    <s v="Anticipo jaime orlando ñanculef pacheco"/>
    <n v="-400000"/>
    <s v="Activo"/>
    <n v="-400000"/>
    <x v="1"/>
  </r>
  <r>
    <n v="2026"/>
    <n v="6"/>
    <s v="24-06-2026"/>
    <n v="7980"/>
    <s v="1101-03"/>
    <n v="0"/>
    <n v="150000"/>
    <s v="0765406986 transf a t-link spa"/>
    <n v="-150000"/>
    <s v="Activo"/>
    <n v="-150000"/>
    <x v="1"/>
  </r>
  <r>
    <n v="2026"/>
    <n v="6"/>
    <s v="24-06-2026"/>
    <n v="7997"/>
    <s v="1101-03"/>
    <n v="0"/>
    <n v="1673752"/>
    <s v="Pago f 2675 solution box chile spa"/>
    <n v="-1673752"/>
    <s v="Activo"/>
    <n v="-1673752"/>
    <x v="1"/>
  </r>
  <r>
    <n v="2026"/>
    <n v="6"/>
    <s v="24-06-2026"/>
    <n v="7998"/>
    <s v="1101-03"/>
    <n v="0"/>
    <n v="119272"/>
    <s v="Pago en linea servipag"/>
    <n v="-119272"/>
    <s v="Activo"/>
    <n v="-119272"/>
    <x v="1"/>
  </r>
  <r>
    <n v="2026"/>
    <n v="6"/>
    <s v="24-06-2026"/>
    <n v="7999"/>
    <s v="1101-03"/>
    <n v="0"/>
    <n v="300000"/>
    <s v="Pago f 221 sociedad de profesionales sc limitada"/>
    <n v="-300000"/>
    <s v="Activo"/>
    <n v="-300000"/>
    <x v="1"/>
  </r>
  <r>
    <n v="2026"/>
    <n v="6"/>
    <s v="24-06-2026"/>
    <n v="8000"/>
    <s v="1101-03"/>
    <n v="0"/>
    <n v="35000"/>
    <s v="Pago f 61106-61111 voissnet cloud services s.p.a."/>
    <n v="-35000"/>
    <s v="Activo"/>
    <n v="-35000"/>
    <x v="1"/>
  </r>
  <r>
    <n v="2026"/>
    <n v="6"/>
    <s v="24-06-2026"/>
    <n v="8001"/>
    <s v="1101-03"/>
    <n v="0"/>
    <n v="150000"/>
    <s v="Pago f 61111 voissnet cloud services s.p.a."/>
    <n v="-150000"/>
    <s v="Activo"/>
    <n v="-150000"/>
    <x v="1"/>
  </r>
  <r>
    <n v="2026"/>
    <n v="6"/>
    <s v="24-06-2026"/>
    <n v="8002"/>
    <s v="1101-03"/>
    <n v="0"/>
    <n v="14000"/>
    <s v="Pago f 61106 61105 voissnet cloud services s.p.a."/>
    <n v="-14000"/>
    <s v="Activo"/>
    <n v="-14000"/>
    <x v="1"/>
  </r>
  <r>
    <n v="2026"/>
    <n v="6"/>
    <s v="24-06-2026"/>
    <n v="8003"/>
    <s v="1101-03"/>
    <n v="0"/>
    <n v="32000"/>
    <s v="Pago f 61104 voissnet cloud services s.p.a."/>
    <n v="-32000"/>
    <s v="Activo"/>
    <n v="-32000"/>
    <x v="1"/>
  </r>
  <r>
    <n v="2026"/>
    <n v="6"/>
    <s v="24-06-2026"/>
    <n v="8004"/>
    <s v="1101-03"/>
    <n v="0"/>
    <n v="10000"/>
    <s v="Pago f 61104 voissnet cloud services s.p.a."/>
    <n v="-10000"/>
    <s v="Activo"/>
    <n v="-10000"/>
    <x v="1"/>
  </r>
  <r>
    <n v="2026"/>
    <n v="6"/>
    <s v="24-06-2026"/>
    <n v="8005"/>
    <s v="1101-03"/>
    <n v="0"/>
    <n v="65000"/>
    <s v="Pago f 61102 voissnet cloud services s.p.a."/>
    <n v="-65000"/>
    <s v="Activo"/>
    <n v="-65000"/>
    <x v="1"/>
  </r>
  <r>
    <n v="2026"/>
    <n v="6"/>
    <s v="24-06-2026"/>
    <n v="8006"/>
    <s v="1101-03"/>
    <n v="0"/>
    <n v="21000"/>
    <s v="Pago f 61105 voissnet cloud services s.p.a."/>
    <n v="-21000"/>
    <s v="Activo"/>
    <n v="-21000"/>
    <x v="1"/>
  </r>
  <r>
    <n v="2026"/>
    <n v="6"/>
    <s v="24-06-2026"/>
    <n v="8007"/>
    <s v="1101-03"/>
    <n v="0"/>
    <n v="20000"/>
    <s v="Pago f 61105 voissnet cloud services s.p.a."/>
    <n v="-20000"/>
    <s v="Activo"/>
    <n v="-20000"/>
    <x v="1"/>
  </r>
  <r>
    <n v="2026"/>
    <n v="6"/>
    <s v="24-06-2026"/>
    <n v="8008"/>
    <s v="1101-03"/>
    <n v="0"/>
    <n v="42000"/>
    <s v="Pago f 61109 voissnet cloud services s.p.a."/>
    <n v="-42000"/>
    <s v="Activo"/>
    <n v="-42000"/>
    <x v="1"/>
  </r>
  <r>
    <n v="2026"/>
    <n v="6"/>
    <s v="24-06-2026"/>
    <n v="8009"/>
    <s v="1101-03"/>
    <n v="0"/>
    <n v="42000"/>
    <s v="Pago f 61099 voissnet cloud services s.p.a."/>
    <n v="-42000"/>
    <s v="Activo"/>
    <n v="-42000"/>
    <x v="1"/>
  </r>
  <r>
    <n v="2026"/>
    <n v="6"/>
    <s v="24-06-2026"/>
    <n v="8010"/>
    <s v="1101-03"/>
    <n v="0"/>
    <n v="1626497"/>
    <s v="Pago f 580 growthpro spa"/>
    <n v="-1626497"/>
    <s v="Activo"/>
    <n v="-1626497"/>
    <x v="1"/>
  </r>
  <r>
    <n v="2026"/>
    <n v="6"/>
    <s v="24-06-2026"/>
    <n v="12574"/>
    <s v="1101-03"/>
    <n v="319119"/>
    <n v="0"/>
    <s v="0761872877 transf. khipu spa"/>
    <n v="319119"/>
    <s v="Activo"/>
    <n v="319119"/>
    <x v="1"/>
  </r>
  <r>
    <n v="2026"/>
    <n v="6"/>
    <s v="24-06-2026"/>
    <n v="12575"/>
    <s v="1101-03"/>
    <n v="2576607"/>
    <n v="0"/>
    <s v="0966893109 abn crd db tran transbank s"/>
    <n v="2576607"/>
    <s v="Activo"/>
    <n v="2576607"/>
    <x v="1"/>
  </r>
  <r>
    <n v="2026"/>
    <n v="6"/>
    <s v="24-06-2026"/>
    <n v="10813"/>
    <s v="1101-03"/>
    <n v="1673752"/>
    <n v="0"/>
    <s v="Traspaso entre cuentas"/>
    <n v="1673752"/>
    <s v="Activo"/>
    <n v="1673752"/>
    <x v="1"/>
  </r>
  <r>
    <n v="2026"/>
    <n v="6"/>
    <s v="25-06-2026"/>
    <n v="7989"/>
    <s v="1101-03"/>
    <n v="0"/>
    <n v="23944"/>
    <s v="Pago f 56338613 15310397"/>
    <n v="-23944"/>
    <s v="Activo"/>
    <n v="-23944"/>
    <x v="1"/>
  </r>
  <r>
    <n v="2026"/>
    <n v="6"/>
    <s v="25-06-2026"/>
    <n v="7990"/>
    <s v="1101-03"/>
    <n v="0"/>
    <n v="120000"/>
    <s v="Pago bh 112 soledad del carmen maldonado z"/>
    <n v="-120000"/>
    <s v="Activo"/>
    <n v="-120000"/>
    <x v="1"/>
  </r>
  <r>
    <n v="2026"/>
    <n v="6"/>
    <s v="25-06-2026"/>
    <n v="7991"/>
    <s v="1101-03"/>
    <n v="0"/>
    <n v="4819500"/>
    <s v="Pago f 37988 tac communications s.a."/>
    <n v="-4819500"/>
    <s v="Activo"/>
    <n v="-4819500"/>
    <x v="1"/>
  </r>
  <r>
    <n v="2026"/>
    <n v="6"/>
    <s v="25-06-2026"/>
    <n v="7992"/>
    <s v="1101-03"/>
    <n v="0"/>
    <n v="210000"/>
    <s v="Pago bh 111 felipe ignacio luengo moreira"/>
    <n v="-210000"/>
    <s v="Activo"/>
    <n v="-210000"/>
    <x v="1"/>
  </r>
  <r>
    <n v="2026"/>
    <n v="6"/>
    <s v="25-06-2026"/>
    <n v="7993"/>
    <s v="1101-03"/>
    <n v="0"/>
    <n v="30000"/>
    <s v="Pago bh 112 camila elizabeth ortiz cruz"/>
    <n v="-30000"/>
    <s v="Activo"/>
    <n v="-30000"/>
    <x v="1"/>
  </r>
  <r>
    <n v="2026"/>
    <n v="6"/>
    <s v="25-06-2026"/>
    <n v="7994"/>
    <s v="1101-03"/>
    <n v="0"/>
    <n v="214664"/>
    <s v="Pago f 70 sergio antonio hoffmann contu"/>
    <n v="-214664"/>
    <s v="Activo"/>
    <n v="-214664"/>
    <x v="1"/>
  </r>
  <r>
    <n v="2026"/>
    <n v="6"/>
    <s v="25-06-2026"/>
    <n v="7995"/>
    <s v="1101-03"/>
    <n v="0"/>
    <n v="1507333"/>
    <s v="Pago f 6676 optictimes spa"/>
    <n v="-1507333"/>
    <s v="Activo"/>
    <n v="-1507333"/>
    <x v="1"/>
  </r>
  <r>
    <n v="2026"/>
    <n v="6"/>
    <s v="25-06-2026"/>
    <n v="7996"/>
    <s v="1101-03"/>
    <n v="0"/>
    <n v="173738"/>
    <s v="Pago f 206942 contempora compania de seguros generales s.a"/>
    <n v="-173738"/>
    <s v="Activo"/>
    <n v="-173738"/>
    <x v="1"/>
  </r>
  <r>
    <n v="2026"/>
    <n v="6"/>
    <s v="25-06-2026"/>
    <n v="12572"/>
    <s v="1101-03"/>
    <n v="343743"/>
    <n v="0"/>
    <s v="0761872877 transf. khipu spa"/>
    <n v="343743"/>
    <s v="Activo"/>
    <n v="343743"/>
    <x v="1"/>
  </r>
  <r>
    <n v="2026"/>
    <n v="6"/>
    <s v="25-06-2026"/>
    <n v="12573"/>
    <s v="1101-03"/>
    <n v="2287018"/>
    <n v="0"/>
    <s v="0966893109 abn crd db tran transbank s"/>
    <n v="2287018"/>
    <s v="Activo"/>
    <n v="2287018"/>
    <x v="1"/>
  </r>
  <r>
    <n v="2026"/>
    <n v="6"/>
    <s v="26-06-2026"/>
    <n v="7913"/>
    <s v="1101-03"/>
    <n v="0"/>
    <n v="53687"/>
    <s v="Pac rutapass 0000002818015"/>
    <n v="-53687"/>
    <s v="Activo"/>
    <n v="-53687"/>
    <x v="1"/>
  </r>
  <r>
    <n v="2026"/>
    <n v="6"/>
    <s v="26-06-2026"/>
    <n v="7914"/>
    <s v="1101-03"/>
    <n v="0"/>
    <n v="500000"/>
    <s v="0995200007 transf a muevo copec empresas"/>
    <n v="-500000"/>
    <s v="Activo"/>
    <n v="-500000"/>
    <x v="1"/>
  </r>
  <r>
    <n v="2026"/>
    <n v="6"/>
    <s v="26-06-2026"/>
    <n v="12570"/>
    <s v="1101-03"/>
    <n v="348203"/>
    <n v="0"/>
    <s v="0761872877 transf. khipu spa"/>
    <n v="348203"/>
    <s v="Activo"/>
    <n v="348203"/>
    <x v="1"/>
  </r>
  <r>
    <n v="2026"/>
    <n v="6"/>
    <s v="26-06-2026"/>
    <n v="12571"/>
    <s v="1101-03"/>
    <n v="6070416"/>
    <n v="0"/>
    <s v="0966893109 abn crd db tran transbank s"/>
    <n v="6070416"/>
    <s v="Activo"/>
    <n v="6070416"/>
    <x v="1"/>
  </r>
  <r>
    <n v="2026"/>
    <n v="6"/>
    <s v="30-06-2026"/>
    <n v="7909"/>
    <s v="1101-03"/>
    <n v="0"/>
    <n v="5000000"/>
    <s v="0774344497 transf a botsch spa"/>
    <n v="-5000000"/>
    <s v="Activo"/>
    <n v="-5000000"/>
    <x v="1"/>
  </r>
  <r>
    <n v="2026"/>
    <n v="6"/>
    <s v="30-06-2026"/>
    <n v="7910"/>
    <s v="1101-03"/>
    <n v="0"/>
    <n v="5000000"/>
    <s v="0774344497 transf a botsch spa"/>
    <n v="-5000000"/>
    <s v="Activo"/>
    <n v="-5000000"/>
    <x v="1"/>
  </r>
  <r>
    <n v="2026"/>
    <n v="6"/>
    <s v="30-06-2026"/>
    <n v="7911"/>
    <s v="1101-03"/>
    <n v="0"/>
    <n v="5000000"/>
    <s v="0774344497 transf a botsch spa"/>
    <n v="-5000000"/>
    <s v="Activo"/>
    <n v="-5000000"/>
    <x v="1"/>
  </r>
  <r>
    <n v="2026"/>
    <n v="6"/>
    <s v="30-06-2026"/>
    <n v="7912"/>
    <s v="1101-03"/>
    <n v="0"/>
    <n v="211388"/>
    <s v="0774344497 transf a botsch spa"/>
    <n v="-211388"/>
    <s v="Activo"/>
    <n v="-211388"/>
    <x v="1"/>
  </r>
  <r>
    <n v="2026"/>
    <n v="6"/>
    <s v="30-06-2026"/>
    <n v="7981"/>
    <s v="1101-03"/>
    <n v="0"/>
    <n v="4969313"/>
    <s v="Pago f 59659 compañia de telecomunicaciones sistek sp"/>
    <n v="-4969313"/>
    <s v="Activo"/>
    <n v="-4969313"/>
    <x v="1"/>
  </r>
  <r>
    <n v="2026"/>
    <n v="6"/>
    <s v="30-06-2026"/>
    <n v="7982"/>
    <s v="1101-03"/>
    <n v="0"/>
    <n v="3848368"/>
    <s v="Pago f 38665 tac communications s.a."/>
    <n v="-3848368"/>
    <s v="Activo"/>
    <n v="-3848368"/>
    <x v="1"/>
  </r>
  <r>
    <n v="2026"/>
    <n v="6"/>
    <s v="30-06-2026"/>
    <n v="7983"/>
    <s v="1101-03"/>
    <n v="0"/>
    <n v="1248984"/>
    <s v="Pago f 39259 tac communications s.a."/>
    <n v="-1248984"/>
    <s v="Activo"/>
    <n v="-1248984"/>
    <x v="1"/>
  </r>
  <r>
    <n v="2026"/>
    <n v="6"/>
    <s v="30-06-2026"/>
    <n v="7984"/>
    <s v="1101-03"/>
    <n v="0"/>
    <n v="1456417"/>
    <s v="Pago f 59678 60165 compañia de telecomunicaciones sistek sp"/>
    <n v="-1456417"/>
    <s v="Activo"/>
    <n v="-1456417"/>
    <x v="1"/>
  </r>
  <r>
    <n v="2026"/>
    <n v="6"/>
    <s v="30-06-2026"/>
    <n v="7985"/>
    <s v="1101-03"/>
    <n v="0"/>
    <n v="371280"/>
    <s v="Pago f 7095 optictimes spa"/>
    <n v="-371280"/>
    <s v="Activo"/>
    <n v="-371280"/>
    <x v="1"/>
  </r>
  <r>
    <n v="2026"/>
    <n v="6"/>
    <s v="30-06-2026"/>
    <n v="7986"/>
    <s v="1101-03"/>
    <n v="0"/>
    <n v="154700"/>
    <s v="Pago f 6970 optictimes spa"/>
    <n v="-154700"/>
    <s v="Activo"/>
    <n v="-154700"/>
    <x v="1"/>
  </r>
  <r>
    <n v="2026"/>
    <n v="6"/>
    <s v="30-06-2026"/>
    <n v="7987"/>
    <s v="1101-03"/>
    <n v="0"/>
    <n v="443870"/>
    <s v="Pago f 6991 optictimes spa"/>
    <n v="-443870"/>
    <s v="Activo"/>
    <n v="-443870"/>
    <x v="1"/>
  </r>
  <r>
    <n v="2026"/>
    <n v="6"/>
    <s v="30-06-2026"/>
    <n v="7988"/>
    <s v="1101-03"/>
    <n v="0"/>
    <n v="485472"/>
    <s v="Pago f 59081 compañia de telecomunicaciones sistek sp"/>
    <n v="-485472"/>
    <s v="Activo"/>
    <n v="-485472"/>
    <x v="1"/>
  </r>
  <r>
    <n v="2026"/>
    <n v="6"/>
    <s v="30-06-2026"/>
    <n v="12568"/>
    <s v="1101-03"/>
    <n v="2563562"/>
    <n v="0"/>
    <s v="0761872877 transf. khipu spa"/>
    <n v="2563562"/>
    <s v="Activo"/>
    <n v="2563562"/>
    <x v="1"/>
  </r>
  <r>
    <n v="2026"/>
    <n v="6"/>
    <s v="30-06-2026"/>
    <n v="12569"/>
    <s v="1101-03"/>
    <n v="7142672"/>
    <n v="0"/>
    <s v="0966893109 abn crd db tran transbank s"/>
    <n v="7142672"/>
    <s v="Activo"/>
    <n v="7142672"/>
    <x v="1"/>
  </r>
  <r>
    <n v="2026"/>
    <n v="6"/>
    <s v="30-06-2026"/>
    <n v="10807"/>
    <s v="1101-03"/>
    <n v="4500000"/>
    <n v="0"/>
    <s v="Traspaso entre cuentas"/>
    <n v="4500000"/>
    <s v="Activo"/>
    <n v="4500000"/>
    <x v="1"/>
  </r>
  <r>
    <n v="2026"/>
    <n v="6"/>
    <s v="30-06-2026"/>
    <n v="10808"/>
    <s v="1101-03"/>
    <n v="5000000"/>
    <n v="0"/>
    <s v="Traspaso entre cuentas"/>
    <n v="5000000"/>
    <s v="Activo"/>
    <n v="5000000"/>
    <x v="1"/>
  </r>
  <r>
    <n v="2026"/>
    <n v="6"/>
    <s v="30-06-2026"/>
    <n v="10809"/>
    <s v="1101-03"/>
    <n v="1000000"/>
    <n v="0"/>
    <s v="Traspaso entre cuentas"/>
    <n v="1000000"/>
    <s v="Activo"/>
    <n v="1000000"/>
    <x v="1"/>
  </r>
  <r>
    <n v="2026"/>
    <n v="6"/>
    <s v="30-06-2026"/>
    <n v="10810"/>
    <s v="1101-03"/>
    <n v="371280"/>
    <n v="0"/>
    <s v="Traspaso entre cuentas"/>
    <n v="371280"/>
    <s v="Activo"/>
    <n v="371280"/>
    <x v="1"/>
  </r>
  <r>
    <n v="2026"/>
    <n v="6"/>
    <s v="30-06-2026"/>
    <n v="10811"/>
    <s v="1101-03"/>
    <n v="485472"/>
    <n v="0"/>
    <s v="Traspaso entre cuentas"/>
    <n v="485472"/>
    <s v="Activo"/>
    <n v="485472"/>
    <x v="1"/>
  </r>
  <r>
    <n v="2026"/>
    <n v="6"/>
    <s v="30-06-2026"/>
    <n v="10812"/>
    <s v="1101-03"/>
    <n v="1456417"/>
    <n v="0"/>
    <s v="Traspaso entre cuentas"/>
    <n v="1456417"/>
    <s v="Activo"/>
    <n v="1456417"/>
    <x v="1"/>
  </r>
  <r>
    <n v="2026"/>
    <n v="7"/>
    <s v="01-07-2026"/>
    <n v="8441"/>
    <s v="1101-03"/>
    <n v="0"/>
    <n v="958958"/>
    <s v="Compra google workspace"/>
    <n v="-958958"/>
    <s v="Activo"/>
    <n v="-958958"/>
    <x v="1"/>
  </r>
  <r>
    <n v="2026"/>
    <n v="7"/>
    <s v="01-07-2026"/>
    <n v="8442"/>
    <s v="1101-03"/>
    <n v="0"/>
    <n v="500000"/>
    <s v="Compra copec"/>
    <n v="-500000"/>
    <s v="Activo"/>
    <n v="-500000"/>
    <x v="1"/>
  </r>
  <r>
    <n v="2026"/>
    <n v="7"/>
    <s v="01-07-2026"/>
    <n v="8443"/>
    <s v="1101-03"/>
    <n v="0"/>
    <n v="184926"/>
    <s v="Consumo electrico mes de junio nodo cartagena"/>
    <n v="-184926"/>
    <s v="Activo"/>
    <n v="-184926"/>
    <x v="1"/>
  </r>
  <r>
    <n v="2026"/>
    <n v="7"/>
    <s v="01-07-2026"/>
    <n v="12611"/>
    <s v="1101-03"/>
    <n v="18670972"/>
    <n v="0"/>
    <s v="Abono clientes boleta"/>
    <n v="18670972"/>
    <s v="Activo"/>
    <n v="18670972"/>
    <x v="1"/>
  </r>
  <r>
    <n v="2026"/>
    <n v="7"/>
    <s v="01-07-2026"/>
    <n v="12612"/>
    <s v="1101-03"/>
    <n v="936853"/>
    <n v="0"/>
    <s v="Abono clientes boleta"/>
    <n v="936853"/>
    <s v="Activo"/>
    <n v="936853"/>
    <x v="1"/>
  </r>
  <r>
    <n v="2026"/>
    <n v="7"/>
    <s v="02-07-2026"/>
    <n v="8444"/>
    <s v="1101-03"/>
    <n v="0"/>
    <n v="5000000"/>
    <s v="Transferencia a ambiado olivar"/>
    <n v="-5000000"/>
    <s v="Activo"/>
    <n v="-5000000"/>
    <x v="1"/>
  </r>
  <r>
    <n v="2026"/>
    <n v="7"/>
    <s v="02-07-2026"/>
    <n v="8445"/>
    <s v="1101-03"/>
    <n v="0"/>
    <n v="5000000"/>
    <s v="Transferencia a ambiado olivar"/>
    <n v="-5000000"/>
    <s v="Activo"/>
    <n v="-5000000"/>
    <x v="1"/>
  </r>
  <r>
    <n v="2026"/>
    <n v="7"/>
    <s v="02-07-2026"/>
    <n v="8446"/>
    <s v="1101-03"/>
    <n v="0"/>
    <n v="2003152"/>
    <s v="Transferencia a ambiado olivar"/>
    <n v="-2003152"/>
    <s v="Activo"/>
    <n v="-2003152"/>
    <x v="1"/>
  </r>
  <r>
    <n v="2026"/>
    <n v="7"/>
    <s v="02-07-2026"/>
    <n v="12613"/>
    <s v="1101-03"/>
    <n v="16574313"/>
    <n v="0"/>
    <s v="Abono clientes boleta"/>
    <n v="16574313"/>
    <s v="Activo"/>
    <n v="16574313"/>
    <x v="1"/>
  </r>
  <r>
    <n v="2026"/>
    <n v="7"/>
    <s v="02-07-2026"/>
    <n v="12614"/>
    <s v="1101-03"/>
    <n v="1127115"/>
    <n v="0"/>
    <s v="Abono clientes boleta"/>
    <n v="1127115"/>
    <s v="Activo"/>
    <n v="1127115"/>
    <x v="1"/>
  </r>
  <r>
    <n v="2026"/>
    <n v="7"/>
    <s v="02-07-2026"/>
    <n v="10868"/>
    <s v="1101-03"/>
    <n v="0"/>
    <n v="100000"/>
    <s v="Traspaso entre cuentas"/>
    <n v="-100000"/>
    <s v="Activo"/>
    <n v="-100000"/>
    <x v="1"/>
  </r>
  <r>
    <n v="2026"/>
    <n v="7"/>
    <s v="03-07-2026"/>
    <n v="8447"/>
    <s v="1101-03"/>
    <n v="0"/>
    <n v="500000"/>
    <s v="Compra copec"/>
    <n v="-500000"/>
    <s v="Activo"/>
    <n v="-500000"/>
    <x v="1"/>
  </r>
  <r>
    <n v="2026"/>
    <n v="7"/>
    <s v="03-07-2026"/>
    <n v="12615"/>
    <s v="1101-03"/>
    <n v="20797984"/>
    <n v="0"/>
    <s v="Abono clientes boleta"/>
    <n v="20797984"/>
    <s v="Activo"/>
    <n v="20797984"/>
    <x v="1"/>
  </r>
  <r>
    <n v="2026"/>
    <n v="7"/>
    <s v="03-07-2026"/>
    <n v="12616"/>
    <s v="1101-03"/>
    <n v="2283853"/>
    <n v="0"/>
    <s v="Abono clientes boleta"/>
    <n v="2283853"/>
    <s v="Activo"/>
    <n v="2283853"/>
    <x v="1"/>
  </r>
  <r>
    <n v="2026"/>
    <n v="7"/>
    <s v="03-07-2026"/>
    <n v="10869"/>
    <s v="1101-03"/>
    <n v="0"/>
    <n v="150000"/>
    <s v="Traspaso entre cuentas"/>
    <n v="-150000"/>
    <s v="Activo"/>
    <n v="-150000"/>
    <x v="1"/>
  </r>
  <r>
    <n v="2026"/>
    <n v="7"/>
    <s v="06-07-2026"/>
    <n v="8448"/>
    <s v="1101-03"/>
    <n v="0"/>
    <n v="39670537"/>
    <s v="Remuneraciones junio 2026"/>
    <n v="-39670537"/>
    <s v="Activo"/>
    <n v="-39670537"/>
    <x v="1"/>
  </r>
  <r>
    <n v="2026"/>
    <n v="7"/>
    <s v="06-07-2026"/>
    <n v="8449"/>
    <s v="1101-03"/>
    <n v="0"/>
    <n v="3351108"/>
    <s v="Pago cuota crédito n 420051423355"/>
    <n v="-3351108"/>
    <s v="Activo"/>
    <n v="-3351108"/>
    <x v="1"/>
  </r>
  <r>
    <n v="2026"/>
    <n v="7"/>
    <s v="06-07-2026"/>
    <n v="12617"/>
    <s v="1101-03"/>
    <n v="16604059"/>
    <n v="0"/>
    <s v="Abono clientes boleta"/>
    <n v="16604059"/>
    <s v="Activo"/>
    <n v="16604059"/>
    <x v="1"/>
  </r>
  <r>
    <n v="2026"/>
    <n v="7"/>
    <s v="06-07-2026"/>
    <n v="12618"/>
    <s v="1101-03"/>
    <n v="1777996"/>
    <n v="0"/>
    <s v="Abono clientes boleta"/>
    <n v="1777996"/>
    <s v="Activo"/>
    <n v="1777996"/>
    <x v="1"/>
  </r>
  <r>
    <n v="2026"/>
    <n v="7"/>
    <s v="06-07-2026"/>
    <n v="10870"/>
    <s v="1101-03"/>
    <n v="5000000"/>
    <n v="0"/>
    <s v="Traspaso entre cuentas"/>
    <n v="5000000"/>
    <s v="Activo"/>
    <n v="5000000"/>
    <x v="1"/>
  </r>
  <r>
    <n v="2026"/>
    <n v="7"/>
    <s v="06-07-2026"/>
    <n v="10871"/>
    <s v="1101-03"/>
    <n v="3000000"/>
    <n v="0"/>
    <s v="Traspaso entre cuentas"/>
    <n v="3000000"/>
    <s v="Activo"/>
    <n v="3000000"/>
    <x v="1"/>
  </r>
  <r>
    <n v="2026"/>
    <n v="7"/>
    <s v="07-07-2026"/>
    <n v="8450"/>
    <s v="1101-03"/>
    <n v="0"/>
    <n v="4355131"/>
    <s v="Pago fact 39055 grupo zgh spa"/>
    <n v="-4355131"/>
    <s v="Activo"/>
    <n v="-4355131"/>
    <x v="1"/>
  </r>
  <r>
    <n v="2026"/>
    <n v="7"/>
    <s v="07-07-2026"/>
    <n v="8451"/>
    <s v="1101-03"/>
    <n v="0"/>
    <n v="3230538"/>
    <s v="Pago fact 12410 pit chile spa"/>
    <n v="-3230538"/>
    <s v="Activo"/>
    <n v="-3230538"/>
    <x v="1"/>
  </r>
  <r>
    <n v="2026"/>
    <n v="7"/>
    <s v="07-07-2026"/>
    <n v="8452"/>
    <s v="1101-03"/>
    <n v="0"/>
    <n v="3110184"/>
    <s v="Pago fact 101 mileniumnet spa."/>
    <n v="-3110184"/>
    <s v="Activo"/>
    <n v="-3110184"/>
    <x v="1"/>
  </r>
  <r>
    <n v="2026"/>
    <n v="7"/>
    <s v="07-07-2026"/>
    <n v="8453"/>
    <s v="1101-03"/>
    <n v="0"/>
    <n v="2317750"/>
    <s v="Pago fact 9389 silica networks chile s.a."/>
    <n v="-2317750"/>
    <s v="Activo"/>
    <n v="-2317750"/>
    <x v="1"/>
  </r>
  <r>
    <n v="2026"/>
    <n v="7"/>
    <s v="07-07-2026"/>
    <n v="8454"/>
    <s v="1101-03"/>
    <n v="0"/>
    <n v="1551624"/>
    <s v="Pago fact 1642 cogent communications chile limitada"/>
    <n v="-1551624"/>
    <s v="Activo"/>
    <n v="-1551624"/>
    <x v="1"/>
  </r>
  <r>
    <n v="2026"/>
    <n v="7"/>
    <s v="07-07-2026"/>
    <n v="8455"/>
    <s v="1101-03"/>
    <n v="0"/>
    <n v="1351397"/>
    <s v="Pago fact 325 lars spa"/>
    <n v="-1351397"/>
    <s v="Activo"/>
    <n v="-1351397"/>
    <x v="1"/>
  </r>
  <r>
    <n v="2026"/>
    <n v="7"/>
    <s v="07-07-2026"/>
    <n v="8456"/>
    <s v="1101-03"/>
    <n v="0"/>
    <n v="1179885"/>
    <s v="Pago fact 39563 tac communications s.a."/>
    <n v="-1179885"/>
    <s v="Activo"/>
    <n v="-1179885"/>
    <x v="1"/>
  </r>
  <r>
    <n v="2026"/>
    <n v="7"/>
    <s v="07-07-2026"/>
    <n v="8457"/>
    <s v="1101-03"/>
    <n v="0"/>
    <n v="986348"/>
    <s v="Pago fact 9272 ascenty chile spa"/>
    <n v="-986348"/>
    <s v="Activo"/>
    <n v="-986348"/>
    <x v="1"/>
  </r>
  <r>
    <n v="2026"/>
    <n v="7"/>
    <s v="07-07-2026"/>
    <n v="8458"/>
    <s v="1101-03"/>
    <n v="0"/>
    <n v="979058"/>
    <s v="Pago fact 39056 grupo zgh spa"/>
    <n v="-979058"/>
    <s v="Activo"/>
    <n v="-979058"/>
    <x v="1"/>
  </r>
  <r>
    <n v="2026"/>
    <n v="7"/>
    <s v="07-07-2026"/>
    <n v="8459"/>
    <s v="1101-03"/>
    <n v="0"/>
    <n v="800000"/>
    <s v="Pago fact 9 altaseo limitada"/>
    <n v="-800000"/>
    <s v="Activo"/>
    <n v="-800000"/>
    <x v="1"/>
  </r>
  <r>
    <n v="2026"/>
    <n v="7"/>
    <s v="07-07-2026"/>
    <n v="8460"/>
    <s v="1101-03"/>
    <n v="0"/>
    <n v="577500"/>
    <s v="Pago bh 2 renato guillen alvarez marquez"/>
    <n v="-577500"/>
    <s v="Activo"/>
    <n v="-577500"/>
    <x v="1"/>
  </r>
  <r>
    <n v="2026"/>
    <n v="7"/>
    <s v="07-07-2026"/>
    <n v="8461"/>
    <s v="1101-03"/>
    <n v="0"/>
    <n v="535500"/>
    <s v="Pago fact 17 luxconnect spa"/>
    <n v="-535500"/>
    <s v="Activo"/>
    <n v="-535500"/>
    <x v="1"/>
  </r>
  <r>
    <n v="2026"/>
    <n v="7"/>
    <s v="07-07-2026"/>
    <n v="8462"/>
    <s v="1101-03"/>
    <n v="0"/>
    <n v="535500"/>
    <s v="Pago fact 19 luxconnect spa"/>
    <n v="-535500"/>
    <s v="Activo"/>
    <n v="-535500"/>
    <x v="1"/>
  </r>
  <r>
    <n v="2026"/>
    <n v="7"/>
    <s v="07-07-2026"/>
    <n v="8463"/>
    <s v="1101-03"/>
    <n v="0"/>
    <n v="500000"/>
    <s v="Compra copec"/>
    <n v="-500000"/>
    <s v="Activo"/>
    <n v="-500000"/>
    <x v="1"/>
  </r>
  <r>
    <n v="2026"/>
    <n v="7"/>
    <s v="07-07-2026"/>
    <n v="8464"/>
    <s v="1101-03"/>
    <n v="0"/>
    <n v="317812"/>
    <s v="Pago bh 113 jorge elizardo rocha saez"/>
    <n v="-317812"/>
    <s v="Activo"/>
    <n v="-317812"/>
    <x v="1"/>
  </r>
  <r>
    <n v="2026"/>
    <n v="7"/>
    <s v="07-07-2026"/>
    <n v="8465"/>
    <s v="1101-03"/>
    <n v="0"/>
    <n v="250000"/>
    <s v="Pago bh 207 julio orlando chaparro cares"/>
    <n v="-250000"/>
    <s v="Activo"/>
    <n v="-250000"/>
    <x v="1"/>
  </r>
  <r>
    <n v="2026"/>
    <n v="7"/>
    <s v="07-07-2026"/>
    <n v="8466"/>
    <s v="1101-03"/>
    <n v="0"/>
    <n v="202300"/>
    <s v="Pago fact 590 ingsor spa"/>
    <n v="-202300"/>
    <s v="Activo"/>
    <n v="-202300"/>
    <x v="1"/>
  </r>
  <r>
    <n v="2026"/>
    <n v="7"/>
    <s v="07-07-2026"/>
    <n v="8467"/>
    <s v="1101-03"/>
    <n v="0"/>
    <n v="120000"/>
    <s v="Pago bh 113 soledad del carmen maldonado z"/>
    <n v="-120000"/>
    <s v="Activo"/>
    <n v="-120000"/>
    <x v="1"/>
  </r>
  <r>
    <n v="2026"/>
    <n v="7"/>
    <s v="07-07-2026"/>
    <n v="8468"/>
    <s v="1101-03"/>
    <n v="0"/>
    <n v="78822"/>
    <s v="Pago fact 9271 ascenty chile spa"/>
    <n v="-78822"/>
    <s v="Activo"/>
    <n v="-78822"/>
    <x v="1"/>
  </r>
  <r>
    <n v="2026"/>
    <n v="7"/>
    <s v="07-07-2026"/>
    <n v="8469"/>
    <s v="1101-03"/>
    <n v="0"/>
    <n v="74930"/>
    <s v="Pago fact 9313 ascenty chile spa"/>
    <n v="-74930"/>
    <s v="Activo"/>
    <n v="-74930"/>
    <x v="1"/>
  </r>
  <r>
    <n v="2026"/>
    <n v="7"/>
    <s v="07-07-2026"/>
    <n v="8470"/>
    <s v="1101-03"/>
    <n v="0"/>
    <n v="74191"/>
    <s v="Pago fact 9335 ascenty chile spa"/>
    <n v="-74191"/>
    <s v="Activo"/>
    <n v="-74191"/>
    <x v="1"/>
  </r>
  <r>
    <n v="2026"/>
    <n v="7"/>
    <s v="07-07-2026"/>
    <n v="8471"/>
    <s v="1101-03"/>
    <n v="0"/>
    <n v="74191"/>
    <s v="Pago fact 9342 ascenty chile spa"/>
    <n v="-74191"/>
    <s v="Activo"/>
    <n v="-74191"/>
    <x v="1"/>
  </r>
  <r>
    <n v="2026"/>
    <n v="7"/>
    <s v="07-07-2026"/>
    <n v="8472"/>
    <s v="1101-03"/>
    <n v="0"/>
    <n v="63279"/>
    <s v="Pago fact 9283 ascenty chile spa"/>
    <n v="-63279"/>
    <s v="Activo"/>
    <n v="-63279"/>
    <x v="1"/>
  </r>
  <r>
    <n v="2026"/>
    <n v="7"/>
    <s v="07-07-2026"/>
    <n v="8473"/>
    <s v="1101-03"/>
    <n v="0"/>
    <n v="63279"/>
    <s v="Pago fact 9285 ascenty chile spa"/>
    <n v="-63279"/>
    <s v="Activo"/>
    <n v="-63279"/>
    <x v="1"/>
  </r>
  <r>
    <n v="2026"/>
    <n v="7"/>
    <s v="07-07-2026"/>
    <n v="8474"/>
    <s v="1101-03"/>
    <n v="0"/>
    <n v="62532"/>
    <s v="Pago fact 9299 ascenty chile spa"/>
    <n v="-62532"/>
    <s v="Activo"/>
    <n v="-62532"/>
    <x v="1"/>
  </r>
  <r>
    <n v="2026"/>
    <n v="7"/>
    <s v="07-07-2026"/>
    <n v="8475"/>
    <s v="1101-03"/>
    <n v="0"/>
    <n v="62345"/>
    <s v="Pago fact 9285 ascenty chile spa"/>
    <n v="-62345"/>
    <s v="Activo"/>
    <n v="-62345"/>
    <x v="1"/>
  </r>
  <r>
    <n v="2026"/>
    <n v="7"/>
    <s v="07-07-2026"/>
    <n v="12619"/>
    <s v="1101-03"/>
    <n v="15508633"/>
    <n v="0"/>
    <s v="Abono clientes boleta"/>
    <n v="15508633"/>
    <s v="Activo"/>
    <n v="15508633"/>
    <x v="1"/>
  </r>
  <r>
    <n v="2026"/>
    <n v="7"/>
    <s v="07-07-2026"/>
    <n v="12620"/>
    <s v="1101-03"/>
    <n v="551894"/>
    <n v="0"/>
    <s v="Abono clientes boleta"/>
    <n v="551894"/>
    <s v="Activo"/>
    <n v="551894"/>
    <x v="1"/>
  </r>
  <r>
    <n v="2026"/>
    <n v="7"/>
    <s v="07-07-2026"/>
    <n v="10872"/>
    <s v="1101-03"/>
    <n v="0"/>
    <n v="4428238"/>
    <s v="Traspaso tarjeta de credito"/>
    <n v="-4428238"/>
    <s v="Activo"/>
    <n v="-4428238"/>
    <x v="1"/>
  </r>
  <r>
    <n v="2026"/>
    <n v="7"/>
    <s v="07-07-2026"/>
    <n v="10873"/>
    <s v="1101-03"/>
    <n v="0"/>
    <n v="2152370"/>
    <s v="Traspaso tarjeta de credito"/>
    <n v="-2152370"/>
    <s v="Activo"/>
    <n v="-2152370"/>
    <x v="1"/>
  </r>
  <r>
    <n v="2026"/>
    <n v="7"/>
    <s v="07-07-2026"/>
    <n v="10874"/>
    <s v="1101-03"/>
    <n v="0"/>
    <n v="1134219"/>
    <s v="Traspaso tarjeta de credito"/>
    <n v="-1134219"/>
    <s v="Activo"/>
    <n v="-1134219"/>
    <x v="1"/>
  </r>
  <r>
    <n v="2026"/>
    <n v="7"/>
    <s v="08-07-2026"/>
    <n v="12621"/>
    <s v="1101-03"/>
    <n v="10059392"/>
    <n v="0"/>
    <s v="Abono clientes boleta"/>
    <n v="10059392"/>
    <s v="Activo"/>
    <n v="10059392"/>
    <x v="1"/>
  </r>
  <r>
    <n v="2026"/>
    <n v="7"/>
    <s v="08-07-2026"/>
    <n v="12622"/>
    <s v="1101-03"/>
    <n v="711977"/>
    <n v="0"/>
    <s v="Abono clientes boleta"/>
    <n v="711977"/>
    <s v="Activo"/>
    <n v="711977"/>
    <x v="1"/>
  </r>
  <r>
    <n v="2026"/>
    <n v="7"/>
    <s v="09-07-2026"/>
    <n v="8476"/>
    <s v="1101-03"/>
    <n v="0"/>
    <n v="500000"/>
    <s v="Compra copec"/>
    <n v="-500000"/>
    <s v="Activo"/>
    <n v="-500000"/>
    <x v="1"/>
  </r>
  <r>
    <n v="2026"/>
    <n v="7"/>
    <s v="09-07-2026"/>
    <n v="12623"/>
    <s v="1101-03"/>
    <n v="12866231"/>
    <n v="0"/>
    <s v="Abono clientes boleta"/>
    <n v="12866231"/>
    <s v="Activo"/>
    <n v="12866231"/>
    <x v="1"/>
  </r>
  <r>
    <n v="2026"/>
    <n v="7"/>
    <s v="09-07-2026"/>
    <n v="12624"/>
    <s v="1101-03"/>
    <n v="1168785"/>
    <n v="0"/>
    <s v="Abono clientes boleta"/>
    <n v="1168785"/>
    <s v="Activo"/>
    <n v="1168785"/>
    <x v="1"/>
  </r>
  <r>
    <n v="2026"/>
    <n v="7"/>
    <s v="09-07-2026"/>
    <n v="10875"/>
    <s v="1101-03"/>
    <n v="0"/>
    <n v="50000"/>
    <s v="Traspaso entre cuentas"/>
    <n v="-50000"/>
    <s v="Activo"/>
    <n v="-50000"/>
    <x v="1"/>
  </r>
  <r>
    <n v="2026"/>
    <n v="7"/>
    <s v="10-07-2026"/>
    <n v="8477"/>
    <s v="1101-03"/>
    <n v="0"/>
    <n v="6168688"/>
    <s v="Pago fact 8868 inversiones y telecomunicaciones r y m spa"/>
    <n v="-6168688"/>
    <s v="Activo"/>
    <n v="-6168688"/>
    <x v="1"/>
  </r>
  <r>
    <n v="2026"/>
    <n v="7"/>
    <s v="10-07-2026"/>
    <n v="8478"/>
    <s v="1101-03"/>
    <n v="0"/>
    <n v="6547210"/>
    <s v="Pago en linea previred"/>
    <n v="-6547210"/>
    <s v="Activo"/>
    <n v="-6547210"/>
    <x v="1"/>
  </r>
  <r>
    <n v="2026"/>
    <n v="7"/>
    <s v="10-07-2026"/>
    <n v="8478"/>
    <s v="1101-03"/>
    <n v="0"/>
    <n v="6154630"/>
    <s v="Pago en linea previred"/>
    <n v="-6154630"/>
    <s v="Activo"/>
    <n v="-6154630"/>
    <x v="1"/>
  </r>
  <r>
    <n v="2026"/>
    <n v="7"/>
    <s v="10-07-2026"/>
    <n v="8478"/>
    <s v="1101-03"/>
    <n v="0"/>
    <n v="5015831"/>
    <s v="Pago en linea previred"/>
    <n v="-5015831"/>
    <s v="Activo"/>
    <n v="-5015831"/>
    <x v="1"/>
  </r>
  <r>
    <n v="2026"/>
    <n v="7"/>
    <s v="10-07-2026"/>
    <n v="8479"/>
    <s v="1101-03"/>
    <n v="0"/>
    <n v="4429956"/>
    <s v="Pago fact 40422 grupo zgh spa"/>
    <n v="-4429956"/>
    <s v="Activo"/>
    <n v="-4429956"/>
    <x v="1"/>
  </r>
  <r>
    <n v="2026"/>
    <n v="7"/>
    <s v="10-07-2026"/>
    <n v="8480"/>
    <s v="1101-03"/>
    <n v="0"/>
    <n v="2123505"/>
    <s v="Pago fact 283 sociedad de inversiones straubing s.a."/>
    <n v="-2123505"/>
    <s v="Activo"/>
    <n v="-2123505"/>
    <x v="1"/>
  </r>
  <r>
    <n v="2026"/>
    <n v="7"/>
    <s v="10-07-2026"/>
    <n v="8481"/>
    <s v="1101-03"/>
    <n v="0"/>
    <n v="1593490"/>
    <s v="Pago cuota crédito n 420021082928"/>
    <n v="-1593490"/>
    <s v="Activo"/>
    <n v="-1593490"/>
    <x v="1"/>
  </r>
  <r>
    <n v="2026"/>
    <n v="7"/>
    <s v="10-07-2026"/>
    <n v="8482"/>
    <s v="1101-03"/>
    <n v="0"/>
    <n v="1285214"/>
    <s v="Pago fact 9906 inversiones y telecomunicaciones r y m spa"/>
    <n v="-1285214"/>
    <s v="Activo"/>
    <n v="-1285214"/>
    <x v="1"/>
  </r>
  <r>
    <n v="2026"/>
    <n v="7"/>
    <s v="10-07-2026"/>
    <n v="8483"/>
    <s v="1101-03"/>
    <n v="0"/>
    <n v="1000000"/>
    <s v="Pago bh 619 freddy alex rodriguez saez"/>
    <n v="-1000000"/>
    <s v="Activo"/>
    <n v="-1000000"/>
    <x v="1"/>
  </r>
  <r>
    <n v="2026"/>
    <n v="7"/>
    <s v="10-07-2026"/>
    <n v="8484"/>
    <s v="1101-03"/>
    <n v="0"/>
    <n v="995879"/>
    <s v="Pago fact 40423 grupo zgh spa"/>
    <n v="-995879"/>
    <s v="Activo"/>
    <n v="-995879"/>
    <x v="1"/>
  </r>
  <r>
    <n v="2026"/>
    <n v="7"/>
    <s v="10-07-2026"/>
    <n v="8485"/>
    <s v="1101-03"/>
    <n v="0"/>
    <n v="825795"/>
    <s v="Pago fact 329 alberto diaz de valdes e hija limitada"/>
    <n v="-825795"/>
    <s v="Activo"/>
    <n v="-825795"/>
    <x v="1"/>
  </r>
  <r>
    <n v="2026"/>
    <n v="7"/>
    <s v="10-07-2026"/>
    <n v="8486"/>
    <s v="1101-03"/>
    <n v="0"/>
    <n v="751000"/>
    <s v="Pago fact 11224 globalconnect spa"/>
    <n v="-751000"/>
    <s v="Activo"/>
    <n v="-751000"/>
    <x v="1"/>
  </r>
  <r>
    <n v="2026"/>
    <n v="7"/>
    <s v="10-07-2026"/>
    <n v="8487"/>
    <s v="1101-03"/>
    <n v="0"/>
    <n v="750000"/>
    <s v="Arriendo oficina las condes"/>
    <n v="-750000"/>
    <s v="Activo"/>
    <n v="-750000"/>
    <x v="1"/>
  </r>
  <r>
    <n v="2026"/>
    <n v="7"/>
    <s v="10-07-2026"/>
    <n v="8488"/>
    <s v="1101-03"/>
    <n v="0"/>
    <n v="600000"/>
    <s v="Pago bh 127 patrick adolfo lopez nunez"/>
    <n v="-600000"/>
    <s v="Activo"/>
    <n v="-600000"/>
    <x v="1"/>
  </r>
  <r>
    <n v="2026"/>
    <n v="7"/>
    <s v="10-07-2026"/>
    <n v="8489"/>
    <s v="1101-03"/>
    <n v="0"/>
    <n v="530841"/>
    <s v="Arriendo nodo aromos"/>
    <n v="-530841"/>
    <s v="Activo"/>
    <n v="-530841"/>
    <x v="1"/>
  </r>
  <r>
    <n v="2026"/>
    <n v="7"/>
    <s v="10-07-2026"/>
    <n v="8490"/>
    <s v="1101-03"/>
    <n v="0"/>
    <n v="476000"/>
    <s v="Pago fact 5637 cia de comunicaciones coyhaique limitada"/>
    <n v="-476000"/>
    <s v="Activo"/>
    <n v="-476000"/>
    <x v="1"/>
  </r>
  <r>
    <n v="2026"/>
    <n v="7"/>
    <s v="10-07-2026"/>
    <n v="8491"/>
    <s v="1101-03"/>
    <n v="0"/>
    <n v="250000"/>
    <s v="Pago bh 94 abraham issaac garate gonzalez"/>
    <n v="-250000"/>
    <s v="Activo"/>
    <n v="-250000"/>
    <x v="1"/>
  </r>
  <r>
    <n v="2026"/>
    <n v="7"/>
    <s v="10-07-2026"/>
    <n v="8492"/>
    <s v="1101-03"/>
    <n v="0"/>
    <n v="230435"/>
    <s v="Consumo electrico mes junio nodo cdr"/>
    <n v="-230435"/>
    <s v="Activo"/>
    <n v="-230435"/>
    <x v="1"/>
  </r>
  <r>
    <n v="2026"/>
    <n v="7"/>
    <s v="10-07-2026"/>
    <n v="8493"/>
    <s v="1101-03"/>
    <n v="0"/>
    <n v="208253"/>
    <s v="Arriendo nodo cartagena"/>
    <n v="-208253"/>
    <s v="Activo"/>
    <n v="-208253"/>
    <x v="1"/>
  </r>
  <r>
    <n v="2026"/>
    <n v="7"/>
    <s v="10-07-2026"/>
    <n v="8494"/>
    <s v="1101-03"/>
    <n v="0"/>
    <n v="208253"/>
    <s v="Arriendo nodo cartagena"/>
    <n v="-208253"/>
    <s v="Activo"/>
    <n v="-208253"/>
    <x v="1"/>
  </r>
  <r>
    <n v="2026"/>
    <n v="7"/>
    <s v="10-07-2026"/>
    <n v="8495"/>
    <s v="1101-03"/>
    <n v="0"/>
    <n v="200000"/>
    <s v="Arriendo nodo santo domingo"/>
    <n v="-200000"/>
    <s v="Activo"/>
    <n v="-200000"/>
    <x v="1"/>
  </r>
  <r>
    <n v="2026"/>
    <n v="7"/>
    <s v="10-07-2026"/>
    <n v="8496"/>
    <s v="1101-03"/>
    <n v="0"/>
    <n v="134350"/>
    <s v="Consumo electrico mes de junio nodo carampangue"/>
    <n v="-134350"/>
    <s v="Activo"/>
    <n v="-134350"/>
    <x v="1"/>
  </r>
  <r>
    <n v="2026"/>
    <n v="7"/>
    <s v="10-07-2026"/>
    <n v="8497"/>
    <s v="1101-03"/>
    <n v="0"/>
    <n v="130000"/>
    <s v="Arriendo nodo copihue"/>
    <n v="-130000"/>
    <s v="Activo"/>
    <n v="-130000"/>
    <x v="1"/>
  </r>
  <r>
    <n v="2026"/>
    <n v="7"/>
    <s v="10-07-2026"/>
    <n v="8498"/>
    <s v="1101-03"/>
    <n v="0"/>
    <n v="128574"/>
    <s v="Consumo electrico mes junio nodo la cruz"/>
    <n v="-128574"/>
    <s v="Activo"/>
    <n v="-128574"/>
    <x v="1"/>
  </r>
  <r>
    <n v="2026"/>
    <n v="7"/>
    <s v="10-07-2026"/>
    <n v="8499"/>
    <s v="1101-03"/>
    <n v="0"/>
    <n v="113446"/>
    <s v="Consumo electrico mes de junio nodo algarrobo"/>
    <n v="-113446"/>
    <s v="Activo"/>
    <n v="-113446"/>
    <x v="1"/>
  </r>
  <r>
    <n v="2026"/>
    <n v="7"/>
    <s v="10-07-2026"/>
    <n v="8500"/>
    <s v="1101-03"/>
    <n v="0"/>
    <n v="102045"/>
    <s v="Pago fact 197914 regus management de chile limitada"/>
    <n v="-102045"/>
    <s v="Activo"/>
    <n v="-102045"/>
    <x v="1"/>
  </r>
  <r>
    <n v="2026"/>
    <n v="7"/>
    <s v="10-07-2026"/>
    <n v="8501"/>
    <s v="1101-03"/>
    <n v="0"/>
    <n v="90000"/>
    <s v="Transferencia a ambiado olivar"/>
    <n v="-90000"/>
    <s v="Activo"/>
    <n v="-90000"/>
    <x v="1"/>
  </r>
  <r>
    <n v="2026"/>
    <n v="7"/>
    <s v="10-07-2026"/>
    <n v="8502"/>
    <s v="1101-03"/>
    <n v="0"/>
    <n v="90000"/>
    <s v="Pago bh 62 christian italo quezada pereir"/>
    <n v="-90000"/>
    <s v="Activo"/>
    <n v="-90000"/>
    <x v="1"/>
  </r>
  <r>
    <n v="2026"/>
    <n v="7"/>
    <s v="10-07-2026"/>
    <n v="8503"/>
    <s v="1101-03"/>
    <n v="0"/>
    <n v="90000"/>
    <s v="Pago bh 114 soledad del carmen maldonado z"/>
    <n v="-90000"/>
    <s v="Activo"/>
    <n v="-90000"/>
    <x v="1"/>
  </r>
  <r>
    <n v="2026"/>
    <n v="7"/>
    <s v="10-07-2026"/>
    <n v="8504"/>
    <s v="1101-03"/>
    <n v="0"/>
    <n v="90000"/>
    <s v="Pago bh 126 patrick adolfo lopez nunez"/>
    <n v="-90000"/>
    <s v="Activo"/>
    <n v="-90000"/>
    <x v="1"/>
  </r>
  <r>
    <n v="2026"/>
    <n v="7"/>
    <s v="10-07-2026"/>
    <n v="8505"/>
    <s v="1101-03"/>
    <n v="0"/>
    <n v="72892"/>
    <s v="Pago fact 425 mdd soluciones spa"/>
    <n v="-72892"/>
    <s v="Activo"/>
    <n v="-72892"/>
    <x v="1"/>
  </r>
  <r>
    <n v="2026"/>
    <n v="7"/>
    <s v="10-07-2026"/>
    <n v="8506"/>
    <s v="1101-03"/>
    <n v="0"/>
    <n v="71400"/>
    <s v="Pago fact 175 zettabyte spa"/>
    <n v="-71400"/>
    <s v="Activo"/>
    <n v="-71400"/>
    <x v="1"/>
  </r>
  <r>
    <n v="2026"/>
    <n v="7"/>
    <s v="10-07-2026"/>
    <n v="8507"/>
    <s v="1101-03"/>
    <n v="0"/>
    <n v="52140"/>
    <s v="Consumo electrico mes de junio nodo aromos"/>
    <n v="-52140"/>
    <s v="Activo"/>
    <n v="-52140"/>
    <x v="1"/>
  </r>
  <r>
    <n v="2026"/>
    <n v="7"/>
    <s v="10-07-2026"/>
    <n v="12625"/>
    <s v="1101-03"/>
    <n v="10457473"/>
    <n v="0"/>
    <s v="Abono clientes boleta"/>
    <n v="10457473"/>
    <s v="Activo"/>
    <n v="10457473"/>
    <x v="1"/>
  </r>
  <r>
    <n v="2026"/>
    <n v="7"/>
    <s v="10-07-2026"/>
    <n v="12626"/>
    <s v="1101-03"/>
    <n v="126937"/>
    <n v="0"/>
    <s v="Abono clientes boleta"/>
    <n v="126937"/>
    <s v="Activo"/>
    <n v="126937"/>
    <x v="1"/>
  </r>
  <r>
    <n v="2026"/>
    <n v="7"/>
    <s v="10-07-2026"/>
    <n v="10876"/>
    <s v="1101-03"/>
    <n v="0"/>
    <n v="120000"/>
    <s v="Traspaso entre cuentas"/>
    <n v="-120000"/>
    <s v="Activo"/>
    <n v="-120000"/>
    <x v="1"/>
  </r>
  <r>
    <n v="2026"/>
    <n v="7"/>
    <s v="13-07-2026"/>
    <n v="8508"/>
    <s v="1101-03"/>
    <n v="0"/>
    <n v="1999249"/>
    <s v="Pago cuota crédito n 420022371370"/>
    <n v="-1999249"/>
    <s v="Activo"/>
    <n v="-1999249"/>
    <x v="1"/>
  </r>
  <r>
    <n v="2026"/>
    <n v="7"/>
    <s v="13-07-2026"/>
    <n v="8509"/>
    <s v="1101-03"/>
    <n v="0"/>
    <n v="500000"/>
    <s v="Compra copec"/>
    <n v="-500000"/>
    <s v="Activo"/>
    <n v="-500000"/>
    <x v="1"/>
  </r>
  <r>
    <n v="2026"/>
    <n v="7"/>
    <s v="13-07-2026"/>
    <n v="12627"/>
    <s v="1101-03"/>
    <n v="2935023"/>
    <n v="0"/>
    <s v="Abono clientes boleta"/>
    <n v="2935023"/>
    <s v="Activo"/>
    <n v="2935023"/>
    <x v="1"/>
  </r>
  <r>
    <n v="2026"/>
    <n v="7"/>
    <s v="13-07-2026"/>
    <n v="12628"/>
    <s v="1101-03"/>
    <n v="44436"/>
    <n v="0"/>
    <s v="Abono clientes boleta"/>
    <n v="44436"/>
    <s v="Activo"/>
    <n v="44436"/>
    <x v="1"/>
  </r>
  <r>
    <n v="2026"/>
    <n v="7"/>
    <s v="14-07-2026"/>
    <n v="8510"/>
    <s v="1101-03"/>
    <n v="0"/>
    <n v="20000"/>
    <s v="Compra copec"/>
    <n v="-20000"/>
    <s v="Activo"/>
    <n v="-20000"/>
    <x v="1"/>
  </r>
  <r>
    <n v="2026"/>
    <n v="7"/>
    <s v="14-07-2026"/>
    <n v="12629"/>
    <s v="1101-03"/>
    <n v="3447051"/>
    <n v="0"/>
    <s v="Abono clientes boleta"/>
    <n v="3447051"/>
    <s v="Activo"/>
    <n v="3447051"/>
    <x v="1"/>
  </r>
  <r>
    <n v="2026"/>
    <n v="7"/>
    <s v="14-07-2026"/>
    <n v="10877"/>
    <s v="1101-03"/>
    <n v="0"/>
    <n v="70000"/>
    <s v="Traspaso entre cuentas"/>
    <n v="-70000"/>
    <s v="Activo"/>
    <n v="-70000"/>
    <x v="1"/>
  </r>
  <r>
    <n v="2026"/>
    <n v="7"/>
    <s v="15-07-2026"/>
    <n v="8511"/>
    <s v="1101-03"/>
    <n v="0"/>
    <n v="2391858"/>
    <s v="Pago fact 39687 tac communications s.a."/>
    <n v="-2391858"/>
    <s v="Activo"/>
    <n v="-2391858"/>
    <x v="1"/>
  </r>
  <r>
    <n v="2026"/>
    <n v="7"/>
    <s v="15-07-2026"/>
    <n v="8512"/>
    <s v="1101-03"/>
    <n v="0"/>
    <n v="1570800"/>
    <s v="Pago fact 105 mileniumnet spa."/>
    <n v="-1570800"/>
    <s v="Activo"/>
    <n v="-1570800"/>
    <x v="1"/>
  </r>
  <r>
    <n v="2026"/>
    <n v="7"/>
    <s v="15-07-2026"/>
    <n v="8513"/>
    <s v="1101-03"/>
    <n v="0"/>
    <n v="1510351"/>
    <s v="Pago fact 16460 asesorias tributarias pedro gonzalez limitada"/>
    <n v="-1510351"/>
    <s v="Activo"/>
    <n v="-1510351"/>
    <x v="1"/>
  </r>
  <r>
    <n v="2026"/>
    <n v="7"/>
    <s v="15-07-2026"/>
    <n v="8514"/>
    <s v="1101-03"/>
    <n v="0"/>
    <n v="724900"/>
    <s v="Pago fact 4061 ficom telecomunicaciones spa"/>
    <n v="-724900"/>
    <s v="Activo"/>
    <n v="-724900"/>
    <x v="1"/>
  </r>
  <r>
    <n v="2026"/>
    <n v="7"/>
    <s v="15-07-2026"/>
    <n v="8515"/>
    <s v="1101-03"/>
    <n v="0"/>
    <n v="500000"/>
    <s v="Compra copec"/>
    <n v="-500000"/>
    <s v="Activo"/>
    <n v="-500000"/>
    <x v="1"/>
  </r>
  <r>
    <n v="2026"/>
    <n v="7"/>
    <s v="15-07-2026"/>
    <n v="8516"/>
    <s v="1101-03"/>
    <n v="0"/>
    <n v="445988"/>
    <s v="Pago fact 81 servicio tecnico a domicilio muza spa"/>
    <n v="-445988"/>
    <s v="Activo"/>
    <n v="-445988"/>
    <x v="1"/>
  </r>
  <r>
    <n v="2026"/>
    <n v="7"/>
    <s v="15-07-2026"/>
    <n v="8517"/>
    <s v="1101-03"/>
    <n v="0"/>
    <n v="429245"/>
    <s v="Pago fact 39157 tac communications s.a."/>
    <n v="-429245"/>
    <s v="Activo"/>
    <n v="-429245"/>
    <x v="1"/>
  </r>
  <r>
    <n v="2026"/>
    <n v="7"/>
    <s v="15-07-2026"/>
    <n v="8518"/>
    <s v="1101-03"/>
    <n v="0"/>
    <n v="420962"/>
    <s v="Pago fact 7026 optictimes spa"/>
    <n v="-420962"/>
    <s v="Activo"/>
    <n v="-420962"/>
    <x v="1"/>
  </r>
  <r>
    <n v="2026"/>
    <n v="7"/>
    <s v="15-07-2026"/>
    <n v="8519"/>
    <s v="1101-03"/>
    <n v="0"/>
    <n v="408200"/>
    <s v="Pago fact 5194 cg abogados limitada"/>
    <n v="-408200"/>
    <s v="Activo"/>
    <n v="-408200"/>
    <x v="1"/>
  </r>
  <r>
    <n v="2026"/>
    <n v="7"/>
    <s v="15-07-2026"/>
    <n v="8520"/>
    <s v="1101-03"/>
    <n v="0"/>
    <n v="301406"/>
    <s v="Pago fact 39694 tac communications s.a."/>
    <n v="-301406"/>
    <s v="Activo"/>
    <n v="-301406"/>
    <x v="1"/>
  </r>
  <r>
    <n v="2026"/>
    <n v="7"/>
    <s v="15-07-2026"/>
    <n v="8521"/>
    <s v="1101-03"/>
    <n v="0"/>
    <n v="250000"/>
    <s v="Pago fact 69 comercial bulls limitada"/>
    <n v="-250000"/>
    <s v="Activo"/>
    <n v="-250000"/>
    <x v="1"/>
  </r>
  <r>
    <n v="2026"/>
    <n v="7"/>
    <s v="15-07-2026"/>
    <n v="8522"/>
    <s v="1101-03"/>
    <n v="0"/>
    <n v="238000"/>
    <s v="0112262318 transf a erika del carm"/>
    <n v="-238000"/>
    <s v="Activo"/>
    <n v="-238000"/>
    <x v="1"/>
  </r>
  <r>
    <n v="2026"/>
    <n v="7"/>
    <s v="15-07-2026"/>
    <n v="8523"/>
    <s v="1101-03"/>
    <n v="0"/>
    <n v="237629"/>
    <s v="Pago fact 321026 buk spa"/>
    <n v="-237629"/>
    <s v="Activo"/>
    <n v="-237629"/>
    <x v="1"/>
  </r>
  <r>
    <n v="2026"/>
    <n v="7"/>
    <s v="15-07-2026"/>
    <n v="8524"/>
    <s v="1101-03"/>
    <n v="0"/>
    <n v="122829"/>
    <s v="Pago fact 12245352 dimerc sa"/>
    <n v="-122829"/>
    <s v="Activo"/>
    <n v="-122829"/>
    <x v="1"/>
  </r>
  <r>
    <n v="2026"/>
    <n v="7"/>
    <s v="15-07-2026"/>
    <n v="8525"/>
    <s v="1101-03"/>
    <n v="0"/>
    <n v="90000"/>
    <s v="Pago bh 115 soledad del carmen maldonado z"/>
    <n v="-90000"/>
    <s v="Activo"/>
    <n v="-90000"/>
    <x v="1"/>
  </r>
  <r>
    <n v="2026"/>
    <n v="7"/>
    <s v="15-07-2026"/>
    <n v="12630"/>
    <s v="1101-03"/>
    <n v="703695"/>
    <n v="0"/>
    <s v="Abono clientes boleta"/>
    <n v="703695"/>
    <s v="Activo"/>
    <n v="703695"/>
    <x v="1"/>
  </r>
  <r>
    <n v="2026"/>
    <n v="7"/>
    <s v="15-07-2026"/>
    <n v="12631"/>
    <s v="1101-03"/>
    <n v="24683"/>
    <n v="0"/>
    <s v="Abono clientes boleta"/>
    <n v="24683"/>
    <s v="Activo"/>
    <n v="24683"/>
    <x v="1"/>
  </r>
  <r>
    <n v="2026"/>
    <n v="7"/>
    <s v="17-07-2026"/>
    <n v="8526"/>
    <s v="1101-03"/>
    <n v="0"/>
    <n v="32586757"/>
    <s v="Pago f29 junio"/>
    <n v="-32586757"/>
    <s v="Activo"/>
    <n v="-32586757"/>
    <x v="1"/>
  </r>
  <r>
    <n v="2026"/>
    <n v="7"/>
    <s v="17-07-2026"/>
    <n v="8527"/>
    <s v="1101-03"/>
    <n v="0"/>
    <n v="554727"/>
    <s v="Pago en linea servipag"/>
    <n v="-554727"/>
    <s v="Activo"/>
    <n v="-554727"/>
    <x v="1"/>
  </r>
  <r>
    <n v="2026"/>
    <n v="7"/>
    <s v="17-07-2026"/>
    <n v="8528"/>
    <s v="1101-03"/>
    <n v="0"/>
    <n v="240400"/>
    <s v="Consumo electrico mes junio nodo padre hurtado"/>
    <n v="-240400"/>
    <s v="Activo"/>
    <n v="-240400"/>
    <x v="1"/>
  </r>
  <r>
    <n v="2026"/>
    <n v="7"/>
    <s v="17-07-2026"/>
    <n v="12633"/>
    <s v="1101-03"/>
    <n v="571927"/>
    <n v="0"/>
    <s v="Abono clientes boleta"/>
    <n v="571927"/>
    <s v="Activo"/>
    <n v="571927"/>
    <x v="1"/>
  </r>
  <r>
    <n v="2026"/>
    <n v="7"/>
    <s v="17-07-2026"/>
    <n v="10878"/>
    <s v="1101-03"/>
    <n v="5000000"/>
    <n v="0"/>
    <s v="Traspaso entre cuentas"/>
    <n v="5000000"/>
    <s v="Activo"/>
    <n v="5000000"/>
    <x v="1"/>
  </r>
  <r>
    <n v="2026"/>
    <n v="7"/>
    <s v="17-07-2026"/>
    <n v="10879"/>
    <s v="1101-03"/>
    <n v="5000000"/>
    <n v="0"/>
    <s v="Traspaso entre cuentas"/>
    <n v="5000000"/>
    <s v="Activo"/>
    <n v="5000000"/>
    <x v="1"/>
  </r>
  <r>
    <n v="2026"/>
    <n v="7"/>
    <s v="17-07-2026"/>
    <n v="10880"/>
    <s v="1101-03"/>
    <n v="5000000"/>
    <n v="0"/>
    <s v="Traspaso entre cuentas"/>
    <n v="5000000"/>
    <s v="Activo"/>
    <n v="5000000"/>
    <x v="1"/>
  </r>
  <r>
    <n v="2026"/>
    <n v="7"/>
    <s v="17-07-2026"/>
    <n v="10881"/>
    <s v="1101-03"/>
    <n v="5000000"/>
    <n v="0"/>
    <s v="Traspaso entre cuentas"/>
    <n v="5000000"/>
    <s v="Activo"/>
    <n v="5000000"/>
    <x v="1"/>
  </r>
  <r>
    <n v="2026"/>
    <n v="7"/>
    <s v="17-07-2026"/>
    <n v="10882"/>
    <s v="1101-03"/>
    <n v="5000000"/>
    <n v="0"/>
    <s v="Traspaso entre cuentas"/>
    <n v="5000000"/>
    <s v="Activo"/>
    <n v="5000000"/>
    <x v="1"/>
  </r>
  <r>
    <n v="2026"/>
    <n v="7"/>
    <s v="17-07-2026"/>
    <n v="10883"/>
    <s v="1101-03"/>
    <n v="4600000"/>
    <n v="0"/>
    <s v="Traspaso entre cuentas"/>
    <n v="4600000"/>
    <s v="Activo"/>
    <n v="4600000"/>
    <x v="1"/>
  </r>
  <r>
    <n v="2026"/>
    <n v="7"/>
    <s v="17-07-2026"/>
    <n v="10884"/>
    <s v="1101-03"/>
    <n v="0"/>
    <n v="100000"/>
    <s v="Traspaso entre cuentas"/>
    <n v="-100000"/>
    <s v="Activo"/>
    <n v="-100000"/>
    <x v="1"/>
  </r>
  <r>
    <n v="2026"/>
    <n v="7"/>
    <s v="17-07-2026"/>
    <n v="12632"/>
    <s v="1101-03"/>
    <n v="1476457"/>
    <n v="0"/>
    <s v="Ingreso por venta de divisas"/>
    <n v="1476457"/>
    <s v="Activo"/>
    <n v="1476457"/>
    <x v="1"/>
  </r>
  <r>
    <n v="2026"/>
    <n v="7"/>
    <s v="20-07-2026"/>
    <n v="8529"/>
    <s v="1101-03"/>
    <n v="0"/>
    <n v="228392"/>
    <s v="Pago facturas voissnet cloud services s.p.a."/>
    <n v="-228392"/>
    <s v="Activo"/>
    <n v="-228392"/>
    <x v="1"/>
  </r>
  <r>
    <n v="2026"/>
    <n v="7"/>
    <s v="20-07-2026"/>
    <n v="8530"/>
    <s v="1101-03"/>
    <n v="0"/>
    <n v="160000"/>
    <s v="Anticipo patricio díaz"/>
    <n v="-160000"/>
    <s v="Activo"/>
    <n v="-160000"/>
    <x v="1"/>
  </r>
  <r>
    <n v="2026"/>
    <n v="7"/>
    <s v="20-07-2026"/>
    <n v="8531"/>
    <s v="1101-03"/>
    <n v="0"/>
    <n v="80274"/>
    <s v="Pago facturas voissnet cloud services s.p.a."/>
    <n v="-80274"/>
    <s v="Activo"/>
    <n v="-80274"/>
    <x v="1"/>
  </r>
  <r>
    <n v="2026"/>
    <n v="7"/>
    <s v="20-07-2026"/>
    <n v="8532"/>
    <s v="1101-03"/>
    <n v="0"/>
    <n v="58086"/>
    <s v="Pago facturas voissnet cloud services s.p.a."/>
    <n v="-58086"/>
    <s v="Activo"/>
    <n v="-58086"/>
    <x v="1"/>
  </r>
  <r>
    <n v="2026"/>
    <n v="7"/>
    <s v="20-07-2026"/>
    <n v="8533"/>
    <s v="1101-03"/>
    <n v="0"/>
    <n v="50000"/>
    <s v="Compra combustible"/>
    <n v="-50000"/>
    <s v="Activo"/>
    <n v="-50000"/>
    <x v="1"/>
  </r>
  <r>
    <n v="2026"/>
    <n v="7"/>
    <s v="20-07-2026"/>
    <n v="8534"/>
    <s v="1101-03"/>
    <n v="0"/>
    <n v="42000"/>
    <s v="Pago fact 61100 voissnet cloud services s.p.a."/>
    <n v="-42000"/>
    <s v="Activo"/>
    <n v="-42000"/>
    <x v="1"/>
  </r>
  <r>
    <n v="2026"/>
    <n v="7"/>
    <s v="20-07-2026"/>
    <n v="8535"/>
    <s v="1101-03"/>
    <n v="0"/>
    <n v="42000"/>
    <s v="Pago fact 61098 voissnet cloud services s.p.a."/>
    <n v="-42000"/>
    <s v="Activo"/>
    <n v="-42000"/>
    <x v="1"/>
  </r>
  <r>
    <n v="2026"/>
    <n v="7"/>
    <s v="20-07-2026"/>
    <n v="8536"/>
    <s v="1101-03"/>
    <n v="0"/>
    <n v="42000"/>
    <s v="Pago fact 61110 voissnet cloud services s.p.a."/>
    <n v="-42000"/>
    <s v="Activo"/>
    <n v="-42000"/>
    <x v="1"/>
  </r>
  <r>
    <n v="2026"/>
    <n v="7"/>
    <s v="20-07-2026"/>
    <n v="8537"/>
    <s v="1101-03"/>
    <n v="0"/>
    <n v="40273"/>
    <s v="Pago facturas voissnet cloud servi"/>
    <n v="-40273"/>
    <s v="Activo"/>
    <n v="-40273"/>
    <x v="1"/>
  </r>
  <r>
    <n v="2026"/>
    <n v="7"/>
    <s v="20-07-2026"/>
    <n v="8538"/>
    <s v="1101-03"/>
    <n v="0"/>
    <n v="39793"/>
    <s v="Pago fact 61111 voissnet cloud services s.p.a."/>
    <n v="-39793"/>
    <s v="Activo"/>
    <n v="-39793"/>
    <x v="1"/>
  </r>
  <r>
    <n v="2026"/>
    <n v="7"/>
    <s v="20-07-2026"/>
    <n v="8539"/>
    <s v="1101-03"/>
    <n v="0"/>
    <n v="39548"/>
    <s v="Pago facturas voissnet cloud servi"/>
    <n v="-39548"/>
    <s v="Activo"/>
    <n v="-39548"/>
    <x v="1"/>
  </r>
  <r>
    <n v="2026"/>
    <n v="7"/>
    <s v="20-07-2026"/>
    <n v="8540"/>
    <s v="1101-03"/>
    <n v="0"/>
    <n v="39516"/>
    <s v="Pago facturas voissnet cloud servi"/>
    <n v="-39516"/>
    <s v="Activo"/>
    <n v="-39516"/>
    <x v="1"/>
  </r>
  <r>
    <n v="2026"/>
    <n v="7"/>
    <s v="20-07-2026"/>
    <n v="8541"/>
    <s v="1101-03"/>
    <n v="0"/>
    <n v="39219"/>
    <s v="Pago facturas voissnet cloud servi"/>
    <n v="-39219"/>
    <s v="Activo"/>
    <n v="-39219"/>
    <x v="1"/>
  </r>
  <r>
    <n v="2026"/>
    <n v="7"/>
    <s v="20-07-2026"/>
    <n v="8542"/>
    <s v="1101-03"/>
    <n v="0"/>
    <n v="16590"/>
    <s v="Pago fact 61844 voissnet cloud services s.p.a."/>
    <n v="-16590"/>
    <s v="Activo"/>
    <n v="-16590"/>
    <x v="1"/>
  </r>
  <r>
    <n v="2026"/>
    <n v="7"/>
    <s v="20-07-2026"/>
    <n v="12634"/>
    <s v="1101-03"/>
    <n v="2140405"/>
    <n v="0"/>
    <s v="Abono clientes boleta"/>
    <n v="2140405"/>
    <s v="Activo"/>
    <n v="2140405"/>
    <x v="1"/>
  </r>
  <r>
    <n v="2026"/>
    <n v="7"/>
    <s v="20-07-2026"/>
    <n v="12635"/>
    <s v="1101-03"/>
    <n v="795176"/>
    <n v="0"/>
    <s v="Abono clientes boleta"/>
    <n v="795176"/>
    <s v="Activo"/>
    <n v="795176"/>
    <x v="1"/>
  </r>
  <r>
    <n v="2026"/>
    <n v="7"/>
    <s v="20-07-2026"/>
    <n v="10885"/>
    <s v="1101-03"/>
    <n v="0"/>
    <n v="150000"/>
    <s v="Traspaso entre cuentas"/>
    <n v="-150000"/>
    <s v="Activo"/>
    <n v="-150000"/>
    <x v="1"/>
  </r>
  <r>
    <n v="2026"/>
    <n v="7"/>
    <s v="20-07-2026"/>
    <n v="10886"/>
    <s v="1101-03"/>
    <n v="0"/>
    <n v="80000"/>
    <s v="Traspaso entre cuentas"/>
    <n v="-80000"/>
    <s v="Activo"/>
    <n v="-80000"/>
    <x v="1"/>
  </r>
  <r>
    <n v="2026"/>
    <n v="7"/>
    <s v="21-07-2026"/>
    <n v="8543"/>
    <s v="1101-03"/>
    <n v="0"/>
    <n v="4865124"/>
    <s v="Pago cuota crédito n 420050694789"/>
    <n v="-4865124"/>
    <s v="Activo"/>
    <n v="-4865124"/>
    <x v="1"/>
  </r>
  <r>
    <n v="2026"/>
    <n v="7"/>
    <s v="21-07-2026"/>
    <n v="8544"/>
    <s v="1101-03"/>
    <n v="0"/>
    <n v="500000"/>
    <s v="Compra copec"/>
    <n v="-500000"/>
    <s v="Activo"/>
    <n v="-500000"/>
    <x v="1"/>
  </r>
  <r>
    <n v="2026"/>
    <n v="7"/>
    <s v="21-07-2026"/>
    <n v="8545"/>
    <s v="1101-03"/>
    <n v="0"/>
    <n v="55283"/>
    <s v="Colaciones"/>
    <n v="-55283"/>
    <s v="Activo"/>
    <n v="-55283"/>
    <x v="1"/>
  </r>
  <r>
    <n v="2026"/>
    <n v="7"/>
    <s v="21-07-2026"/>
    <n v="8546"/>
    <s v="1101-03"/>
    <n v="0"/>
    <n v="3590"/>
    <s v="Colaciones"/>
    <n v="-3590"/>
    <s v="Activo"/>
    <n v="-3590"/>
    <x v="1"/>
  </r>
  <r>
    <n v="2026"/>
    <n v="7"/>
    <s v="21-07-2026"/>
    <n v="12636"/>
    <s v="1101-03"/>
    <n v="6304100"/>
    <n v="0"/>
    <s v="Abono clientes boleta"/>
    <n v="6304100"/>
    <s v="Activo"/>
    <n v="6304100"/>
    <x v="1"/>
  </r>
  <r>
    <n v="2026"/>
    <n v="7"/>
    <s v="21-07-2026"/>
    <n v="12637"/>
    <s v="1101-03"/>
    <n v="270661"/>
    <n v="0"/>
    <s v="Abono clientes boleta"/>
    <n v="270661"/>
    <s v="Activo"/>
    <n v="270661"/>
    <x v="1"/>
  </r>
  <r>
    <n v="2026"/>
    <n v="7"/>
    <s v="22-07-2026"/>
    <n v="8547"/>
    <s v="1101-03"/>
    <n v="0"/>
    <n v="152778"/>
    <s v="Pago fact 3219409 operadora de sistemas electrónicos spa"/>
    <n v="-152778"/>
    <s v="Activo"/>
    <n v="-152778"/>
    <x v="1"/>
  </r>
  <r>
    <n v="2026"/>
    <n v="7"/>
    <s v="22-07-2026"/>
    <n v="12638"/>
    <s v="1101-03"/>
    <n v="4303379"/>
    <n v="0"/>
    <s v="Abono clientes boleta"/>
    <n v="4303379"/>
    <s v="Activo"/>
    <n v="4303379"/>
    <x v="1"/>
  </r>
  <r>
    <n v="2026"/>
    <n v="7"/>
    <s v="22-07-2026"/>
    <n v="12639"/>
    <s v="1101-03"/>
    <n v="251916"/>
    <n v="0"/>
    <s v="Abono clientes boleta"/>
    <n v="251916"/>
    <s v="Activo"/>
    <n v="251916"/>
    <x v="1"/>
  </r>
  <r>
    <n v="2026"/>
    <n v="7"/>
    <s v="22-07-2026"/>
    <n v="10887"/>
    <s v="1101-03"/>
    <n v="5000000"/>
    <n v="0"/>
    <s v="Traspaso entre cuentas"/>
    <n v="5000000"/>
    <s v="Activo"/>
    <n v="5000000"/>
    <x v="1"/>
  </r>
  <r>
    <n v="2026"/>
    <n v="7"/>
    <s v="22-07-2026"/>
    <n v="10888"/>
    <s v="1101-03"/>
    <n v="2000000"/>
    <n v="0"/>
    <s v="Traspaso entre cuentas"/>
    <n v="2000000"/>
    <s v="Activo"/>
    <n v="2000000"/>
    <x v="1"/>
  </r>
  <r>
    <n v="2026"/>
    <n v="7"/>
    <s v="23-07-2026"/>
    <n v="8548"/>
    <s v="1101-03"/>
    <n v="0"/>
    <n v="3839655"/>
    <s v="Pago fact 299 asociacion gremial de pequenos proveedores de internet y television"/>
    <n v="-3839655"/>
    <s v="Activo"/>
    <n v="-3839655"/>
    <x v="1"/>
  </r>
  <r>
    <n v="2026"/>
    <n v="7"/>
    <s v="23-07-2026"/>
    <n v="8549"/>
    <s v="1101-03"/>
    <n v="0"/>
    <n v="2290906"/>
    <s v="Pago fact 9236 silica networks chile s.a."/>
    <n v="-2290906"/>
    <s v="Activo"/>
    <n v="-2290906"/>
    <x v="1"/>
  </r>
  <r>
    <n v="2026"/>
    <n v="7"/>
    <s v="23-07-2026"/>
    <n v="8550"/>
    <s v="1101-03"/>
    <n v="0"/>
    <n v="2082500"/>
    <s v="Pago fact 39128 tac communications s.a."/>
    <n v="-2082500"/>
    <s v="Activo"/>
    <n v="-2082500"/>
    <x v="1"/>
  </r>
  <r>
    <n v="2026"/>
    <n v="7"/>
    <s v="23-07-2026"/>
    <n v="8551"/>
    <s v="1101-03"/>
    <n v="0"/>
    <n v="1257528"/>
    <s v="Pago fact 2762 solution box chile spa"/>
    <n v="-1257528"/>
    <s v="Activo"/>
    <n v="-1257528"/>
    <x v="1"/>
  </r>
  <r>
    <n v="2026"/>
    <n v="7"/>
    <s v="23-07-2026"/>
    <n v="8552"/>
    <s v="1101-03"/>
    <n v="0"/>
    <n v="1000000"/>
    <s v="Pago fact 124592 cirion technologies chile s.a."/>
    <n v="-1000000"/>
    <s v="Activo"/>
    <n v="-1000000"/>
    <x v="1"/>
  </r>
  <r>
    <n v="2026"/>
    <n v="7"/>
    <s v="23-07-2026"/>
    <n v="8553"/>
    <s v="1101-03"/>
    <n v="0"/>
    <n v="600000"/>
    <s v="Anticipo rodrigo bernar"/>
    <n v="-600000"/>
    <s v="Activo"/>
    <n v="-600000"/>
    <x v="1"/>
  </r>
  <r>
    <n v="2026"/>
    <n v="7"/>
    <s v="23-07-2026"/>
    <n v="8554"/>
    <s v="1101-03"/>
    <n v="0"/>
    <n v="546924"/>
    <s v="Pago fact 8137 hyl telecom ltda."/>
    <n v="-546924"/>
    <s v="Activo"/>
    <n v="-546924"/>
    <x v="1"/>
  </r>
  <r>
    <n v="2026"/>
    <n v="7"/>
    <s v="23-07-2026"/>
    <n v="8555"/>
    <s v="1101-03"/>
    <n v="0"/>
    <n v="441509"/>
    <s v="Pago fact 39508 tac communications s.a."/>
    <n v="-441509"/>
    <s v="Activo"/>
    <n v="-441509"/>
    <x v="1"/>
  </r>
  <r>
    <n v="2026"/>
    <n v="7"/>
    <s v="23-07-2026"/>
    <n v="8556"/>
    <s v="1101-03"/>
    <n v="0"/>
    <n v="437325"/>
    <s v="Pago fact 6931 optictimes spa"/>
    <n v="-437325"/>
    <s v="Activo"/>
    <n v="-437325"/>
    <x v="1"/>
  </r>
  <r>
    <n v="2026"/>
    <n v="7"/>
    <s v="23-07-2026"/>
    <n v="8557"/>
    <s v="1101-03"/>
    <n v="0"/>
    <n v="422688"/>
    <s v="Pago fact 39507 tac communications s.a."/>
    <n v="-422688"/>
    <s v="Activo"/>
    <n v="-422688"/>
    <x v="1"/>
  </r>
  <r>
    <n v="2026"/>
    <n v="7"/>
    <s v="23-07-2026"/>
    <n v="8558"/>
    <s v="1101-03"/>
    <n v="0"/>
    <n v="349772"/>
    <s v="Pago fact 78591 powerhost telecom spa"/>
    <n v="-349772"/>
    <s v="Activo"/>
    <n v="-349772"/>
    <x v="1"/>
  </r>
  <r>
    <n v="2026"/>
    <n v="7"/>
    <s v="23-07-2026"/>
    <n v="8559"/>
    <s v="1101-03"/>
    <n v="0"/>
    <n v="267223"/>
    <s v="Pago fact 10897 central sistemas spa"/>
    <n v="-267223"/>
    <s v="Activo"/>
    <n v="-267223"/>
    <x v="1"/>
  </r>
  <r>
    <n v="2026"/>
    <n v="7"/>
    <s v="23-07-2026"/>
    <n v="8560"/>
    <s v="1101-03"/>
    <n v="0"/>
    <n v="210000"/>
    <s v="Pago bh 114 felipe ignacio luengo moreira"/>
    <n v="-210000"/>
    <s v="Activo"/>
    <n v="-210000"/>
    <x v="1"/>
  </r>
  <r>
    <n v="2026"/>
    <n v="7"/>
    <s v="23-07-2026"/>
    <n v="8561"/>
    <s v="1101-03"/>
    <n v="0"/>
    <n v="175109"/>
    <s v="Pago fact 39509 tac communications s.a."/>
    <n v="-175109"/>
    <s v="Activo"/>
    <n v="-175109"/>
    <x v="1"/>
  </r>
  <r>
    <n v="2026"/>
    <n v="7"/>
    <s v="23-07-2026"/>
    <n v="8562"/>
    <s v="1101-03"/>
    <n v="0"/>
    <n v="105000"/>
    <s v="Pago bh 116 soledad del carmen maldonado z"/>
    <n v="-105000"/>
    <s v="Activo"/>
    <n v="-105000"/>
    <x v="1"/>
  </r>
  <r>
    <n v="2026"/>
    <n v="7"/>
    <s v="23-07-2026"/>
    <n v="8563"/>
    <s v="1101-03"/>
    <n v="0"/>
    <n v="96653"/>
    <s v="Pago fact 2727 sociedad emisora de tarjetas los héroes s.a"/>
    <n v="-96653"/>
    <s v="Activo"/>
    <n v="-96653"/>
    <x v="1"/>
  </r>
  <r>
    <n v="2026"/>
    <n v="7"/>
    <s v="23-07-2026"/>
    <n v="8564"/>
    <s v="1101-03"/>
    <n v="0"/>
    <n v="41650"/>
    <s v="Pago fact 402 productora energeek limitada"/>
    <n v="-41650"/>
    <s v="Activo"/>
    <n v="-41650"/>
    <x v="1"/>
  </r>
  <r>
    <n v="2026"/>
    <n v="7"/>
    <s v="23-07-2026"/>
    <n v="12640"/>
    <s v="1101-03"/>
    <n v="2632315"/>
    <n v="0"/>
    <s v="Abono clientes boleta"/>
    <n v="2632315"/>
    <s v="Activo"/>
    <n v="2632315"/>
    <x v="1"/>
  </r>
  <r>
    <n v="2026"/>
    <n v="7"/>
    <s v="23-07-2026"/>
    <n v="12641"/>
    <s v="1101-03"/>
    <n v="245940"/>
    <n v="0"/>
    <s v="Abono clientes boleta"/>
    <n v="245940"/>
    <s v="Activo"/>
    <n v="245940"/>
    <x v="1"/>
  </r>
  <r>
    <n v="2026"/>
    <n v="7"/>
    <s v="24-07-2026"/>
    <n v="8565"/>
    <s v="1101-03"/>
    <n v="0"/>
    <n v="3000000"/>
    <s v="Pago dividendo"/>
    <n v="-3000000"/>
    <s v="Activo"/>
    <n v="-3000000"/>
    <x v="1"/>
  </r>
  <r>
    <n v="2026"/>
    <n v="7"/>
    <s v="24-07-2026"/>
    <n v="12642"/>
    <s v="1101-03"/>
    <n v="2659764"/>
    <n v="0"/>
    <s v="Abono clientes boleta"/>
    <n v="2659764"/>
    <s v="Activo"/>
    <n v="2659764"/>
    <x v="1"/>
  </r>
  <r>
    <n v="2026"/>
    <n v="7"/>
    <s v="24-07-2026"/>
    <n v="12643"/>
    <s v="1101-03"/>
    <n v="152108"/>
    <n v="0"/>
    <s v="Abono clientes boleta"/>
    <n v="152108"/>
    <s v="Activo"/>
    <n v="152108"/>
    <x v="1"/>
  </r>
  <r>
    <n v="2026"/>
    <n v="7"/>
    <s v="27-07-2026"/>
    <n v="8566"/>
    <s v="1101-03"/>
    <n v="0"/>
    <n v="500000"/>
    <s v="Compra copec"/>
    <n v="-500000"/>
    <s v="Activo"/>
    <n v="-500000"/>
    <x v="1"/>
  </r>
  <r>
    <n v="2026"/>
    <n v="7"/>
    <s v="27-07-2026"/>
    <n v="8567"/>
    <s v="1101-03"/>
    <n v="0"/>
    <n v="500000"/>
    <s v="Compra copec"/>
    <n v="-500000"/>
    <s v="Activo"/>
    <n v="-500000"/>
    <x v="1"/>
  </r>
  <r>
    <n v="2026"/>
    <n v="7"/>
    <s v="27-07-2026"/>
    <n v="12644"/>
    <s v="1101-03"/>
    <n v="2221270"/>
    <n v="0"/>
    <s v="Abono clientes boleta"/>
    <n v="2221270"/>
    <s v="Activo"/>
    <n v="2221270"/>
    <x v="1"/>
  </r>
  <r>
    <n v="2026"/>
    <n v="7"/>
    <s v="27-07-2026"/>
    <n v="12645"/>
    <s v="1101-03"/>
    <n v="576504"/>
    <n v="0"/>
    <s v="Abono clientes boleta"/>
    <n v="576504"/>
    <s v="Activo"/>
    <n v="576504"/>
    <x v="1"/>
  </r>
  <r>
    <n v="2026"/>
    <n v="7"/>
    <s v="28-07-2026"/>
    <n v="12646"/>
    <s v="1101-03"/>
    <n v="5183665"/>
    <n v="0"/>
    <s v="Abono clientes boleta"/>
    <n v="5183665"/>
    <s v="Activo"/>
    <n v="5183665"/>
    <x v="1"/>
  </r>
  <r>
    <n v="2026"/>
    <n v="7"/>
    <s v="28-07-2026"/>
    <n v="12647"/>
    <s v="1101-03"/>
    <n v="327766"/>
    <n v="0"/>
    <s v="Abono clientes boleta"/>
    <n v="327766"/>
    <s v="Activo"/>
    <n v="327766"/>
    <x v="1"/>
  </r>
  <r>
    <n v="2026"/>
    <n v="7"/>
    <s v="28-07-2026"/>
    <n v="10889"/>
    <s v="1101-03"/>
    <n v="0"/>
    <n v="250000"/>
    <s v="Traspaso entre cuentas"/>
    <n v="-250000"/>
    <s v="Activo"/>
    <n v="-250000"/>
    <x v="1"/>
  </r>
  <r>
    <n v="2026"/>
    <n v="7"/>
    <s v="29-07-2026"/>
    <n v="8568"/>
    <s v="1101-03"/>
    <n v="0"/>
    <n v="32840"/>
    <s v="Pago fact 80309098 admin. de supermercados hiper limitada"/>
    <n v="-32840"/>
    <s v="Activo"/>
    <n v="-32840"/>
    <x v="1"/>
  </r>
  <r>
    <n v="2026"/>
    <n v="7"/>
    <s v="29-07-2026"/>
    <n v="8569"/>
    <s v="1101-03"/>
    <n v="0"/>
    <n v="24088"/>
    <s v="Pago facturas santander"/>
    <n v="-24088"/>
    <s v="Activo"/>
    <n v="-24088"/>
    <x v="1"/>
  </r>
  <r>
    <n v="2026"/>
    <n v="7"/>
    <s v="29-07-2026"/>
    <n v="12648"/>
    <s v="1101-03"/>
    <n v="9745502"/>
    <n v="0"/>
    <s v="Abono clientes boleta"/>
    <n v="9745502"/>
    <s v="Activo"/>
    <n v="9745502"/>
    <x v="1"/>
  </r>
  <r>
    <n v="2026"/>
    <n v="7"/>
    <s v="29-07-2026"/>
    <n v="12649"/>
    <s v="1101-03"/>
    <n v="504931"/>
    <n v="0"/>
    <s v="Abono clientes boleta"/>
    <n v="504931"/>
    <s v="Activo"/>
    <n v="504931"/>
    <x v="1"/>
  </r>
  <r>
    <n v="2026"/>
    <n v="7"/>
    <s v="30-07-2026"/>
    <n v="8570"/>
    <s v="1101-03"/>
    <n v="0"/>
    <n v="3848368"/>
    <s v="Pago fact 38665 tac communications s.a."/>
    <n v="-3848368"/>
    <s v="Activo"/>
    <n v="-3848368"/>
    <x v="1"/>
  </r>
  <r>
    <n v="2026"/>
    <n v="7"/>
    <s v="30-07-2026"/>
    <n v="8571"/>
    <s v="1101-03"/>
    <n v="0"/>
    <n v="1000000"/>
    <s v="Transf a virec spa"/>
    <n v="-1000000"/>
    <s v="Activo"/>
    <n v="-1000000"/>
    <x v="1"/>
  </r>
  <r>
    <n v="2026"/>
    <n v="7"/>
    <s v="30-07-2026"/>
    <n v="8572"/>
    <s v="1101-03"/>
    <n v="0"/>
    <n v="894571"/>
    <s v="Pago fact 124592 cirion technologies chile s.a."/>
    <n v="-894571"/>
    <s v="Activo"/>
    <n v="-894571"/>
    <x v="1"/>
  </r>
  <r>
    <n v="2026"/>
    <n v="7"/>
    <s v="30-07-2026"/>
    <n v="8573"/>
    <s v="1101-03"/>
    <n v="0"/>
    <n v="443870"/>
    <s v="Pago fact 6991 optictimes spa"/>
    <n v="-443870"/>
    <s v="Activo"/>
    <n v="-443870"/>
    <x v="1"/>
  </r>
  <r>
    <n v="2026"/>
    <n v="7"/>
    <s v="30-07-2026"/>
    <n v="8574"/>
    <s v="1101-03"/>
    <n v="0"/>
    <n v="371280"/>
    <s v="Pago fact 7026 optictimes spa"/>
    <n v="-371280"/>
    <s v="Activo"/>
    <n v="-371280"/>
    <x v="1"/>
  </r>
  <r>
    <n v="2026"/>
    <n v="7"/>
    <s v="30-07-2026"/>
    <n v="8575"/>
    <s v="1101-03"/>
    <n v="0"/>
    <n v="174051"/>
    <s v="Pago fact 208274 contempora compania de seguros generales s.a"/>
    <n v="-174051"/>
    <s v="Activo"/>
    <n v="-174051"/>
    <x v="1"/>
  </r>
  <r>
    <n v="2026"/>
    <n v="7"/>
    <s v="30-07-2026"/>
    <n v="8576"/>
    <s v="1101-03"/>
    <n v="0"/>
    <n v="120879"/>
    <s v="Compra colaciones"/>
    <n v="-120879"/>
    <s v="Activo"/>
    <n v="-120879"/>
    <x v="1"/>
  </r>
  <r>
    <n v="2026"/>
    <n v="7"/>
    <s v="30-07-2026"/>
    <n v="8577"/>
    <s v="1101-03"/>
    <n v="0"/>
    <n v="37382"/>
    <s v="Pago fact 2762 solution box chile spa"/>
    <n v="-37382"/>
    <s v="Activo"/>
    <n v="-37382"/>
    <x v="1"/>
  </r>
  <r>
    <n v="2026"/>
    <n v="7"/>
    <s v="30-07-2026"/>
    <n v="12650"/>
    <s v="1101-03"/>
    <n v="7196121"/>
    <n v="0"/>
    <s v="Abono clientes boleta"/>
    <n v="7196121"/>
    <s v="Activo"/>
    <n v="7196121"/>
    <x v="1"/>
  </r>
  <r>
    <n v="2026"/>
    <n v="7"/>
    <s v="30-07-2026"/>
    <n v="12651"/>
    <s v="1101-03"/>
    <n v="447815"/>
    <n v="0"/>
    <s v="Abono clientes boleta"/>
    <n v="447815"/>
    <s v="Activo"/>
    <n v="447815"/>
    <x v="1"/>
  </r>
  <r>
    <n v="2026"/>
    <n v="7"/>
    <s v="30-07-2026"/>
    <n v="10856"/>
    <s v="1101-03"/>
    <n v="0"/>
    <n v="4472194"/>
    <s v="Traspaso entre bancos"/>
    <n v="-4472194"/>
    <s v="Activo"/>
    <n v="-4472194"/>
    <x v="1"/>
  </r>
  <r>
    <n v="2026"/>
    <n v="7"/>
    <s v="30-07-2026"/>
    <n v="10857"/>
    <s v="1101-03"/>
    <n v="0"/>
    <n v="4526921"/>
    <s v="Traspaso entre bancos"/>
    <n v="-4526921"/>
    <s v="Activo"/>
    <n v="-4526921"/>
    <x v="1"/>
  </r>
  <r>
    <n v="2026"/>
    <n v="7"/>
    <s v="30-07-2026"/>
    <n v="10858"/>
    <s v="1101-03"/>
    <n v="0"/>
    <n v="5000000"/>
    <s v="Traspaso entre bancos"/>
    <n v="-5000000"/>
    <s v="Activo"/>
    <n v="-5000000"/>
    <x v="1"/>
  </r>
  <r>
    <n v="2026"/>
    <n v="7"/>
    <s v="30-07-2026"/>
    <n v="10859"/>
    <s v="1101-03"/>
    <n v="0"/>
    <n v="5000000"/>
    <s v="Traspaso entre bancos"/>
    <n v="-5000000"/>
    <s v="Activo"/>
    <n v="-5000000"/>
    <x v="1"/>
  </r>
  <r>
    <n v="2026"/>
    <n v="7"/>
    <s v="30-07-2026"/>
    <n v="10890"/>
    <s v="1101-03"/>
    <n v="4000000"/>
    <n v="0"/>
    <s v="Traspaso entre cuentas"/>
    <n v="4000000"/>
    <s v="Activo"/>
    <n v="4000000"/>
    <x v="1"/>
  </r>
  <r>
    <n v="2026"/>
    <n v="7"/>
    <s v="31-07-2026"/>
    <n v="8578"/>
    <s v="1101-03"/>
    <n v="0"/>
    <n v="5000000"/>
    <s v="Pago dividendo"/>
    <n v="-5000000"/>
    <s v="Activo"/>
    <n v="-5000000"/>
    <x v="1"/>
  </r>
  <r>
    <n v="2026"/>
    <n v="7"/>
    <s v="31-07-2026"/>
    <n v="8579"/>
    <s v="1101-03"/>
    <n v="0"/>
    <n v="5000000"/>
    <s v="Pago dividendo"/>
    <n v="-5000000"/>
    <s v="Activo"/>
    <n v="-5000000"/>
    <x v="1"/>
  </r>
  <r>
    <n v="2026"/>
    <n v="7"/>
    <s v="31-07-2026"/>
    <n v="8580"/>
    <s v="1101-03"/>
    <n v="0"/>
    <n v="5000000"/>
    <s v="Pago dividendo"/>
    <n v="-5000000"/>
    <s v="Activo"/>
    <n v="-5000000"/>
    <x v="1"/>
  </r>
  <r>
    <n v="2026"/>
    <n v="7"/>
    <s v="31-07-2026"/>
    <n v="8581"/>
    <s v="1101-03"/>
    <n v="0"/>
    <n v="4970444"/>
    <s v="Remuneraciones christian quezada"/>
    <n v="-4970444"/>
    <s v="Activo"/>
    <n v="-4970444"/>
    <x v="1"/>
  </r>
  <r>
    <n v="2026"/>
    <n v="7"/>
    <s v="31-07-2026"/>
    <n v="8582"/>
    <s v="1101-03"/>
    <n v="0"/>
    <n v="3803933"/>
    <s v="Pago dividendo"/>
    <n v="-3803933"/>
    <s v="Activo"/>
    <n v="-3803933"/>
    <x v="1"/>
  </r>
  <r>
    <n v="2026"/>
    <n v="7"/>
    <s v="31-07-2026"/>
    <n v="8583"/>
    <s v="1101-03"/>
    <n v="0"/>
    <n v="500000"/>
    <s v="Compra copec"/>
    <n v="-500000"/>
    <s v="Activo"/>
    <n v="-500000"/>
    <x v="1"/>
  </r>
  <r>
    <n v="2026"/>
    <n v="7"/>
    <s v="31-07-2026"/>
    <n v="8584"/>
    <s v="1101-03"/>
    <n v="0"/>
    <n v="105252"/>
    <s v="Consumo electrico mes julio nodo santo domingo"/>
    <n v="-105252"/>
    <s v="Activo"/>
    <n v="-105252"/>
    <x v="1"/>
  </r>
  <r>
    <n v="2026"/>
    <n v="7"/>
    <s v="31-07-2026"/>
    <n v="8585"/>
    <s v="1101-03"/>
    <n v="0"/>
    <n v="83202"/>
    <s v="Consumo electrico mes julio nodo cartagena"/>
    <n v="-83202"/>
    <s v="Activo"/>
    <n v="-83202"/>
    <x v="1"/>
  </r>
  <r>
    <n v="2026"/>
    <n v="7"/>
    <s v="31-07-2026"/>
    <n v="12652"/>
    <s v="1101-03"/>
    <n v="5530116"/>
    <n v="0"/>
    <s v="Abono clientes boleta"/>
    <n v="5530116"/>
    <s v="Activo"/>
    <n v="5530116"/>
    <x v="1"/>
  </r>
  <r>
    <n v="2026"/>
    <n v="7"/>
    <s v="31-07-2026"/>
    <n v="12653"/>
    <s v="1101-03"/>
    <n v="623267"/>
    <n v="0"/>
    <s v="Abono clientes boleta"/>
    <n v="623267"/>
    <s v="Activo"/>
    <n v="623267"/>
    <x v="1"/>
  </r>
  <r>
    <n v="2026"/>
    <n v="7"/>
    <s v="31-07-2026"/>
    <n v="10891"/>
    <s v="1101-03"/>
    <n v="5000000"/>
    <n v="0"/>
    <s v="Traspaso entre cuentas"/>
    <n v="5000000"/>
    <s v="Activo"/>
    <n v="5000000"/>
    <x v="1"/>
  </r>
  <r>
    <n v="2026"/>
    <n v="7"/>
    <s v="31-07-2026"/>
    <n v="10892"/>
    <s v="1101-03"/>
    <n v="4287486"/>
    <n v="0"/>
    <s v="Traspaso entre cuentas"/>
    <n v="4287486"/>
    <s v="Activo"/>
    <n v="4287486"/>
    <x v="1"/>
  </r>
  <r>
    <n v="2026"/>
    <n v="7"/>
    <s v="31-07-2026"/>
    <n v="10893"/>
    <s v="1101-03"/>
    <n v="2075740"/>
    <n v="0"/>
    <s v="Traspaso entre cuentas"/>
    <n v="2075740"/>
    <s v="Activo"/>
    <n v="2075740"/>
    <x v="1"/>
  </r>
  <r>
    <n v="2026"/>
    <n v="7"/>
    <s v="31-07-2026"/>
    <n v="10894"/>
    <s v="1101-03"/>
    <n v="2000000"/>
    <n v="0"/>
    <s v="Traspaso entre cuentas"/>
    <n v="2000000"/>
    <s v="Activo"/>
    <n v="2000000"/>
    <x v="1"/>
  </r>
  <r>
    <n v="2026"/>
    <n v="7"/>
    <s v="31-07-2026"/>
    <n v="10895"/>
    <s v="1101-03"/>
    <n v="0"/>
    <n v="200000"/>
    <s v="Traspaso entre cuentas"/>
    <n v="-200000"/>
    <s v="Activo"/>
    <n v="-200000"/>
    <x v="1"/>
  </r>
  <r>
    <n v="2026"/>
    <n v="7"/>
    <s v="31-07-2026"/>
    <n v="10896"/>
    <s v="1101-03"/>
    <n v="0"/>
    <n v="15000"/>
    <s v="Traspaso entre cuentas"/>
    <n v="-15000"/>
    <s v="Activo"/>
    <n v="-15000"/>
    <x v="1"/>
  </r>
  <r>
    <n v="2026"/>
    <n v="1"/>
    <s v="01-01-2026"/>
    <n v="9827"/>
    <s v="1101-04"/>
    <n v="7748709"/>
    <n v="0"/>
    <s v=""/>
    <n v="7748709"/>
    <s v="Activo"/>
    <n v="7748709"/>
    <x v="2"/>
  </r>
  <r>
    <n v="2026"/>
    <n v="1"/>
    <s v="02-01-2026"/>
    <n v="7097"/>
    <s v="1101-04"/>
    <n v="36990"/>
    <n v="0"/>
    <s v="Centralización recaudaciones enero 2026"/>
    <n v="36990"/>
    <s v="Activo"/>
    <n v="36990"/>
    <x v="2"/>
  </r>
  <r>
    <n v="2026"/>
    <n v="1"/>
    <s v="02-01-2026"/>
    <n v="7097"/>
    <s v="1101-04"/>
    <n v="33990"/>
    <n v="0"/>
    <s v="Centralización recaudaciones enero 2026"/>
    <n v="33990"/>
    <s v="Activo"/>
    <n v="33990"/>
    <x v="2"/>
  </r>
  <r>
    <n v="2026"/>
    <n v="1"/>
    <s v="02-01-2026"/>
    <n v="7097"/>
    <s v="1101-04"/>
    <n v="47980"/>
    <n v="0"/>
    <s v="Centralización recaudaciones enero 2026"/>
    <n v="47980"/>
    <s v="Activo"/>
    <n v="47980"/>
    <x v="2"/>
  </r>
  <r>
    <n v="2026"/>
    <n v="1"/>
    <s v="02-01-2026"/>
    <n v="7097"/>
    <s v="1101-04"/>
    <n v="22000"/>
    <n v="0"/>
    <s v="Centralización recaudaciones enero 2026"/>
    <n v="22000"/>
    <s v="Activo"/>
    <n v="22000"/>
    <x v="2"/>
  </r>
  <r>
    <n v="2026"/>
    <n v="1"/>
    <s v="02-01-2026"/>
    <n v="7097"/>
    <s v="1101-04"/>
    <n v="33990"/>
    <n v="0"/>
    <s v="Centralización recaudaciones enero 2026"/>
    <n v="33990"/>
    <s v="Activo"/>
    <n v="33990"/>
    <x v="2"/>
  </r>
  <r>
    <n v="2026"/>
    <n v="1"/>
    <s v="02-01-2026"/>
    <n v="10027"/>
    <s v="1101-04"/>
    <n v="0"/>
    <n v="5000000"/>
    <s v="0765406986 transf."/>
    <n v="-5000000"/>
    <s v="Activo"/>
    <n v="-5000000"/>
    <x v="2"/>
  </r>
  <r>
    <n v="2026"/>
    <n v="1"/>
    <s v="02-01-2026"/>
    <n v="10028"/>
    <s v="1101-04"/>
    <n v="0"/>
    <n v="3000000"/>
    <s v="0765406986 transf."/>
    <n v="-3000000"/>
    <s v="Activo"/>
    <n v="-3000000"/>
    <x v="2"/>
  </r>
  <r>
    <n v="2026"/>
    <n v="1"/>
    <s v="02-01-2026"/>
    <n v="10030"/>
    <s v="1101-04"/>
    <n v="0"/>
    <n v="1000000"/>
    <s v="0765406986 transf."/>
    <n v="-1000000"/>
    <s v="Activo"/>
    <n v="-1000000"/>
    <x v="2"/>
  </r>
  <r>
    <n v="2026"/>
    <n v="1"/>
    <s v="02-01-2026"/>
    <n v="10077"/>
    <s v="1101-04"/>
    <n v="47000"/>
    <n v="0"/>
    <s v="Recaudacion clientes"/>
    <n v="47000"/>
    <s v="Activo"/>
    <n v="47000"/>
    <x v="2"/>
  </r>
  <r>
    <n v="2026"/>
    <n v="1"/>
    <s v="02-01-2026"/>
    <n v="10078"/>
    <s v="1101-04"/>
    <n v="12990"/>
    <n v="0"/>
    <s v="Recaudacion clientes"/>
    <n v="12990"/>
    <s v="Activo"/>
    <n v="12990"/>
    <x v="2"/>
  </r>
  <r>
    <n v="2026"/>
    <n v="1"/>
    <s v="02-01-2026"/>
    <n v="10079"/>
    <s v="1101-04"/>
    <n v="30000"/>
    <n v="0"/>
    <s v="Centralización recaudaciones enero 2026 #1938 - #1938"/>
    <n v="30000"/>
    <s v="Activo"/>
    <n v="30000"/>
    <x v="2"/>
  </r>
  <r>
    <n v="2026"/>
    <n v="1"/>
    <s v="02-01-2026"/>
    <n v="10080"/>
    <s v="1101-04"/>
    <n v="30000"/>
    <n v="0"/>
    <s v="Centralización recaudaciones enero 2026 #1941 - #1941"/>
    <n v="30000"/>
    <s v="Activo"/>
    <n v="30000"/>
    <x v="2"/>
  </r>
  <r>
    <n v="2026"/>
    <n v="1"/>
    <s v="02-01-2026"/>
    <n v="10081"/>
    <s v="1101-04"/>
    <n v="34990"/>
    <n v="0"/>
    <s v="Centralización recaudaciones enero 2026 #1935 - #1935"/>
    <n v="34990"/>
    <s v="Activo"/>
    <n v="34990"/>
    <x v="2"/>
  </r>
  <r>
    <n v="2026"/>
    <n v="1"/>
    <s v="02-01-2026"/>
    <n v="10082"/>
    <s v="1101-04"/>
    <n v="30000"/>
    <n v="0"/>
    <s v="Centralización recaudaciones enero 2026 #1937 - #1937"/>
    <n v="30000"/>
    <s v="Activo"/>
    <n v="30000"/>
    <x v="2"/>
  </r>
  <r>
    <n v="2026"/>
    <n v="1"/>
    <s v="02-01-2026"/>
    <n v="10083"/>
    <s v="1101-04"/>
    <n v="30000"/>
    <n v="0"/>
    <s v="Centralización recaudaciones enero 2026 #1939 - #1939"/>
    <n v="30000"/>
    <s v="Activo"/>
    <n v="30000"/>
    <x v="2"/>
  </r>
  <r>
    <n v="2026"/>
    <n v="1"/>
    <s v="02-01-2026"/>
    <n v="10084"/>
    <s v="1101-04"/>
    <n v="30000"/>
    <n v="0"/>
    <s v="Centralización recaudaciones enero 2026 #1940 - #1940"/>
    <n v="30000"/>
    <s v="Activo"/>
    <n v="30000"/>
    <x v="2"/>
  </r>
  <r>
    <n v="2026"/>
    <n v="1"/>
    <s v="02-01-2026"/>
    <n v="10085"/>
    <s v="1101-04"/>
    <n v="34000"/>
    <n v="0"/>
    <s v="Centralización recaudaciones enero 2026"/>
    <n v="34000"/>
    <s v="Activo"/>
    <n v="34000"/>
    <x v="2"/>
  </r>
  <r>
    <n v="2026"/>
    <n v="1"/>
    <s v="02-01-2026"/>
    <n v="10086"/>
    <s v="1101-04"/>
    <n v="30000"/>
    <n v="0"/>
    <s v="Centralización recaudaciones enero 2026 #1960 - #1960"/>
    <n v="30000"/>
    <s v="Activo"/>
    <n v="30000"/>
    <x v="2"/>
  </r>
  <r>
    <n v="2026"/>
    <n v="1"/>
    <s v="02-01-2026"/>
    <n v="10087"/>
    <s v="1101-04"/>
    <n v="40000"/>
    <n v="0"/>
    <s v="Centralización recaudaciones enero 2026 #1977 - #1977"/>
    <n v="40000"/>
    <s v="Activo"/>
    <n v="40000"/>
    <x v="2"/>
  </r>
  <r>
    <n v="2026"/>
    <n v="1"/>
    <s v="02-01-2026"/>
    <n v="10088"/>
    <s v="1101-04"/>
    <n v="64000"/>
    <n v="0"/>
    <s v="Centralización recaudaciones enero 2026 #1944 - #1944"/>
    <n v="64000"/>
    <s v="Activo"/>
    <n v="64000"/>
    <x v="2"/>
  </r>
  <r>
    <n v="2026"/>
    <n v="1"/>
    <s v="02-01-2026"/>
    <n v="10089"/>
    <s v="1101-04"/>
    <n v="70000"/>
    <n v="0"/>
    <s v="Centralización recaudaciones enero 2026 #1945 - #1945"/>
    <n v="70000"/>
    <s v="Activo"/>
    <n v="70000"/>
    <x v="2"/>
  </r>
  <r>
    <n v="2026"/>
    <n v="1"/>
    <s v="02-01-2026"/>
    <n v="10090"/>
    <s v="1101-04"/>
    <n v="50000"/>
    <n v="0"/>
    <s v="Centralización recaudaciones enero 2026 #1946 - #1946"/>
    <n v="50000"/>
    <s v="Activo"/>
    <n v="50000"/>
    <x v="2"/>
  </r>
  <r>
    <n v="2026"/>
    <n v="1"/>
    <s v="02-01-2026"/>
    <n v="10091"/>
    <s v="1101-04"/>
    <n v="113222"/>
    <n v="0"/>
    <s v="Centralización recaudaciones enero 2026 #1978 - #1978"/>
    <n v="113222"/>
    <s v="Activo"/>
    <n v="113222"/>
    <x v="2"/>
  </r>
  <r>
    <n v="2026"/>
    <n v="1"/>
    <s v="02-01-2026"/>
    <n v="10092"/>
    <s v="1101-04"/>
    <n v="60000"/>
    <n v="0"/>
    <s v="Centralización recaudaciones enero 2026 #1942 - #1942"/>
    <n v="60000"/>
    <s v="Activo"/>
    <n v="60000"/>
    <x v="2"/>
  </r>
  <r>
    <n v="2026"/>
    <n v="1"/>
    <s v="02-01-2026"/>
    <n v="10093"/>
    <s v="1101-04"/>
    <n v="15990"/>
    <n v="0"/>
    <s v="Centralización recaudaciones enero 2026 #1943 - #1943"/>
    <n v="15990"/>
    <s v="Activo"/>
    <n v="15990"/>
    <x v="2"/>
  </r>
  <r>
    <n v="2026"/>
    <n v="1"/>
    <s v="02-01-2026"/>
    <n v="10094"/>
    <s v="1101-04"/>
    <n v="40000"/>
    <n v="0"/>
    <s v="Centralización recaudaciones enero 2026 #1947 - #1947"/>
    <n v="40000"/>
    <s v="Activo"/>
    <n v="40000"/>
    <x v="2"/>
  </r>
  <r>
    <n v="2026"/>
    <n v="1"/>
    <s v="02-01-2026"/>
    <n v="10095"/>
    <s v="1101-04"/>
    <n v="30000"/>
    <n v="0"/>
    <s v="Centralización recaudaciones enero 2026 #1963 - #1963"/>
    <n v="30000"/>
    <s v="Activo"/>
    <n v="30000"/>
    <x v="2"/>
  </r>
  <r>
    <n v="2026"/>
    <n v="1"/>
    <s v="02-01-2026"/>
    <n v="10096"/>
    <s v="1101-04"/>
    <n v="30000"/>
    <n v="0"/>
    <s v="Centralización recaudaciones enero 2026 #1964 - #1964"/>
    <n v="30000"/>
    <s v="Activo"/>
    <n v="30000"/>
    <x v="2"/>
  </r>
  <r>
    <n v="2026"/>
    <n v="1"/>
    <s v="02-01-2026"/>
    <n v="10097"/>
    <s v="1101-04"/>
    <n v="386065"/>
    <n v="0"/>
    <s v="Centralización recaudaciones enero 2026 #1979 - #1979"/>
    <n v="386065"/>
    <s v="Activo"/>
    <n v="386065"/>
    <x v="2"/>
  </r>
  <r>
    <n v="2026"/>
    <n v="1"/>
    <s v="02-01-2026"/>
    <n v="10098"/>
    <s v="1101-04"/>
    <n v="48000"/>
    <n v="0"/>
    <s v="Centralización recaudaciones enero 2026 #1980 - #1980"/>
    <n v="48000"/>
    <s v="Activo"/>
    <n v="48000"/>
    <x v="2"/>
  </r>
  <r>
    <n v="2026"/>
    <n v="1"/>
    <s v="02-01-2026"/>
    <n v="10099"/>
    <s v="1101-04"/>
    <n v="30000"/>
    <n v="0"/>
    <s v="Centralización recaudaciones enero 2026 #1981 - #1981"/>
    <n v="30000"/>
    <s v="Activo"/>
    <n v="30000"/>
    <x v="2"/>
  </r>
  <r>
    <n v="2026"/>
    <n v="1"/>
    <s v="02-01-2026"/>
    <n v="10100"/>
    <s v="1101-04"/>
    <n v="40000"/>
    <n v="0"/>
    <s v="Centralización recaudaciones enero 2026 #1948 - #1948"/>
    <n v="40000"/>
    <s v="Activo"/>
    <n v="40000"/>
    <x v="2"/>
  </r>
  <r>
    <n v="2026"/>
    <n v="1"/>
    <s v="02-01-2026"/>
    <n v="10101"/>
    <s v="1101-04"/>
    <n v="134351"/>
    <n v="0"/>
    <s v="Centralización recaudaciones enero 2026 #1949 - #1949"/>
    <n v="134351"/>
    <s v="Activo"/>
    <n v="134351"/>
    <x v="2"/>
  </r>
  <r>
    <n v="2026"/>
    <n v="1"/>
    <s v="02-01-2026"/>
    <n v="10102"/>
    <s v="1101-04"/>
    <n v="90000"/>
    <n v="0"/>
    <s v="Centralización recaudaciones enero 2026 #1950 - #1950"/>
    <n v="90000"/>
    <s v="Activo"/>
    <n v="90000"/>
    <x v="2"/>
  </r>
  <r>
    <n v="2026"/>
    <n v="1"/>
    <s v="02-01-2026"/>
    <n v="10103"/>
    <s v="1101-04"/>
    <n v="40000"/>
    <n v="0"/>
    <s v="Centralización recaudaciones enero 2026 #1951 - #1951"/>
    <n v="40000"/>
    <s v="Activo"/>
    <n v="40000"/>
    <x v="2"/>
  </r>
  <r>
    <n v="2026"/>
    <n v="1"/>
    <s v="02-01-2026"/>
    <n v="10104"/>
    <s v="1101-04"/>
    <n v="32990"/>
    <n v="0"/>
    <s v="Centralización recaudaciones enero 2026 #1965 - #1965"/>
    <n v="32990"/>
    <s v="Activo"/>
    <n v="32990"/>
    <x v="2"/>
  </r>
  <r>
    <n v="2026"/>
    <n v="1"/>
    <s v="02-01-2026"/>
    <n v="10105"/>
    <s v="1101-04"/>
    <n v="30000"/>
    <n v="0"/>
    <s v="Centralización recaudaciones enero 2026 #1966 - #1966"/>
    <n v="30000"/>
    <s v="Activo"/>
    <n v="30000"/>
    <x v="2"/>
  </r>
  <r>
    <n v="2026"/>
    <n v="1"/>
    <s v="02-01-2026"/>
    <n v="10106"/>
    <s v="1101-04"/>
    <n v="32990"/>
    <n v="0"/>
    <s v="Centralización recaudaciones enero 2026 #1967 - #1967"/>
    <n v="32990"/>
    <s v="Activo"/>
    <n v="32990"/>
    <x v="2"/>
  </r>
  <r>
    <n v="2026"/>
    <n v="1"/>
    <s v="02-01-2026"/>
    <n v="10107"/>
    <s v="1101-04"/>
    <n v="30000"/>
    <n v="0"/>
    <s v="Centralización recaudaciones enero 2026 #1968 - #1968"/>
    <n v="30000"/>
    <s v="Activo"/>
    <n v="30000"/>
    <x v="2"/>
  </r>
  <r>
    <n v="2026"/>
    <n v="1"/>
    <s v="02-01-2026"/>
    <n v="10108"/>
    <s v="1101-04"/>
    <n v="30000"/>
    <n v="0"/>
    <s v="Centralización recaudaciones enero 2026 #1969 - #1969"/>
    <n v="30000"/>
    <s v="Activo"/>
    <n v="30000"/>
    <x v="2"/>
  </r>
  <r>
    <n v="2026"/>
    <n v="1"/>
    <s v="02-01-2026"/>
    <n v="10109"/>
    <s v="1101-04"/>
    <n v="21990"/>
    <n v="0"/>
    <s v="Centralización recaudaciones enero 2026 #1970 - #1970"/>
    <n v="21990"/>
    <s v="Activo"/>
    <n v="21990"/>
    <x v="2"/>
  </r>
  <r>
    <n v="2026"/>
    <n v="1"/>
    <s v="02-01-2026"/>
    <n v="10110"/>
    <s v="1101-04"/>
    <n v="23990"/>
    <n v="0"/>
    <s v="Centralización recaudaciones enero 2026 #1971 - #1971"/>
    <n v="23990"/>
    <s v="Activo"/>
    <n v="23990"/>
    <x v="2"/>
  </r>
  <r>
    <n v="2026"/>
    <n v="1"/>
    <s v="02-01-2026"/>
    <n v="10111"/>
    <s v="1101-04"/>
    <n v="19990"/>
    <n v="0"/>
    <s v="Centralización recaudaciones enero 2026 #1982 - #1982"/>
    <n v="19990"/>
    <s v="Activo"/>
    <n v="19990"/>
    <x v="2"/>
  </r>
  <r>
    <n v="2026"/>
    <n v="1"/>
    <s v="02-01-2026"/>
    <n v="10112"/>
    <s v="1101-04"/>
    <n v="40000"/>
    <n v="0"/>
    <s v="Centralización recaudaciones enero 2026 #1983 - #1983"/>
    <n v="40000"/>
    <s v="Activo"/>
    <n v="40000"/>
    <x v="2"/>
  </r>
  <r>
    <n v="2026"/>
    <n v="1"/>
    <s v="02-01-2026"/>
    <n v="10113"/>
    <s v="1101-04"/>
    <n v="33990"/>
    <n v="0"/>
    <s v="Centralización recaudaciones enero 2026 #1984 - #1984"/>
    <n v="33990"/>
    <s v="Activo"/>
    <n v="33990"/>
    <x v="2"/>
  </r>
  <r>
    <n v="2026"/>
    <n v="1"/>
    <s v="02-01-2026"/>
    <n v="10114"/>
    <s v="1101-04"/>
    <n v="40000"/>
    <n v="0"/>
    <s v="Centralización recaudaciones enero 2026 #1952 - #1952"/>
    <n v="40000"/>
    <s v="Activo"/>
    <n v="40000"/>
    <x v="2"/>
  </r>
  <r>
    <n v="2026"/>
    <n v="1"/>
    <s v="02-01-2026"/>
    <n v="10115"/>
    <s v="1101-04"/>
    <n v="21990"/>
    <n v="0"/>
    <s v="Centralización recaudaciones enero 2026 #1953 - #1953"/>
    <n v="21990"/>
    <s v="Activo"/>
    <n v="21990"/>
    <x v="2"/>
  </r>
  <r>
    <n v="2026"/>
    <n v="1"/>
    <s v="02-01-2026"/>
    <n v="10116"/>
    <s v="1101-04"/>
    <n v="36990"/>
    <n v="0"/>
    <s v="Centralización recaudaciones enero 2026 #1954 - #1954"/>
    <n v="36990"/>
    <s v="Activo"/>
    <n v="36990"/>
    <x v="2"/>
  </r>
  <r>
    <n v="2026"/>
    <n v="1"/>
    <s v="02-01-2026"/>
    <n v="10117"/>
    <s v="1101-04"/>
    <n v="36990"/>
    <n v="0"/>
    <s v="Centralización recaudaciones enero 2026 #1955 - #1955"/>
    <n v="36990"/>
    <s v="Activo"/>
    <n v="36990"/>
    <x v="2"/>
  </r>
  <r>
    <n v="2026"/>
    <n v="1"/>
    <s v="02-01-2026"/>
    <n v="10118"/>
    <s v="1101-04"/>
    <n v="26990"/>
    <n v="0"/>
    <s v="Centralización recaudaciones enero 2026 #1956 - #1956"/>
    <n v="26990"/>
    <s v="Activo"/>
    <n v="26990"/>
    <x v="2"/>
  </r>
  <r>
    <n v="2026"/>
    <n v="1"/>
    <s v="02-01-2026"/>
    <n v="10119"/>
    <s v="1101-04"/>
    <n v="48900"/>
    <n v="0"/>
    <s v="Centralización recaudaciones enero 2026 #1957 - #1957"/>
    <n v="48900"/>
    <s v="Activo"/>
    <n v="48900"/>
    <x v="2"/>
  </r>
  <r>
    <n v="2026"/>
    <n v="1"/>
    <s v="02-01-2026"/>
    <n v="10120"/>
    <s v="1101-04"/>
    <n v="14990"/>
    <n v="0"/>
    <s v="Centralización recaudaciones enero 2026 #1958 - #1958"/>
    <n v="14990"/>
    <s v="Activo"/>
    <n v="14990"/>
    <x v="2"/>
  </r>
  <r>
    <n v="2026"/>
    <n v="1"/>
    <s v="02-01-2026"/>
    <n v="10121"/>
    <s v="1101-04"/>
    <n v="30000"/>
    <n v="0"/>
    <s v="Centralización recaudaciones enero 2026 #1959 - #1959"/>
    <n v="30000"/>
    <s v="Activo"/>
    <n v="30000"/>
    <x v="2"/>
  </r>
  <r>
    <n v="2026"/>
    <n v="1"/>
    <s v="02-01-2026"/>
    <n v="10122"/>
    <s v="1101-04"/>
    <n v="86052"/>
    <n v="0"/>
    <s v="Centralización recaudaciones enero 2026 #1961 - #1961"/>
    <n v="86052"/>
    <s v="Activo"/>
    <n v="86052"/>
    <x v="2"/>
  </r>
  <r>
    <n v="2026"/>
    <n v="1"/>
    <s v="02-01-2026"/>
    <n v="10123"/>
    <s v="1101-04"/>
    <n v="26990"/>
    <n v="0"/>
    <s v="Centralización recaudaciones enero 2026 #1962 - #1962"/>
    <n v="26990"/>
    <s v="Activo"/>
    <n v="26990"/>
    <x v="2"/>
  </r>
  <r>
    <n v="2026"/>
    <n v="1"/>
    <s v="02-01-2026"/>
    <n v="10124"/>
    <s v="1101-04"/>
    <n v="34990"/>
    <n v="0"/>
    <s v="Centralización recaudaciones enero 2026 #1972 - #1972"/>
    <n v="34990"/>
    <s v="Activo"/>
    <n v="34990"/>
    <x v="2"/>
  </r>
  <r>
    <n v="2026"/>
    <n v="1"/>
    <s v="02-01-2026"/>
    <n v="10125"/>
    <s v="1101-04"/>
    <n v="230789"/>
    <n v="0"/>
    <s v="Centralización recaudaciones enero 2026 #1973 - #1973"/>
    <n v="230789"/>
    <s v="Activo"/>
    <n v="230789"/>
    <x v="2"/>
  </r>
  <r>
    <n v="2026"/>
    <n v="1"/>
    <s v="02-01-2026"/>
    <n v="10126"/>
    <s v="1101-04"/>
    <n v="12800"/>
    <n v="0"/>
    <s v="Centralización recaudaciones enero 2026 #1974 - #1974"/>
    <n v="12800"/>
    <s v="Activo"/>
    <n v="12800"/>
    <x v="2"/>
  </r>
  <r>
    <n v="2026"/>
    <n v="1"/>
    <s v="02-01-2026"/>
    <n v="10127"/>
    <s v="1101-04"/>
    <n v="12500"/>
    <n v="0"/>
    <s v="Centralización recaudaciones enero 2026 #1975 - #1975"/>
    <n v="12500"/>
    <s v="Activo"/>
    <n v="12500"/>
    <x v="2"/>
  </r>
  <r>
    <n v="2026"/>
    <n v="1"/>
    <s v="02-01-2026"/>
    <n v="10128"/>
    <s v="1101-04"/>
    <n v="43980"/>
    <n v="0"/>
    <s v="Centralización recaudaciones enero 2026 #1976 - #1976"/>
    <n v="43980"/>
    <s v="Activo"/>
    <n v="43980"/>
    <x v="2"/>
  </r>
  <r>
    <n v="2026"/>
    <n v="1"/>
    <s v="02-01-2026"/>
    <n v="10129"/>
    <s v="1101-04"/>
    <n v="43990"/>
    <n v="0"/>
    <s v="Centralización recaudaciones enero 2026 #1985 - #1985"/>
    <n v="43990"/>
    <s v="Activo"/>
    <n v="43990"/>
    <x v="2"/>
  </r>
  <r>
    <n v="2026"/>
    <n v="1"/>
    <s v="02-01-2026"/>
    <n v="10130"/>
    <s v="1101-04"/>
    <n v="29990"/>
    <n v="0"/>
    <s v="Centralización recaudaciones enero 2026 #1986 - #1986"/>
    <n v="29990"/>
    <s v="Activo"/>
    <n v="29990"/>
    <x v="2"/>
  </r>
  <r>
    <n v="2026"/>
    <n v="1"/>
    <s v="02-01-2026"/>
    <n v="10131"/>
    <s v="1101-04"/>
    <n v="30000"/>
    <n v="0"/>
    <s v="Centralización recaudaciones enero 2026 #1987 - #1987"/>
    <n v="30000"/>
    <s v="Activo"/>
    <n v="30000"/>
    <x v="2"/>
  </r>
  <r>
    <n v="2026"/>
    <n v="1"/>
    <s v="02-01-2026"/>
    <n v="10132"/>
    <s v="1101-04"/>
    <n v="30000"/>
    <n v="0"/>
    <s v="Centralización recaudaciones enero 2026 #1988 - #1988"/>
    <n v="30000"/>
    <s v="Activo"/>
    <n v="30000"/>
    <x v="2"/>
  </r>
  <r>
    <n v="2026"/>
    <n v="1"/>
    <s v="02-01-2026"/>
    <n v="10133"/>
    <s v="1101-04"/>
    <n v="30000"/>
    <n v="0"/>
    <s v="Centralización recaudaciones enero 2026 #1989 - #1989"/>
    <n v="30000"/>
    <s v="Activo"/>
    <n v="30000"/>
    <x v="2"/>
  </r>
  <r>
    <n v="2026"/>
    <n v="1"/>
    <s v="02-01-2026"/>
    <n v="10134"/>
    <s v="1101-04"/>
    <n v="41980"/>
    <n v="0"/>
    <s v="Centralización recaudaciones enero 2026 #1990 - #1990"/>
    <n v="41980"/>
    <s v="Activo"/>
    <n v="41980"/>
    <x v="2"/>
  </r>
  <r>
    <n v="2026"/>
    <n v="1"/>
    <s v="02-01-2026"/>
    <n v="10135"/>
    <s v="1101-04"/>
    <n v="28990"/>
    <n v="0"/>
    <s v="Centralización recaudaciones enero 2026 #1991 - #1991"/>
    <n v="28990"/>
    <s v="Activo"/>
    <n v="28990"/>
    <x v="2"/>
  </r>
  <r>
    <n v="2026"/>
    <n v="1"/>
    <s v="02-01-2026"/>
    <n v="10136"/>
    <s v="1101-04"/>
    <n v="30000"/>
    <n v="0"/>
    <s v="Centralización recaudaciones enero 2026 #1992 - #1992"/>
    <n v="30000"/>
    <s v="Activo"/>
    <n v="30000"/>
    <x v="2"/>
  </r>
  <r>
    <n v="2026"/>
    <n v="1"/>
    <s v="02-01-2026"/>
    <n v="10137"/>
    <s v="1101-04"/>
    <n v="30000"/>
    <n v="0"/>
    <s v="Centralización recaudaciones enero 2026 #1993 - #1993"/>
    <n v="30000"/>
    <s v="Activo"/>
    <n v="30000"/>
    <x v="2"/>
  </r>
  <r>
    <n v="2026"/>
    <n v="1"/>
    <s v="02-01-2026"/>
    <n v="10138"/>
    <s v="1101-04"/>
    <n v="30000"/>
    <n v="0"/>
    <s v="Centralización recaudaciones enero 2026 #1994 - #1994"/>
    <n v="30000"/>
    <s v="Activo"/>
    <n v="30000"/>
    <x v="2"/>
  </r>
  <r>
    <n v="2026"/>
    <n v="1"/>
    <s v="02-01-2026"/>
    <n v="10139"/>
    <s v="1101-04"/>
    <n v="30000"/>
    <n v="0"/>
    <s v="Centralización recaudaciones enero 2026 #1995 - #1995"/>
    <n v="30000"/>
    <s v="Activo"/>
    <n v="30000"/>
    <x v="2"/>
  </r>
  <r>
    <n v="2026"/>
    <n v="1"/>
    <s v="02-01-2026"/>
    <n v="10140"/>
    <s v="1101-04"/>
    <n v="30000"/>
    <n v="0"/>
    <s v="Centralización recaudaciones enero 2026 #1996 - #1996"/>
    <n v="30000"/>
    <s v="Activo"/>
    <n v="30000"/>
    <x v="2"/>
  </r>
  <r>
    <n v="2026"/>
    <n v="1"/>
    <s v="02-01-2026"/>
    <n v="10141"/>
    <s v="1101-04"/>
    <n v="30000"/>
    <n v="0"/>
    <s v="Centralización recaudaciones enero 2026 #1997 - #1997"/>
    <n v="30000"/>
    <s v="Activo"/>
    <n v="30000"/>
    <x v="2"/>
  </r>
  <r>
    <n v="2026"/>
    <n v="1"/>
    <s v="02-01-2026"/>
    <n v="10142"/>
    <s v="1101-04"/>
    <n v="30000"/>
    <n v="0"/>
    <s v="Centralización recaudaciones enero 2026 #1998 - #1998"/>
    <n v="30000"/>
    <s v="Activo"/>
    <n v="30000"/>
    <x v="2"/>
  </r>
  <r>
    <n v="2026"/>
    <n v="1"/>
    <s v="02-01-2026"/>
    <n v="10143"/>
    <s v="1101-04"/>
    <n v="38000"/>
    <n v="0"/>
    <s v="Centralización recaudaciones enero 2026 #1999 - #1999"/>
    <n v="38000"/>
    <s v="Activo"/>
    <n v="38000"/>
    <x v="2"/>
  </r>
  <r>
    <n v="2026"/>
    <n v="1"/>
    <s v="02-01-2026"/>
    <n v="10144"/>
    <s v="1101-04"/>
    <n v="30000"/>
    <n v="0"/>
    <s v="Centralización recaudaciones enero 2026 #2000 - #2000"/>
    <n v="30000"/>
    <s v="Activo"/>
    <n v="30000"/>
    <x v="2"/>
  </r>
  <r>
    <n v="2026"/>
    <n v="1"/>
    <s v="02-01-2026"/>
    <n v="10145"/>
    <s v="1101-04"/>
    <n v="30000"/>
    <n v="0"/>
    <s v="Centralización recaudaciones enero 2026 #2001 - #2001"/>
    <n v="30000"/>
    <s v="Activo"/>
    <n v="30000"/>
    <x v="2"/>
  </r>
  <r>
    <n v="2026"/>
    <n v="1"/>
    <s v="02-01-2026"/>
    <n v="10146"/>
    <s v="1101-04"/>
    <n v="30000"/>
    <n v="0"/>
    <s v="Centralización recaudaciones enero 2026 #2002 - #2002"/>
    <n v="30000"/>
    <s v="Activo"/>
    <n v="30000"/>
    <x v="2"/>
  </r>
  <r>
    <n v="2026"/>
    <n v="1"/>
    <s v="02-01-2026"/>
    <n v="10147"/>
    <s v="1101-04"/>
    <n v="30000"/>
    <n v="0"/>
    <s v="Centralización recaudaciones enero 2026 #2003 - #2003"/>
    <n v="30000"/>
    <s v="Activo"/>
    <n v="30000"/>
    <x v="2"/>
  </r>
  <r>
    <n v="2026"/>
    <n v="1"/>
    <s v="02-01-2026"/>
    <n v="10148"/>
    <s v="1101-04"/>
    <n v="30000"/>
    <n v="0"/>
    <s v="Centralización recaudaciones enero 2026 #2004 - #2004"/>
    <n v="30000"/>
    <s v="Activo"/>
    <n v="30000"/>
    <x v="2"/>
  </r>
  <r>
    <n v="2026"/>
    <n v="1"/>
    <s v="02-01-2026"/>
    <n v="10149"/>
    <s v="1101-04"/>
    <n v="30000"/>
    <n v="0"/>
    <s v="Centralización recaudaciones enero 2026 #2005 - #2005"/>
    <n v="30000"/>
    <s v="Activo"/>
    <n v="30000"/>
    <x v="2"/>
  </r>
  <r>
    <n v="2026"/>
    <n v="1"/>
    <s v="02-01-2026"/>
    <n v="10150"/>
    <s v="1101-04"/>
    <n v="30000"/>
    <n v="0"/>
    <s v="Centralización recaudaciones enero 2026 #2006 - #2006"/>
    <n v="30000"/>
    <s v="Activo"/>
    <n v="30000"/>
    <x v="2"/>
  </r>
  <r>
    <n v="2026"/>
    <n v="1"/>
    <s v="02-01-2026"/>
    <n v="10151"/>
    <s v="1101-04"/>
    <n v="36990"/>
    <n v="0"/>
    <s v="Centralización recaudaciones enero 2026 #2007 - #2007"/>
    <n v="36990"/>
    <s v="Activo"/>
    <n v="36990"/>
    <x v="2"/>
  </r>
  <r>
    <n v="2026"/>
    <n v="1"/>
    <s v="02-01-2026"/>
    <n v="10152"/>
    <s v="1101-04"/>
    <n v="14990"/>
    <n v="0"/>
    <s v="Centralización recaudaciones enero 2026 #2008 - #2008"/>
    <n v="14990"/>
    <s v="Activo"/>
    <n v="14990"/>
    <x v="2"/>
  </r>
  <r>
    <n v="2026"/>
    <n v="1"/>
    <s v="02-01-2026"/>
    <n v="10153"/>
    <s v="1101-04"/>
    <n v="43980"/>
    <n v="0"/>
    <s v="Centralización recaudaciones enero 2026 #2009 - #2009"/>
    <n v="43980"/>
    <s v="Activo"/>
    <n v="43980"/>
    <x v="2"/>
  </r>
  <r>
    <n v="2026"/>
    <n v="1"/>
    <s v="02-01-2026"/>
    <n v="10154"/>
    <s v="1101-04"/>
    <n v="54000"/>
    <n v="0"/>
    <s v="Centralización recaudaciones enero 2026 #2010 - #2010"/>
    <n v="54000"/>
    <s v="Activo"/>
    <n v="54000"/>
    <x v="2"/>
  </r>
  <r>
    <n v="2026"/>
    <n v="1"/>
    <s v="02-01-2026"/>
    <n v="10155"/>
    <s v="1101-04"/>
    <n v="22990"/>
    <n v="0"/>
    <s v="Centralización recaudaciones enero 2026 #2011 - #2011"/>
    <n v="22990"/>
    <s v="Activo"/>
    <n v="22990"/>
    <x v="2"/>
  </r>
  <r>
    <n v="2026"/>
    <n v="1"/>
    <s v="02-01-2026"/>
    <n v="10156"/>
    <s v="1101-04"/>
    <n v="174821"/>
    <n v="0"/>
    <s v="Centralización recaudaciones enero 2026 #2012 - #2012"/>
    <n v="174821"/>
    <s v="Activo"/>
    <n v="174821"/>
    <x v="2"/>
  </r>
  <r>
    <n v="2026"/>
    <n v="1"/>
    <s v="02-01-2026"/>
    <n v="10157"/>
    <s v="1101-04"/>
    <n v="30000"/>
    <n v="0"/>
    <s v="Centralización recaudaciones enero 2026 #2013 - #2013"/>
    <n v="30000"/>
    <s v="Activo"/>
    <n v="30000"/>
    <x v="2"/>
  </r>
  <r>
    <n v="2026"/>
    <n v="1"/>
    <s v="02-01-2026"/>
    <n v="10158"/>
    <s v="1101-04"/>
    <n v="60000"/>
    <n v="0"/>
    <s v="Centralización recaudaciones enero 2026 #2014 - #2014"/>
    <n v="60000"/>
    <s v="Activo"/>
    <n v="60000"/>
    <x v="2"/>
  </r>
  <r>
    <n v="2026"/>
    <n v="1"/>
    <s v="02-01-2026"/>
    <n v="10159"/>
    <s v="1101-04"/>
    <n v="34990"/>
    <n v="0"/>
    <s v="Centralización recaudaciones enero 2026 #2015 - #2015"/>
    <n v="34990"/>
    <s v="Activo"/>
    <n v="34990"/>
    <x v="2"/>
  </r>
  <r>
    <n v="2026"/>
    <n v="1"/>
    <s v="02-01-2026"/>
    <n v="10160"/>
    <s v="1101-04"/>
    <n v="17990"/>
    <n v="0"/>
    <s v="Centralización recaudaciones enero 2026 #2016 - #2016"/>
    <n v="17990"/>
    <s v="Activo"/>
    <n v="17990"/>
    <x v="2"/>
  </r>
  <r>
    <n v="2026"/>
    <n v="1"/>
    <s v="02-01-2026"/>
    <n v="10161"/>
    <s v="1101-04"/>
    <n v="21990"/>
    <n v="0"/>
    <s v="Centralización recaudaciones enero 2026 #2017 - #2017"/>
    <n v="21990"/>
    <s v="Activo"/>
    <n v="21990"/>
    <x v="2"/>
  </r>
  <r>
    <n v="2026"/>
    <n v="1"/>
    <s v="02-01-2026"/>
    <n v="10162"/>
    <s v="1101-04"/>
    <n v="34990"/>
    <n v="0"/>
    <s v="Centralización recaudaciones enero 2026 #2018 - #2018"/>
    <n v="34990"/>
    <s v="Activo"/>
    <n v="34990"/>
    <x v="2"/>
  </r>
  <r>
    <n v="2026"/>
    <n v="1"/>
    <s v="02-01-2026"/>
    <n v="10163"/>
    <s v="1101-04"/>
    <n v="34000"/>
    <n v="0"/>
    <s v="Centralización recaudaciones enero 2026 #2019 - #2019"/>
    <n v="34000"/>
    <s v="Activo"/>
    <n v="34000"/>
    <x v="2"/>
  </r>
  <r>
    <n v="2026"/>
    <n v="1"/>
    <s v="02-01-2026"/>
    <n v="10164"/>
    <s v="1101-04"/>
    <n v="53990"/>
    <n v="0"/>
    <s v="Centralización recaudaciones enero 2026 #2020 - #2020"/>
    <n v="53990"/>
    <s v="Activo"/>
    <n v="53990"/>
    <x v="2"/>
  </r>
  <r>
    <n v="2026"/>
    <n v="1"/>
    <s v="02-01-2026"/>
    <n v="10165"/>
    <s v="1101-04"/>
    <n v="28990"/>
    <n v="0"/>
    <s v="Centralización recaudaciones enero 2026 #2021 - #2021"/>
    <n v="28990"/>
    <s v="Activo"/>
    <n v="28990"/>
    <x v="2"/>
  </r>
  <r>
    <n v="2026"/>
    <n v="1"/>
    <s v="02-01-2026"/>
    <n v="10166"/>
    <s v="1101-04"/>
    <n v="64000"/>
    <n v="0"/>
    <s v="Centralización recaudaciones enero 2026 #2022 - #2022"/>
    <n v="64000"/>
    <s v="Activo"/>
    <n v="64000"/>
    <x v="2"/>
  </r>
  <r>
    <n v="2026"/>
    <n v="1"/>
    <s v="02-01-2026"/>
    <n v="10167"/>
    <s v="1101-04"/>
    <n v="21990"/>
    <n v="0"/>
    <s v="Centralización recaudaciones enero 2026 #2023 - #2023"/>
    <n v="21990"/>
    <s v="Activo"/>
    <n v="21990"/>
    <x v="2"/>
  </r>
  <r>
    <n v="2026"/>
    <n v="1"/>
    <s v="02-01-2026"/>
    <n v="10168"/>
    <s v="1101-04"/>
    <n v="35000"/>
    <n v="0"/>
    <s v="Centralización recaudaciones enero 2026 #2024 - #2024"/>
    <n v="35000"/>
    <s v="Activo"/>
    <n v="35000"/>
    <x v="2"/>
  </r>
  <r>
    <n v="2026"/>
    <n v="1"/>
    <s v="02-01-2026"/>
    <n v="10169"/>
    <s v="1101-04"/>
    <n v="30000"/>
    <n v="0"/>
    <s v="Centralización recaudaciones enero 2026 #2025 - #2025"/>
    <n v="30000"/>
    <s v="Activo"/>
    <n v="30000"/>
    <x v="2"/>
  </r>
  <r>
    <n v="2026"/>
    <n v="1"/>
    <s v="02-01-2026"/>
    <n v="10170"/>
    <s v="1101-04"/>
    <n v="30000"/>
    <n v="0"/>
    <s v="Centralización recaudaciones enero 2026 #2026 - #2026"/>
    <n v="30000"/>
    <s v="Activo"/>
    <n v="30000"/>
    <x v="2"/>
  </r>
  <r>
    <n v="2026"/>
    <n v="1"/>
    <s v="02-01-2026"/>
    <n v="10171"/>
    <s v="1101-04"/>
    <n v="30000"/>
    <n v="0"/>
    <s v="Centralización recaudaciones enero 2026 #2027 - #2027"/>
    <n v="30000"/>
    <s v="Activo"/>
    <n v="30000"/>
    <x v="2"/>
  </r>
  <r>
    <n v="2026"/>
    <n v="1"/>
    <s v="02-01-2026"/>
    <n v="10172"/>
    <s v="1101-04"/>
    <n v="30000"/>
    <n v="0"/>
    <s v="Centralización recaudaciones enero 2026 #2028 - #2028"/>
    <n v="30000"/>
    <s v="Activo"/>
    <n v="30000"/>
    <x v="2"/>
  </r>
  <r>
    <n v="2026"/>
    <n v="1"/>
    <s v="02-01-2026"/>
    <n v="10173"/>
    <s v="1101-04"/>
    <n v="17990"/>
    <n v="0"/>
    <s v="Centralización recaudaciones enero 2026 #2029 - #2029"/>
    <n v="17990"/>
    <s v="Activo"/>
    <n v="17990"/>
    <x v="2"/>
  </r>
  <r>
    <n v="2026"/>
    <n v="1"/>
    <s v="02-01-2026"/>
    <n v="10174"/>
    <s v="1101-04"/>
    <n v="28990"/>
    <n v="0"/>
    <s v="Centralización recaudaciones enero 2026 #2030 - #2030"/>
    <n v="28990"/>
    <s v="Activo"/>
    <n v="28990"/>
    <x v="2"/>
  </r>
  <r>
    <n v="2026"/>
    <n v="1"/>
    <s v="02-01-2026"/>
    <n v="10175"/>
    <s v="1101-04"/>
    <n v="49960"/>
    <n v="0"/>
    <s v="Centralización recaudaciones enero 2026 #2031 - #2031"/>
    <n v="49960"/>
    <s v="Activo"/>
    <n v="49960"/>
    <x v="2"/>
  </r>
  <r>
    <n v="2026"/>
    <n v="1"/>
    <s v="02-01-2026"/>
    <n v="10176"/>
    <s v="1101-04"/>
    <n v="14990"/>
    <n v="0"/>
    <s v="Centralización recaudaciones enero 2026 #2032 - #2032"/>
    <n v="14990"/>
    <s v="Activo"/>
    <n v="14990"/>
    <x v="2"/>
  </r>
  <r>
    <n v="2026"/>
    <n v="1"/>
    <s v="02-01-2026"/>
    <n v="10177"/>
    <s v="1101-04"/>
    <n v="30000"/>
    <n v="0"/>
    <s v="Centralización recaudaciones enero 2026 #2033 - #2033"/>
    <n v="30000"/>
    <s v="Activo"/>
    <n v="30000"/>
    <x v="2"/>
  </r>
  <r>
    <n v="2026"/>
    <n v="1"/>
    <s v="02-01-2026"/>
    <n v="10178"/>
    <s v="1101-04"/>
    <n v="47490"/>
    <n v="0"/>
    <s v="Centralización recaudaciones enero 2026 #2034 - #2034"/>
    <n v="47490"/>
    <s v="Activo"/>
    <n v="47490"/>
    <x v="2"/>
  </r>
  <r>
    <n v="2026"/>
    <n v="1"/>
    <s v="02-01-2026"/>
    <n v="10179"/>
    <s v="1101-04"/>
    <n v="2192981"/>
    <n v="0"/>
    <s v="Centralización recaudaciones enero 2026 #2035 - #2035"/>
    <n v="2192981"/>
    <s v="Activo"/>
    <n v="2192981"/>
    <x v="2"/>
  </r>
  <r>
    <n v="2026"/>
    <n v="1"/>
    <s v="02-01-2026"/>
    <n v="10180"/>
    <s v="1101-04"/>
    <n v="30000"/>
    <n v="0"/>
    <s v="Centralización recaudaciones enero 2026 #2036 - #2036"/>
    <n v="30000"/>
    <s v="Activo"/>
    <n v="30000"/>
    <x v="2"/>
  </r>
  <r>
    <n v="2026"/>
    <n v="1"/>
    <s v="02-01-2026"/>
    <n v="10181"/>
    <s v="1101-04"/>
    <n v="14990"/>
    <n v="0"/>
    <s v="Centralización recaudaciones enero 2026 #2037 - #2037"/>
    <n v="14990"/>
    <s v="Activo"/>
    <n v="14990"/>
    <x v="2"/>
  </r>
  <r>
    <n v="2026"/>
    <n v="1"/>
    <s v="02-01-2026"/>
    <n v="10182"/>
    <s v="1101-04"/>
    <n v="14990"/>
    <n v="0"/>
    <s v="Centralización recaudaciones enero 2026 #2038 - #2038"/>
    <n v="14990"/>
    <s v="Activo"/>
    <n v="14990"/>
    <x v="2"/>
  </r>
  <r>
    <n v="2026"/>
    <n v="1"/>
    <s v="02-01-2026"/>
    <n v="10188"/>
    <s v="1101-04"/>
    <n v="121990"/>
    <n v="0"/>
    <s v="Centralización recaudaciones enero 2026 #2044 - #2044"/>
    <n v="121990"/>
    <s v="Activo"/>
    <n v="121990"/>
    <x v="2"/>
  </r>
  <r>
    <n v="2026"/>
    <n v="1"/>
    <s v="02-01-2026"/>
    <n v="10194"/>
    <s v="1101-04"/>
    <n v="70000"/>
    <n v="0"/>
    <s v="Centralización recaudaciones enero 2026 #2050 - #2050"/>
    <n v="70000"/>
    <s v="Activo"/>
    <n v="70000"/>
    <x v="2"/>
  </r>
  <r>
    <n v="2026"/>
    <n v="1"/>
    <s v="02-01-2026"/>
    <n v="10195"/>
    <s v="1101-04"/>
    <n v="59980"/>
    <n v="0"/>
    <s v="Centralización recaudaciones enero 2026 #2051 - #2051"/>
    <n v="59980"/>
    <s v="Activo"/>
    <n v="59980"/>
    <x v="2"/>
  </r>
  <r>
    <n v="2026"/>
    <n v="1"/>
    <s v="02-01-2026"/>
    <n v="10208"/>
    <s v="1101-04"/>
    <n v="30000"/>
    <n v="0"/>
    <s v="Centralización recaudaciones enero 2026 #2064 - #2064"/>
    <n v="30000"/>
    <s v="Activo"/>
    <n v="30000"/>
    <x v="2"/>
  </r>
  <r>
    <n v="2026"/>
    <n v="1"/>
    <s v="02-01-2026"/>
    <n v="10209"/>
    <s v="1101-04"/>
    <n v="259990"/>
    <n v="0"/>
    <s v="Centralización recaudaciones enero 2026 #2065 - #2065"/>
    <n v="259990"/>
    <s v="Activo"/>
    <n v="259990"/>
    <x v="2"/>
  </r>
  <r>
    <n v="2026"/>
    <n v="1"/>
    <s v="02-01-2026"/>
    <n v="10215"/>
    <s v="1101-04"/>
    <n v="35000"/>
    <n v="0"/>
    <s v="Centralización recaudaciones enero 2026 #2071 - #2071"/>
    <n v="35000"/>
    <s v="Activo"/>
    <n v="35000"/>
    <x v="2"/>
  </r>
  <r>
    <n v="2026"/>
    <n v="1"/>
    <s v="02-01-2026"/>
    <n v="10219"/>
    <s v="1101-04"/>
    <n v="17990"/>
    <n v="0"/>
    <s v="Centralización recaudaciones enero 2026 #2075 - #2075"/>
    <n v="17990"/>
    <s v="Activo"/>
    <n v="17990"/>
    <x v="2"/>
  </r>
  <r>
    <n v="2026"/>
    <n v="1"/>
    <s v="02-01-2026"/>
    <n v="10235"/>
    <s v="1101-04"/>
    <n v="33990"/>
    <n v="0"/>
    <s v="Centralización recaudaciones enero 2026 #2091 - #2091"/>
    <n v="33990"/>
    <s v="Activo"/>
    <n v="33990"/>
    <x v="2"/>
  </r>
  <r>
    <n v="2026"/>
    <n v="1"/>
    <s v="02-01-2026"/>
    <n v="10252"/>
    <s v="1101-04"/>
    <n v="497196"/>
    <n v="0"/>
    <s v="Centralización recaudaciones enero 2026 #2108 - #2108"/>
    <n v="497196"/>
    <s v="Activo"/>
    <n v="497196"/>
    <x v="2"/>
  </r>
  <r>
    <n v="2026"/>
    <n v="1"/>
    <s v="02-01-2026"/>
    <n v="10255"/>
    <s v="1101-04"/>
    <n v="30000"/>
    <n v="0"/>
    <s v="Centralización recaudaciones enero 2026 #2111 - #2111"/>
    <n v="30000"/>
    <s v="Activo"/>
    <n v="30000"/>
    <x v="2"/>
  </r>
  <r>
    <n v="2026"/>
    <n v="1"/>
    <s v="02-01-2026"/>
    <n v="10269"/>
    <s v="1101-04"/>
    <n v="30000"/>
    <n v="0"/>
    <s v="Centralización recaudaciones enero 2026 #2125 - #2125"/>
    <n v="30000"/>
    <s v="Activo"/>
    <n v="30000"/>
    <x v="2"/>
  </r>
  <r>
    <n v="2026"/>
    <n v="1"/>
    <s v="02-01-2026"/>
    <n v="10271"/>
    <s v="1101-04"/>
    <n v="40000"/>
    <n v="0"/>
    <s v="Centralización recaudaciones enero 2026 #2127 - #2127"/>
    <n v="40000"/>
    <s v="Activo"/>
    <n v="40000"/>
    <x v="2"/>
  </r>
  <r>
    <n v="2026"/>
    <n v="1"/>
    <s v="02-01-2026"/>
    <n v="10279"/>
    <s v="1101-04"/>
    <n v="30000"/>
    <n v="0"/>
    <s v="Centralización recaudaciones enero 2026 #2135 - #2135"/>
    <n v="30000"/>
    <s v="Activo"/>
    <n v="30000"/>
    <x v="2"/>
  </r>
  <r>
    <n v="2026"/>
    <n v="1"/>
    <s v="02-01-2026"/>
    <n v="10280"/>
    <s v="1101-04"/>
    <n v="63000"/>
    <n v="0"/>
    <s v="Centralización recaudaciones enero 2026 #2136 - #2136"/>
    <n v="63000"/>
    <s v="Activo"/>
    <n v="63000"/>
    <x v="2"/>
  </r>
  <r>
    <n v="2026"/>
    <n v="1"/>
    <s v="02-01-2026"/>
    <n v="10289"/>
    <s v="1101-04"/>
    <n v="30000"/>
    <n v="0"/>
    <s v="Centralización recaudaciones enero 2026 #2145 - #2145"/>
    <n v="30000"/>
    <s v="Activo"/>
    <n v="30000"/>
    <x v="2"/>
  </r>
  <r>
    <n v="2026"/>
    <n v="1"/>
    <s v="02-01-2026"/>
    <n v="10303"/>
    <s v="1101-04"/>
    <n v="30000"/>
    <n v="0"/>
    <s v="Centralización recaudaciones enero 2026 #2159 - #2159"/>
    <n v="30000"/>
    <s v="Activo"/>
    <n v="30000"/>
    <x v="2"/>
  </r>
  <r>
    <n v="2026"/>
    <n v="1"/>
    <s v="02-01-2026"/>
    <n v="10306"/>
    <s v="1101-04"/>
    <n v="30000"/>
    <n v="0"/>
    <s v="Centralización recaudaciones enero 2026 #2162 - #2162"/>
    <n v="30000"/>
    <s v="Activo"/>
    <n v="30000"/>
    <x v="2"/>
  </r>
  <r>
    <n v="2026"/>
    <n v="1"/>
    <s v="02-01-2026"/>
    <n v="10312"/>
    <s v="1101-04"/>
    <n v="30000"/>
    <n v="0"/>
    <s v="Centralización recaudaciones enero 2026 #2168 - #2168"/>
    <n v="30000"/>
    <s v="Activo"/>
    <n v="30000"/>
    <x v="2"/>
  </r>
  <r>
    <n v="2026"/>
    <n v="1"/>
    <s v="02-01-2026"/>
    <n v="10318"/>
    <s v="1101-04"/>
    <n v="43980"/>
    <n v="0"/>
    <s v="Centralización recaudaciones enero 2026 #2174 - #2174"/>
    <n v="43980"/>
    <s v="Activo"/>
    <n v="43980"/>
    <x v="2"/>
  </r>
  <r>
    <n v="2026"/>
    <n v="1"/>
    <s v="02-01-2026"/>
    <n v="10325"/>
    <s v="1101-04"/>
    <n v="25980"/>
    <n v="0"/>
    <s v="Centralización recaudaciones enero 2026 #2181 - #2181"/>
    <n v="25980"/>
    <s v="Activo"/>
    <n v="25980"/>
    <x v="2"/>
  </r>
  <r>
    <n v="2026"/>
    <n v="1"/>
    <s v="02-01-2026"/>
    <n v="10349"/>
    <s v="1101-04"/>
    <n v="34980"/>
    <n v="0"/>
    <s v="Centralización recaudaciones enero 2026 #2205 - #2205"/>
    <n v="34980"/>
    <s v="Activo"/>
    <n v="34980"/>
    <x v="2"/>
  </r>
  <r>
    <n v="2026"/>
    <n v="1"/>
    <s v="02-01-2026"/>
    <n v="10375"/>
    <s v="1101-04"/>
    <n v="28990"/>
    <n v="0"/>
    <s v="Centralización recaudaciones enero 2026 #2231 - #2231"/>
    <n v="28990"/>
    <s v="Activo"/>
    <n v="28990"/>
    <x v="2"/>
  </r>
  <r>
    <n v="2026"/>
    <n v="1"/>
    <s v="02-01-2026"/>
    <n v="10388"/>
    <s v="1101-04"/>
    <n v="296114"/>
    <n v="0"/>
    <s v="Centralización recaudaciones enero 2026 #2244 - #2244"/>
    <n v="296114"/>
    <s v="Activo"/>
    <n v="296114"/>
    <x v="2"/>
  </r>
  <r>
    <n v="2026"/>
    <n v="1"/>
    <s v="02-01-2026"/>
    <n v="10420"/>
    <s v="1101-04"/>
    <n v="38980"/>
    <n v="0"/>
    <s v="Centralización recaudaciones enero 2026 #2276 - #2276"/>
    <n v="38980"/>
    <s v="Activo"/>
    <n v="38980"/>
    <x v="2"/>
  </r>
  <r>
    <n v="2026"/>
    <n v="1"/>
    <s v="02-01-2026"/>
    <n v="10443"/>
    <s v="1101-04"/>
    <n v="14990"/>
    <n v="0"/>
    <s v="Centralización recaudaciones enero 2026 #2299 - #2299"/>
    <n v="14990"/>
    <s v="Activo"/>
    <n v="14990"/>
    <x v="2"/>
  </r>
  <r>
    <n v="2026"/>
    <n v="1"/>
    <s v="02-01-2026"/>
    <n v="10467"/>
    <s v="1101-04"/>
    <n v="25000"/>
    <n v="0"/>
    <s v="Centralización recaudaciones enero 2026"/>
    <n v="25000"/>
    <s v="Activo"/>
    <n v="25000"/>
    <x v="2"/>
  </r>
  <r>
    <n v="2026"/>
    <n v="1"/>
    <s v="02-01-2026"/>
    <n v="10468"/>
    <s v="1101-04"/>
    <n v="15000"/>
    <n v="0"/>
    <s v="Centralización recaudaciones enero 2026"/>
    <n v="15000"/>
    <s v="Activo"/>
    <n v="15000"/>
    <x v="2"/>
  </r>
  <r>
    <n v="2026"/>
    <n v="1"/>
    <s v="02-01-2026"/>
    <n v="10469"/>
    <s v="1101-04"/>
    <n v="33900"/>
    <n v="0"/>
    <s v="Centralización recaudaciones enero 2026"/>
    <n v="33900"/>
    <s v="Activo"/>
    <n v="33900"/>
    <x v="2"/>
  </r>
  <r>
    <n v="2026"/>
    <n v="1"/>
    <s v="02-01-2026"/>
    <n v="10470"/>
    <s v="1101-04"/>
    <n v="33990"/>
    <n v="0"/>
    <s v="Centralización recaudaciones enero 2026"/>
    <n v="33990"/>
    <s v="Activo"/>
    <n v="33990"/>
    <x v="2"/>
  </r>
  <r>
    <n v="2026"/>
    <n v="1"/>
    <s v="02-01-2026"/>
    <n v="10471"/>
    <s v="1101-04"/>
    <n v="51000"/>
    <n v="0"/>
    <s v="Centralización recaudaciones enero 2026"/>
    <n v="51000"/>
    <s v="Activo"/>
    <n v="51000"/>
    <x v="2"/>
  </r>
  <r>
    <n v="2026"/>
    <n v="1"/>
    <s v="02-01-2026"/>
    <n v="10472"/>
    <s v="1101-04"/>
    <n v="33970"/>
    <n v="0"/>
    <s v="Centralización recaudaciones enero 2026"/>
    <n v="33970"/>
    <s v="Activo"/>
    <n v="33970"/>
    <x v="2"/>
  </r>
  <r>
    <n v="2026"/>
    <n v="1"/>
    <s v="02-01-2026"/>
    <n v="10473"/>
    <s v="1101-04"/>
    <n v="29990"/>
    <n v="0"/>
    <s v="Centralización recaudaciones enero 2026"/>
    <n v="29990"/>
    <s v="Activo"/>
    <n v="29990"/>
    <x v="2"/>
  </r>
  <r>
    <n v="2026"/>
    <n v="1"/>
    <s v="02-01-2026"/>
    <n v="10474"/>
    <s v="1101-04"/>
    <n v="231162"/>
    <n v="0"/>
    <s v="Centralización recaudaciones enero 2026"/>
    <n v="231162"/>
    <s v="Activo"/>
    <n v="231162"/>
    <x v="2"/>
  </r>
  <r>
    <n v="2026"/>
    <n v="1"/>
    <s v="02-01-2026"/>
    <n v="10474"/>
    <s v="1101-04"/>
    <n v="30000"/>
    <n v="0"/>
    <s v="Centralización recaudaciones enero 2026"/>
    <n v="30000"/>
    <s v="Activo"/>
    <n v="30000"/>
    <x v="2"/>
  </r>
  <r>
    <n v="2026"/>
    <n v="1"/>
    <s v="02-01-2026"/>
    <n v="10474"/>
    <s v="1101-04"/>
    <n v="30000"/>
    <n v="0"/>
    <s v="Centralización recaudaciones enero 2026"/>
    <n v="30000"/>
    <s v="Activo"/>
    <n v="30000"/>
    <x v="2"/>
  </r>
  <r>
    <n v="2026"/>
    <n v="1"/>
    <s v="02-01-2026"/>
    <n v="10474"/>
    <s v="1101-04"/>
    <n v="30000"/>
    <n v="0"/>
    <s v="Centralización recaudaciones enero 2026"/>
    <n v="30000"/>
    <s v="Activo"/>
    <n v="30000"/>
    <x v="2"/>
  </r>
  <r>
    <n v="2026"/>
    <n v="1"/>
    <s v="02-01-2026"/>
    <n v="10474"/>
    <s v="1101-04"/>
    <n v="33990"/>
    <n v="0"/>
    <s v="Centralización recaudaciones enero 2026"/>
    <n v="33990"/>
    <s v="Activo"/>
    <n v="33990"/>
    <x v="2"/>
  </r>
  <r>
    <n v="2026"/>
    <n v="1"/>
    <s v="02-01-2026"/>
    <n v="10474"/>
    <s v="1101-04"/>
    <n v="80000"/>
    <n v="0"/>
    <s v="Centralización recaudaciones enero 2026"/>
    <n v="80000"/>
    <s v="Activo"/>
    <n v="80000"/>
    <x v="2"/>
  </r>
  <r>
    <n v="2026"/>
    <n v="1"/>
    <s v="02-01-2026"/>
    <n v="10474"/>
    <s v="1101-04"/>
    <n v="30000"/>
    <n v="0"/>
    <s v="Centralización recaudaciones enero 2026"/>
    <n v="30000"/>
    <s v="Activo"/>
    <n v="30000"/>
    <x v="2"/>
  </r>
  <r>
    <n v="2026"/>
    <n v="1"/>
    <s v="02-01-2026"/>
    <n v="10474"/>
    <s v="1101-04"/>
    <n v="60000"/>
    <n v="0"/>
    <s v="Centralización recaudaciones enero 2026"/>
    <n v="60000"/>
    <s v="Activo"/>
    <n v="60000"/>
    <x v="2"/>
  </r>
  <r>
    <n v="2026"/>
    <n v="1"/>
    <s v="02-01-2026"/>
    <n v="9819"/>
    <s v="1101-04"/>
    <n v="3000000"/>
    <n v="0"/>
    <s v="Transf. de tlink spa itau 230434690"/>
    <n v="3000000"/>
    <s v="Activo"/>
    <n v="3000000"/>
    <x v="2"/>
  </r>
  <r>
    <n v="2026"/>
    <n v="1"/>
    <s v="05-01-2026"/>
    <n v="7098"/>
    <s v="1101-04"/>
    <n v="0"/>
    <n v="5494703"/>
    <s v="Pago cuota 0737 - tlink spa credito itau 60529874"/>
    <n v="-5494703"/>
    <s v="Activo"/>
    <n v="-5494703"/>
    <x v="2"/>
  </r>
  <r>
    <n v="2026"/>
    <n v="1"/>
    <s v="05-01-2026"/>
    <n v="10186"/>
    <s v="1101-04"/>
    <n v="30000"/>
    <n v="0"/>
    <s v="Centralización recaudaciones enero 2026 #2042 - #2042"/>
    <n v="30000"/>
    <s v="Activo"/>
    <n v="30000"/>
    <x v="2"/>
  </r>
  <r>
    <n v="2026"/>
    <n v="1"/>
    <s v="05-01-2026"/>
    <n v="10187"/>
    <s v="1101-04"/>
    <n v="57990"/>
    <n v="0"/>
    <s v="Centralización recaudaciones enero 2026 #2043 - #2043"/>
    <n v="57990"/>
    <s v="Activo"/>
    <n v="57990"/>
    <x v="2"/>
  </r>
  <r>
    <n v="2026"/>
    <n v="1"/>
    <s v="05-01-2026"/>
    <n v="10189"/>
    <s v="1101-04"/>
    <n v="109950"/>
    <n v="0"/>
    <s v="Centralización recaudaciones enero 2026 #2045 - #2045"/>
    <n v="109950"/>
    <s v="Activo"/>
    <n v="109950"/>
    <x v="2"/>
  </r>
  <r>
    <n v="2026"/>
    <n v="1"/>
    <s v="05-01-2026"/>
    <n v="10190"/>
    <s v="1101-04"/>
    <n v="112048"/>
    <n v="0"/>
    <s v="Centralización recaudaciones enero 2026 #2046 - #2046"/>
    <n v="112048"/>
    <s v="Activo"/>
    <n v="112048"/>
    <x v="2"/>
  </r>
  <r>
    <n v="2026"/>
    <n v="1"/>
    <s v="05-01-2026"/>
    <n v="10191"/>
    <s v="1101-04"/>
    <n v="153747"/>
    <n v="0"/>
    <s v="Centralización recaudaciones enero 2026 #2047 - #2047"/>
    <n v="153747"/>
    <s v="Activo"/>
    <n v="153747"/>
    <x v="2"/>
  </r>
  <r>
    <n v="2026"/>
    <n v="1"/>
    <s v="05-01-2026"/>
    <n v="10198"/>
    <s v="1101-04"/>
    <n v="181990"/>
    <n v="0"/>
    <s v="Centralización recaudaciones enero 2026 #2054 - #2054"/>
    <n v="181990"/>
    <s v="Activo"/>
    <n v="181990"/>
    <x v="2"/>
  </r>
  <r>
    <n v="2026"/>
    <n v="1"/>
    <s v="05-01-2026"/>
    <n v="10201"/>
    <s v="1101-04"/>
    <n v="29990"/>
    <n v="0"/>
    <s v="Centralización recaudaciones enero 2026 #2057 - #2057"/>
    <n v="29990"/>
    <s v="Activo"/>
    <n v="29990"/>
    <x v="2"/>
  </r>
  <r>
    <n v="2026"/>
    <n v="1"/>
    <s v="05-01-2026"/>
    <n v="10202"/>
    <s v="1101-04"/>
    <n v="39970"/>
    <n v="0"/>
    <s v="Centralización recaudaciones enero 2026 #2058 - #2058"/>
    <n v="39970"/>
    <s v="Activo"/>
    <n v="39970"/>
    <x v="2"/>
  </r>
  <r>
    <n v="2026"/>
    <n v="1"/>
    <s v="05-01-2026"/>
    <n v="10207"/>
    <s v="1101-04"/>
    <n v="122980"/>
    <n v="0"/>
    <s v="Centralización recaudaciones enero 2026 #2063 - #2063"/>
    <n v="122980"/>
    <s v="Activo"/>
    <n v="122980"/>
    <x v="2"/>
  </r>
  <r>
    <n v="2026"/>
    <n v="1"/>
    <s v="05-01-2026"/>
    <n v="10210"/>
    <s v="1101-04"/>
    <n v="30000"/>
    <n v="0"/>
    <s v="Centralización recaudaciones enero 2026 #2066 - #2066"/>
    <n v="30000"/>
    <s v="Activo"/>
    <n v="30000"/>
    <x v="2"/>
  </r>
  <r>
    <n v="2026"/>
    <n v="1"/>
    <s v="05-01-2026"/>
    <n v="10216"/>
    <s v="1101-04"/>
    <n v="54980"/>
    <n v="0"/>
    <s v="Centralización recaudaciones enero 2026 #2072 - #2072"/>
    <n v="54980"/>
    <s v="Activo"/>
    <n v="54980"/>
    <x v="2"/>
  </r>
  <r>
    <n v="2026"/>
    <n v="1"/>
    <s v="05-01-2026"/>
    <n v="10222"/>
    <s v="1101-04"/>
    <n v="70052"/>
    <n v="0"/>
    <s v="Centralización recaudaciones enero 2026 #2078 - #2078"/>
    <n v="70052"/>
    <s v="Activo"/>
    <n v="70052"/>
    <x v="2"/>
  </r>
  <r>
    <n v="2026"/>
    <n v="1"/>
    <s v="05-01-2026"/>
    <n v="10224"/>
    <s v="1101-04"/>
    <n v="30000"/>
    <n v="0"/>
    <s v="Centralización recaudaciones enero 2026 #2080 - #2080"/>
    <n v="30000"/>
    <s v="Activo"/>
    <n v="30000"/>
    <x v="2"/>
  </r>
  <r>
    <n v="2026"/>
    <n v="1"/>
    <s v="05-01-2026"/>
    <n v="10228"/>
    <s v="1101-04"/>
    <n v="60000"/>
    <n v="0"/>
    <s v="Centralización recaudaciones enero 2026 #2084 - #2084"/>
    <n v="60000"/>
    <s v="Activo"/>
    <n v="60000"/>
    <x v="2"/>
  </r>
  <r>
    <n v="2026"/>
    <n v="1"/>
    <s v="05-01-2026"/>
    <n v="10230"/>
    <s v="1101-04"/>
    <n v="40000"/>
    <n v="0"/>
    <s v="Centralización recaudaciones enero 2026 #2086 - #2086"/>
    <n v="40000"/>
    <s v="Activo"/>
    <n v="40000"/>
    <x v="2"/>
  </r>
  <r>
    <n v="2026"/>
    <n v="1"/>
    <s v="05-01-2026"/>
    <n v="10231"/>
    <s v="1101-04"/>
    <n v="84990"/>
    <n v="0"/>
    <s v="Centralización recaudaciones enero 2026 #2087 - #2087"/>
    <n v="84990"/>
    <s v="Activo"/>
    <n v="84990"/>
    <x v="2"/>
  </r>
  <r>
    <n v="2026"/>
    <n v="1"/>
    <s v="05-01-2026"/>
    <n v="10236"/>
    <s v="1101-04"/>
    <n v="60000"/>
    <n v="0"/>
    <s v="Centralización recaudaciones enero 2026 #2092 - #2092"/>
    <n v="60000"/>
    <s v="Activo"/>
    <n v="60000"/>
    <x v="2"/>
  </r>
  <r>
    <n v="2026"/>
    <n v="1"/>
    <s v="05-01-2026"/>
    <n v="10240"/>
    <s v="1101-04"/>
    <n v="58000"/>
    <n v="0"/>
    <s v="Centralización recaudaciones enero 2026 #2096 - #2096"/>
    <n v="58000"/>
    <s v="Activo"/>
    <n v="58000"/>
    <x v="2"/>
  </r>
  <r>
    <n v="2026"/>
    <n v="1"/>
    <s v="05-01-2026"/>
    <n v="10260"/>
    <s v="1101-04"/>
    <n v="35000"/>
    <n v="0"/>
    <s v="Centralización recaudaciones enero 2026 #2116 - #2116"/>
    <n v="35000"/>
    <s v="Activo"/>
    <n v="35000"/>
    <x v="2"/>
  </r>
  <r>
    <n v="2026"/>
    <n v="1"/>
    <s v="05-01-2026"/>
    <n v="10262"/>
    <s v="1101-04"/>
    <n v="50000"/>
    <n v="0"/>
    <s v="Centralización recaudaciones enero 2026 #2118 - #2118"/>
    <n v="50000"/>
    <s v="Activo"/>
    <n v="50000"/>
    <x v="2"/>
  </r>
  <r>
    <n v="2026"/>
    <n v="1"/>
    <s v="05-01-2026"/>
    <n v="10263"/>
    <s v="1101-04"/>
    <n v="38000"/>
    <n v="0"/>
    <s v="Centralización recaudaciones enero 2026 #2119 - #2119"/>
    <n v="38000"/>
    <s v="Activo"/>
    <n v="38000"/>
    <x v="2"/>
  </r>
  <r>
    <n v="2026"/>
    <n v="1"/>
    <s v="05-01-2026"/>
    <n v="10264"/>
    <s v="1101-04"/>
    <n v="70990"/>
    <n v="0"/>
    <s v="Centralización recaudaciones enero 2026 #2120 - #2120"/>
    <n v="70990"/>
    <s v="Activo"/>
    <n v="70990"/>
    <x v="2"/>
  </r>
  <r>
    <n v="2026"/>
    <n v="1"/>
    <s v="05-01-2026"/>
    <n v="10287"/>
    <s v="1101-04"/>
    <n v="43990"/>
    <n v="0"/>
    <s v="Centralización recaudaciones enero 2026 #2143 - #2143"/>
    <n v="43990"/>
    <s v="Activo"/>
    <n v="43990"/>
    <x v="2"/>
  </r>
  <r>
    <n v="2026"/>
    <n v="1"/>
    <s v="05-01-2026"/>
    <n v="10292"/>
    <s v="1101-04"/>
    <n v="213990"/>
    <n v="0"/>
    <s v="Centralización recaudaciones enero 2026 #2148 - #2148"/>
    <n v="213990"/>
    <s v="Activo"/>
    <n v="213990"/>
    <x v="2"/>
  </r>
  <r>
    <n v="2026"/>
    <n v="1"/>
    <s v="05-01-2026"/>
    <n v="10315"/>
    <s v="1101-04"/>
    <n v="38990"/>
    <n v="0"/>
    <s v="Centralización recaudaciones enero 2026 #2171 - #2171"/>
    <n v="38990"/>
    <s v="Activo"/>
    <n v="38990"/>
    <x v="2"/>
  </r>
  <r>
    <n v="2026"/>
    <n v="1"/>
    <s v="05-01-2026"/>
    <n v="10320"/>
    <s v="1101-04"/>
    <n v="33990"/>
    <n v="0"/>
    <s v="Centralización recaudaciones enero 2026 #2176 - #2176"/>
    <n v="33990"/>
    <s v="Activo"/>
    <n v="33990"/>
    <x v="2"/>
  </r>
  <r>
    <n v="2026"/>
    <n v="1"/>
    <s v="05-01-2026"/>
    <n v="10322"/>
    <s v="1101-04"/>
    <n v="21990"/>
    <n v="0"/>
    <s v="Centralización recaudaciones enero 2026 #2178 - #2178"/>
    <n v="21990"/>
    <s v="Activo"/>
    <n v="21990"/>
    <x v="2"/>
  </r>
  <r>
    <n v="2026"/>
    <n v="1"/>
    <s v="05-01-2026"/>
    <n v="10323"/>
    <s v="1101-04"/>
    <n v="1499"/>
    <n v="0"/>
    <s v="Centralización recaudaciones enero 2026 #2179 - #2179"/>
    <n v="1499"/>
    <s v="Activo"/>
    <n v="1499"/>
    <x v="2"/>
  </r>
  <r>
    <n v="2026"/>
    <n v="1"/>
    <s v="05-01-2026"/>
    <n v="10324"/>
    <s v="1101-04"/>
    <n v="14990"/>
    <n v="0"/>
    <s v="Centralización recaudaciones enero 2026 #2180 - #2180"/>
    <n v="14990"/>
    <s v="Activo"/>
    <n v="14990"/>
    <x v="2"/>
  </r>
  <r>
    <n v="2026"/>
    <n v="1"/>
    <s v="05-01-2026"/>
    <n v="10326"/>
    <s v="1101-04"/>
    <n v="38980"/>
    <n v="0"/>
    <s v="Centralización recaudaciones enero 2026 #2182 - #2182"/>
    <n v="38980"/>
    <s v="Activo"/>
    <n v="38980"/>
    <x v="2"/>
  </r>
  <r>
    <n v="2026"/>
    <n v="1"/>
    <s v="05-01-2026"/>
    <n v="10339"/>
    <s v="1101-04"/>
    <n v="30000"/>
    <n v="0"/>
    <s v="Centralización recaudaciones enero 2026 #2195 - #2195"/>
    <n v="30000"/>
    <s v="Activo"/>
    <n v="30000"/>
    <x v="2"/>
  </r>
  <r>
    <n v="2026"/>
    <n v="1"/>
    <s v="05-01-2026"/>
    <n v="10341"/>
    <s v="1101-04"/>
    <n v="35990"/>
    <n v="0"/>
    <s v="Centralización recaudaciones enero 2026 #2197 - #2197"/>
    <n v="35990"/>
    <s v="Activo"/>
    <n v="35990"/>
    <x v="2"/>
  </r>
  <r>
    <n v="2026"/>
    <n v="1"/>
    <s v="05-01-2026"/>
    <n v="10342"/>
    <s v="1101-04"/>
    <n v="28000"/>
    <n v="0"/>
    <s v="Centralización recaudaciones enero 2026 #2198 - #2198"/>
    <n v="28000"/>
    <s v="Activo"/>
    <n v="28000"/>
    <x v="2"/>
  </r>
  <r>
    <n v="2026"/>
    <n v="1"/>
    <s v="05-01-2026"/>
    <n v="10343"/>
    <s v="1101-04"/>
    <n v="21990"/>
    <n v="0"/>
    <s v="Centralización recaudaciones enero 2026 #2199 - #2199"/>
    <n v="21990"/>
    <s v="Activo"/>
    <n v="21990"/>
    <x v="2"/>
  </r>
  <r>
    <n v="2026"/>
    <n v="1"/>
    <s v="05-01-2026"/>
    <n v="10344"/>
    <s v="1101-04"/>
    <n v="182970"/>
    <n v="0"/>
    <s v="Centralización recaudaciones enero 2026 #2200 - #2200"/>
    <n v="182970"/>
    <s v="Activo"/>
    <n v="182970"/>
    <x v="2"/>
  </r>
  <r>
    <n v="2026"/>
    <n v="1"/>
    <s v="05-01-2026"/>
    <n v="10351"/>
    <s v="1101-04"/>
    <n v="12990"/>
    <n v="0"/>
    <s v="Centralización recaudaciones enero 2026 #2207 - #2207"/>
    <n v="12990"/>
    <s v="Activo"/>
    <n v="12990"/>
    <x v="2"/>
  </r>
  <r>
    <n v="2026"/>
    <n v="1"/>
    <s v="05-01-2026"/>
    <n v="10367"/>
    <s v="1101-04"/>
    <n v="58990"/>
    <n v="0"/>
    <s v="Centralización recaudaciones enero 2026 #2223 - #2223"/>
    <n v="58990"/>
    <s v="Activo"/>
    <n v="58990"/>
    <x v="2"/>
  </r>
  <r>
    <n v="2026"/>
    <n v="1"/>
    <s v="05-01-2026"/>
    <n v="10369"/>
    <s v="1101-04"/>
    <n v="30000"/>
    <n v="0"/>
    <s v="Centralización recaudaciones enero 2026 #2225 - #2225"/>
    <n v="30000"/>
    <s v="Activo"/>
    <n v="30000"/>
    <x v="2"/>
  </r>
  <r>
    <n v="2026"/>
    <n v="1"/>
    <s v="05-01-2026"/>
    <n v="10373"/>
    <s v="1101-04"/>
    <n v="44000"/>
    <n v="0"/>
    <s v="Centralización recaudaciones enero 2026 #2229 - #2229"/>
    <n v="44000"/>
    <s v="Activo"/>
    <n v="44000"/>
    <x v="2"/>
  </r>
  <r>
    <n v="2026"/>
    <n v="1"/>
    <s v="05-01-2026"/>
    <n v="10377"/>
    <s v="1101-04"/>
    <n v="35000"/>
    <n v="0"/>
    <s v="Centralización recaudaciones enero 2026 #2233 - #2233"/>
    <n v="35000"/>
    <s v="Activo"/>
    <n v="35000"/>
    <x v="2"/>
  </r>
  <r>
    <n v="2026"/>
    <n v="1"/>
    <s v="05-01-2026"/>
    <n v="10386"/>
    <s v="1101-04"/>
    <n v="60000"/>
    <n v="0"/>
    <s v="Centralización recaudaciones enero 2026 #2242 - #2242"/>
    <n v="60000"/>
    <s v="Activo"/>
    <n v="60000"/>
    <x v="2"/>
  </r>
  <r>
    <n v="2026"/>
    <n v="1"/>
    <s v="05-01-2026"/>
    <n v="10389"/>
    <s v="1101-04"/>
    <n v="801990"/>
    <n v="0"/>
    <s v="Centralización recaudaciones enero 2026 #2245 - #2245"/>
    <n v="801990"/>
    <s v="Activo"/>
    <n v="801990"/>
    <x v="2"/>
  </r>
  <r>
    <n v="2026"/>
    <n v="1"/>
    <s v="05-01-2026"/>
    <n v="10390"/>
    <s v="1101-04"/>
    <n v="84000"/>
    <n v="0"/>
    <s v="Centralización recaudaciones enero 2026 #2246 - #2246"/>
    <n v="84000"/>
    <s v="Activo"/>
    <n v="84000"/>
    <x v="2"/>
  </r>
  <r>
    <n v="2026"/>
    <n v="1"/>
    <s v="05-01-2026"/>
    <n v="10392"/>
    <s v="1101-04"/>
    <n v="60000"/>
    <n v="0"/>
    <s v="Centralización recaudaciones enero 2026 #2248 - #2248"/>
    <n v="60000"/>
    <s v="Activo"/>
    <n v="60000"/>
    <x v="2"/>
  </r>
  <r>
    <n v="2026"/>
    <n v="1"/>
    <s v="05-01-2026"/>
    <n v="10400"/>
    <s v="1101-04"/>
    <n v="30000"/>
    <n v="0"/>
    <s v="Centralización recaudaciones enero 2026 #2256 - #2256"/>
    <n v="30000"/>
    <s v="Activo"/>
    <n v="30000"/>
    <x v="2"/>
  </r>
  <r>
    <n v="2026"/>
    <n v="1"/>
    <s v="05-01-2026"/>
    <n v="10436"/>
    <s v="1101-04"/>
    <n v="34990"/>
    <n v="0"/>
    <s v="Centralización recaudaciones enero 2026 #2292 - #2292"/>
    <n v="34990"/>
    <s v="Activo"/>
    <n v="34990"/>
    <x v="2"/>
  </r>
  <r>
    <n v="2026"/>
    <n v="1"/>
    <s v="05-01-2026"/>
    <n v="10447"/>
    <s v="1101-04"/>
    <n v="60000"/>
    <n v="0"/>
    <s v="Centralización recaudaciones enero 2026 #2303 - #2303"/>
    <n v="60000"/>
    <s v="Activo"/>
    <n v="60000"/>
    <x v="2"/>
  </r>
  <r>
    <n v="2026"/>
    <n v="1"/>
    <s v="05-01-2026"/>
    <n v="10454"/>
    <s v="1101-04"/>
    <n v="40000"/>
    <n v="0"/>
    <s v="Centralización recaudaciones enero 2026 #2310 - #2310"/>
    <n v="40000"/>
    <s v="Activo"/>
    <n v="40000"/>
    <x v="2"/>
  </r>
  <r>
    <n v="2026"/>
    <n v="1"/>
    <s v="05-01-2026"/>
    <n v="10455"/>
    <s v="1101-04"/>
    <n v="24980"/>
    <n v="0"/>
    <s v="Centralización recaudaciones enero 2026 #2311 - #2311"/>
    <n v="24980"/>
    <s v="Activo"/>
    <n v="24980"/>
    <x v="2"/>
  </r>
  <r>
    <n v="2026"/>
    <n v="1"/>
    <s v="05-01-2026"/>
    <n v="10460"/>
    <s v="1101-04"/>
    <n v="70000"/>
    <n v="0"/>
    <s v="Centralización recaudaciones enero 2026 #2316 - #2316"/>
    <n v="70000"/>
    <s v="Activo"/>
    <n v="70000"/>
    <x v="2"/>
  </r>
  <r>
    <n v="2026"/>
    <n v="1"/>
    <s v="05-01-2026"/>
    <n v="10461"/>
    <s v="1101-04"/>
    <n v="34000"/>
    <n v="0"/>
    <s v="Centralización recaudaciones enero 2026 #2317 - #2317"/>
    <n v="34000"/>
    <s v="Activo"/>
    <n v="34000"/>
    <x v="2"/>
  </r>
  <r>
    <n v="2026"/>
    <n v="1"/>
    <s v="05-01-2026"/>
    <n v="10462"/>
    <s v="1101-04"/>
    <n v="780083"/>
    <n v="0"/>
    <s v="Centralización recaudaciones enero 2026 #2318 - #2318"/>
    <n v="780083"/>
    <s v="Activo"/>
    <n v="780083"/>
    <x v="2"/>
  </r>
  <r>
    <n v="2026"/>
    <n v="1"/>
    <s v="05-01-2026"/>
    <n v="10475"/>
    <s v="1101-04"/>
    <n v="60000"/>
    <n v="0"/>
    <s v="Centralización recaudaciones enero 2026"/>
    <n v="60000"/>
    <s v="Activo"/>
    <n v="60000"/>
    <x v="2"/>
  </r>
  <r>
    <n v="2026"/>
    <n v="1"/>
    <s v="05-01-2026"/>
    <n v="10475"/>
    <s v="1101-04"/>
    <n v="119970"/>
    <n v="0"/>
    <s v="Centralización recaudaciones enero 2026"/>
    <n v="119970"/>
    <s v="Activo"/>
    <n v="119970"/>
    <x v="2"/>
  </r>
  <r>
    <n v="2026"/>
    <n v="1"/>
    <s v="05-01-2026"/>
    <n v="10475"/>
    <s v="1101-04"/>
    <n v="17990"/>
    <n v="0"/>
    <s v="Centralización recaudaciones enero 2026"/>
    <n v="17990"/>
    <s v="Activo"/>
    <n v="17990"/>
    <x v="2"/>
  </r>
  <r>
    <n v="2026"/>
    <n v="1"/>
    <s v="05-01-2026"/>
    <n v="10475"/>
    <s v="1101-04"/>
    <n v="34000"/>
    <n v="0"/>
    <s v="Centralización recaudaciones enero 2026"/>
    <n v="34000"/>
    <s v="Activo"/>
    <n v="34000"/>
    <x v="2"/>
  </r>
  <r>
    <n v="2026"/>
    <n v="1"/>
    <s v="05-01-2026"/>
    <n v="10475"/>
    <s v="1101-04"/>
    <n v="50000"/>
    <n v="0"/>
    <s v="Centralización recaudaciones enero 2026"/>
    <n v="50000"/>
    <s v="Activo"/>
    <n v="50000"/>
    <x v="2"/>
  </r>
  <r>
    <n v="2026"/>
    <n v="1"/>
    <s v="05-01-2026"/>
    <n v="10475"/>
    <s v="1101-04"/>
    <n v="60000"/>
    <n v="0"/>
    <s v="Centralización recaudaciones enero 2026"/>
    <n v="60000"/>
    <s v="Activo"/>
    <n v="60000"/>
    <x v="2"/>
  </r>
  <r>
    <n v="2026"/>
    <n v="1"/>
    <s v="05-01-2026"/>
    <n v="10475"/>
    <s v="1101-04"/>
    <n v="30000"/>
    <n v="0"/>
    <s v="Centralización recaudaciones enero 2026"/>
    <n v="30000"/>
    <s v="Activo"/>
    <n v="30000"/>
    <x v="2"/>
  </r>
  <r>
    <n v="2026"/>
    <n v="1"/>
    <s v="05-01-2026"/>
    <n v="10475"/>
    <s v="1101-04"/>
    <n v="28990"/>
    <n v="0"/>
    <s v="Centralización recaudaciones enero 2026"/>
    <n v="28990"/>
    <s v="Activo"/>
    <n v="28990"/>
    <x v="2"/>
  </r>
  <r>
    <n v="2026"/>
    <n v="1"/>
    <s v="05-01-2026"/>
    <n v="10475"/>
    <s v="1101-04"/>
    <n v="19000"/>
    <n v="0"/>
    <s v="Centralización recaudaciones enero 2026"/>
    <n v="19000"/>
    <s v="Activo"/>
    <n v="19000"/>
    <x v="2"/>
  </r>
  <r>
    <n v="2026"/>
    <n v="1"/>
    <s v="05-01-2026"/>
    <n v="10475"/>
    <s v="1101-04"/>
    <n v="30000"/>
    <n v="0"/>
    <s v="Centralización recaudaciones enero 2026"/>
    <n v="30000"/>
    <s v="Activo"/>
    <n v="30000"/>
    <x v="2"/>
  </r>
  <r>
    <n v="2026"/>
    <n v="1"/>
    <s v="05-01-2026"/>
    <n v="10475"/>
    <s v="1101-04"/>
    <n v="30000"/>
    <n v="0"/>
    <s v="Centralización recaudaciones enero 2026"/>
    <n v="30000"/>
    <s v="Activo"/>
    <n v="30000"/>
    <x v="2"/>
  </r>
  <r>
    <n v="2026"/>
    <n v="1"/>
    <s v="05-01-2026"/>
    <n v="10476"/>
    <s v="1101-04"/>
    <n v="103042"/>
    <n v="0"/>
    <s v="Centralización recaudaciones enero 2026"/>
    <n v="103042"/>
    <s v="Activo"/>
    <n v="103042"/>
    <x v="2"/>
  </r>
  <r>
    <n v="2026"/>
    <n v="1"/>
    <s v="05-01-2026"/>
    <n v="10476"/>
    <s v="1101-04"/>
    <n v="30000"/>
    <n v="0"/>
    <s v="Centralización recaudaciones enero 2026"/>
    <n v="30000"/>
    <s v="Activo"/>
    <n v="30000"/>
    <x v="2"/>
  </r>
  <r>
    <n v="2026"/>
    <n v="1"/>
    <s v="05-01-2026"/>
    <n v="10476"/>
    <s v="1101-04"/>
    <n v="17990"/>
    <n v="0"/>
    <s v="Centralización recaudaciones enero 2026"/>
    <n v="17990"/>
    <s v="Activo"/>
    <n v="17990"/>
    <x v="2"/>
  </r>
  <r>
    <n v="2026"/>
    <n v="1"/>
    <s v="05-01-2026"/>
    <n v="10476"/>
    <s v="1101-04"/>
    <n v="45988"/>
    <n v="0"/>
    <s v="Centralización recaudaciones enero 2026"/>
    <n v="45988"/>
    <s v="Activo"/>
    <n v="45988"/>
    <x v="2"/>
  </r>
  <r>
    <n v="2026"/>
    <n v="1"/>
    <s v="05-01-2026"/>
    <n v="10476"/>
    <s v="1101-04"/>
    <n v="30000"/>
    <n v="0"/>
    <s v="Centralización recaudaciones enero 2026"/>
    <n v="30000"/>
    <s v="Activo"/>
    <n v="30000"/>
    <x v="2"/>
  </r>
  <r>
    <n v="2026"/>
    <n v="1"/>
    <s v="05-01-2026"/>
    <n v="10476"/>
    <s v="1101-04"/>
    <n v="30000"/>
    <n v="0"/>
    <s v="Centralización recaudaciones enero 2026"/>
    <n v="30000"/>
    <s v="Activo"/>
    <n v="30000"/>
    <x v="2"/>
  </r>
  <r>
    <n v="2026"/>
    <n v="1"/>
    <s v="05-01-2026"/>
    <n v="10476"/>
    <s v="1101-04"/>
    <n v="30000"/>
    <n v="0"/>
    <s v="Centralización recaudaciones enero 2026"/>
    <n v="30000"/>
    <s v="Activo"/>
    <n v="30000"/>
    <x v="2"/>
  </r>
  <r>
    <n v="2026"/>
    <n v="1"/>
    <s v="05-01-2026"/>
    <n v="10476"/>
    <s v="1101-04"/>
    <n v="14990"/>
    <n v="0"/>
    <s v="Centralización recaudaciones enero 2026"/>
    <n v="14990"/>
    <s v="Activo"/>
    <n v="14990"/>
    <x v="2"/>
  </r>
  <r>
    <n v="2026"/>
    <n v="1"/>
    <s v="05-01-2026"/>
    <n v="10476"/>
    <s v="1101-04"/>
    <n v="1273740"/>
    <n v="0"/>
    <s v="Centralización recaudaciones enero 2026"/>
    <n v="1273740"/>
    <s v="Activo"/>
    <n v="1273740"/>
    <x v="2"/>
  </r>
  <r>
    <n v="2026"/>
    <n v="1"/>
    <s v="05-01-2026"/>
    <n v="10476"/>
    <s v="1101-04"/>
    <n v="33990"/>
    <n v="0"/>
    <s v="Centralización recaudaciones enero 2026"/>
    <n v="33990"/>
    <s v="Activo"/>
    <n v="33990"/>
    <x v="2"/>
  </r>
  <r>
    <n v="2026"/>
    <n v="1"/>
    <s v="05-01-2026"/>
    <n v="10477"/>
    <s v="1101-04"/>
    <n v="8863"/>
    <n v="0"/>
    <s v="Centralización recaudaciones enero 2026"/>
    <n v="8863"/>
    <s v="Activo"/>
    <n v="8863"/>
    <x v="2"/>
  </r>
  <r>
    <n v="2026"/>
    <n v="1"/>
    <s v="05-01-2026"/>
    <n v="10477"/>
    <s v="1101-04"/>
    <n v="30000"/>
    <n v="0"/>
    <s v="Centralización recaudaciones enero 2026"/>
    <n v="30000"/>
    <s v="Activo"/>
    <n v="30000"/>
    <x v="2"/>
  </r>
  <r>
    <n v="2026"/>
    <n v="1"/>
    <s v="05-01-2026"/>
    <n v="10477"/>
    <s v="1101-04"/>
    <n v="45970"/>
    <n v="0"/>
    <s v="Centralización recaudaciones enero 2026"/>
    <n v="45970"/>
    <s v="Activo"/>
    <n v="45970"/>
    <x v="2"/>
  </r>
  <r>
    <n v="2026"/>
    <n v="1"/>
    <s v="05-01-2026"/>
    <n v="10477"/>
    <s v="1101-04"/>
    <n v="30000"/>
    <n v="0"/>
    <s v="Centralización recaudaciones enero 2026"/>
    <n v="30000"/>
    <s v="Activo"/>
    <n v="30000"/>
    <x v="2"/>
  </r>
  <r>
    <n v="2026"/>
    <n v="1"/>
    <s v="05-01-2026"/>
    <n v="10477"/>
    <s v="1101-04"/>
    <n v="60000"/>
    <n v="0"/>
    <s v="Centralización recaudaciones enero 2026"/>
    <n v="60000"/>
    <s v="Activo"/>
    <n v="60000"/>
    <x v="2"/>
  </r>
  <r>
    <n v="2026"/>
    <n v="1"/>
    <s v="05-01-2026"/>
    <n v="10477"/>
    <s v="1101-04"/>
    <n v="60000"/>
    <n v="0"/>
    <s v="Centralización recaudaciones enero 2026"/>
    <n v="60000"/>
    <s v="Activo"/>
    <n v="60000"/>
    <x v="2"/>
  </r>
  <r>
    <n v="2026"/>
    <n v="1"/>
    <s v="05-01-2026"/>
    <n v="10477"/>
    <s v="1101-04"/>
    <n v="21990"/>
    <n v="0"/>
    <s v="Centralización recaudaciones enero 2026"/>
    <n v="21990"/>
    <s v="Activo"/>
    <n v="21990"/>
    <x v="2"/>
  </r>
  <r>
    <n v="2026"/>
    <n v="1"/>
    <s v="05-01-2026"/>
    <n v="10477"/>
    <s v="1101-04"/>
    <n v="43980"/>
    <n v="0"/>
    <s v="Centralización recaudaciones enero 2026"/>
    <n v="43980"/>
    <s v="Activo"/>
    <n v="43980"/>
    <x v="2"/>
  </r>
  <r>
    <n v="2026"/>
    <n v="1"/>
    <s v="05-01-2026"/>
    <n v="10477"/>
    <s v="1101-04"/>
    <n v="28990"/>
    <n v="0"/>
    <s v="Centralización recaudaciones enero 2026"/>
    <n v="28990"/>
    <s v="Activo"/>
    <n v="28990"/>
    <x v="2"/>
  </r>
  <r>
    <n v="2026"/>
    <n v="1"/>
    <s v="05-01-2026"/>
    <n v="10477"/>
    <s v="1101-04"/>
    <n v="14990"/>
    <n v="0"/>
    <s v="Centralización recaudaciones enero 2026"/>
    <n v="14990"/>
    <s v="Activo"/>
    <n v="14990"/>
    <x v="2"/>
  </r>
  <r>
    <n v="2026"/>
    <n v="1"/>
    <s v="05-01-2026"/>
    <n v="10477"/>
    <s v="1101-04"/>
    <n v="27990"/>
    <n v="0"/>
    <s v="Centralización recaudaciones enero 2026"/>
    <n v="27990"/>
    <s v="Activo"/>
    <n v="27990"/>
    <x v="2"/>
  </r>
  <r>
    <n v="2026"/>
    <n v="1"/>
    <s v="05-01-2026"/>
    <n v="10477"/>
    <s v="1101-04"/>
    <n v="37990"/>
    <n v="0"/>
    <s v="Centralización recaudaciones enero 2026"/>
    <n v="37990"/>
    <s v="Activo"/>
    <n v="37990"/>
    <x v="2"/>
  </r>
  <r>
    <n v="2026"/>
    <n v="1"/>
    <s v="05-01-2026"/>
    <n v="10478"/>
    <s v="1101-04"/>
    <n v="40000"/>
    <n v="0"/>
    <s v="Centralización recaudaciones enero 2026"/>
    <n v="40000"/>
    <s v="Activo"/>
    <n v="40000"/>
    <x v="2"/>
  </r>
  <r>
    <n v="2026"/>
    <n v="1"/>
    <s v="05-01-2026"/>
    <n v="10478"/>
    <s v="1101-04"/>
    <n v="14990"/>
    <n v="0"/>
    <s v="Centralización recaudaciones enero 2026"/>
    <n v="14990"/>
    <s v="Activo"/>
    <n v="14990"/>
    <x v="2"/>
  </r>
  <r>
    <n v="2026"/>
    <n v="1"/>
    <s v="05-01-2026"/>
    <n v="10478"/>
    <s v="1101-04"/>
    <n v="40000"/>
    <n v="0"/>
    <s v="Centralización recaudaciones enero 2026"/>
    <n v="40000"/>
    <s v="Activo"/>
    <n v="40000"/>
    <x v="2"/>
  </r>
  <r>
    <n v="2026"/>
    <n v="1"/>
    <s v="05-01-2026"/>
    <n v="10478"/>
    <s v="1101-04"/>
    <n v="51000"/>
    <n v="0"/>
    <s v="Centralización recaudaciones enero 2026"/>
    <n v="51000"/>
    <s v="Activo"/>
    <n v="51000"/>
    <x v="2"/>
  </r>
  <r>
    <n v="2026"/>
    <n v="1"/>
    <s v="05-01-2026"/>
    <n v="10478"/>
    <s v="1101-04"/>
    <n v="40000"/>
    <n v="0"/>
    <s v="Centralización recaudaciones enero 2026"/>
    <n v="40000"/>
    <s v="Activo"/>
    <n v="40000"/>
    <x v="2"/>
  </r>
  <r>
    <n v="2026"/>
    <n v="1"/>
    <s v="05-01-2026"/>
    <n v="10478"/>
    <s v="1101-04"/>
    <n v="60000"/>
    <n v="0"/>
    <s v="Centralización recaudaciones enero 2026"/>
    <n v="60000"/>
    <s v="Activo"/>
    <n v="60000"/>
    <x v="2"/>
  </r>
  <r>
    <n v="2026"/>
    <n v="1"/>
    <s v="05-01-2026"/>
    <n v="10478"/>
    <s v="1101-04"/>
    <n v="28990"/>
    <n v="0"/>
    <s v="Centralización recaudaciones enero 2026"/>
    <n v="28990"/>
    <s v="Activo"/>
    <n v="28990"/>
    <x v="2"/>
  </r>
  <r>
    <n v="2026"/>
    <n v="1"/>
    <s v="05-01-2026"/>
    <n v="10478"/>
    <s v="1101-04"/>
    <n v="34990"/>
    <n v="0"/>
    <s v="Centralización recaudaciones enero 2026"/>
    <n v="34990"/>
    <s v="Activo"/>
    <n v="34990"/>
    <x v="2"/>
  </r>
  <r>
    <n v="2026"/>
    <n v="1"/>
    <s v="05-01-2026"/>
    <n v="10478"/>
    <s v="1101-04"/>
    <n v="28990"/>
    <n v="0"/>
    <s v="Centralización recaudaciones enero 2026"/>
    <n v="28990"/>
    <s v="Activo"/>
    <n v="28990"/>
    <x v="2"/>
  </r>
  <r>
    <n v="2026"/>
    <n v="1"/>
    <s v="05-01-2026"/>
    <n v="10478"/>
    <s v="1101-04"/>
    <n v="30000"/>
    <n v="0"/>
    <s v="Centralización recaudaciones enero 2026"/>
    <n v="30000"/>
    <s v="Activo"/>
    <n v="30000"/>
    <x v="2"/>
  </r>
  <r>
    <n v="2026"/>
    <n v="1"/>
    <s v="05-01-2026"/>
    <n v="10478"/>
    <s v="1101-04"/>
    <n v="28970"/>
    <n v="0"/>
    <s v="Centralización recaudaciones enero 2026"/>
    <n v="28970"/>
    <s v="Activo"/>
    <n v="28970"/>
    <x v="2"/>
  </r>
  <r>
    <n v="2026"/>
    <n v="1"/>
    <s v="05-01-2026"/>
    <n v="10478"/>
    <s v="1101-04"/>
    <n v="26970"/>
    <n v="0"/>
    <s v="Centralización recaudaciones enero 2026"/>
    <n v="26970"/>
    <s v="Activo"/>
    <n v="26970"/>
    <x v="2"/>
  </r>
  <r>
    <n v="2026"/>
    <n v="1"/>
    <s v="06-01-2026"/>
    <n v="7099"/>
    <s v="1101-04"/>
    <n v="0"/>
    <n v="7553"/>
    <s v="Pago f 7631373 banco itau"/>
    <n v="-7553"/>
    <s v="Activo"/>
    <n v="-7553"/>
    <x v="2"/>
  </r>
  <r>
    <n v="2026"/>
    <n v="1"/>
    <s v="06-01-2026"/>
    <n v="7099"/>
    <s v="1101-04"/>
    <n v="0"/>
    <n v="1435"/>
    <s v="Pago f 7631373 banco itau"/>
    <n v="-1435"/>
    <s v="Activo"/>
    <n v="-1435"/>
    <x v="2"/>
  </r>
  <r>
    <n v="2026"/>
    <n v="1"/>
    <s v="06-01-2026"/>
    <n v="10034"/>
    <s v="1101-04"/>
    <n v="0"/>
    <n v="5000000"/>
    <s v="0765406986 transf."/>
    <n v="-5000000"/>
    <s v="Activo"/>
    <n v="-5000000"/>
    <x v="2"/>
  </r>
  <r>
    <n v="2026"/>
    <n v="1"/>
    <s v="06-01-2026"/>
    <n v="10035"/>
    <s v="1101-04"/>
    <n v="0"/>
    <n v="5000000"/>
    <s v="0765406986 transf."/>
    <n v="-5000000"/>
    <s v="Activo"/>
    <n v="-5000000"/>
    <x v="2"/>
  </r>
  <r>
    <n v="2026"/>
    <n v="1"/>
    <s v="06-01-2026"/>
    <n v="10237"/>
    <s v="1101-04"/>
    <n v="51920"/>
    <n v="0"/>
    <s v="Centralización recaudaciones enero 2026 #2093 - #2093"/>
    <n v="51920"/>
    <s v="Activo"/>
    <n v="51920"/>
    <x v="2"/>
  </r>
  <r>
    <n v="2026"/>
    <n v="1"/>
    <s v="06-01-2026"/>
    <n v="10258"/>
    <s v="1101-04"/>
    <n v="43990"/>
    <n v="0"/>
    <s v="Centralización recaudaciones enero 2026 #2114 - #2114"/>
    <n v="43990"/>
    <s v="Activo"/>
    <n v="43990"/>
    <x v="2"/>
  </r>
  <r>
    <n v="2026"/>
    <n v="1"/>
    <s v="06-01-2026"/>
    <n v="10267"/>
    <s v="1101-04"/>
    <n v="32000"/>
    <n v="0"/>
    <s v="Centralización recaudaciones enero 2026 #2123 - #2123"/>
    <n v="32000"/>
    <s v="Activo"/>
    <n v="32000"/>
    <x v="2"/>
  </r>
  <r>
    <n v="2026"/>
    <n v="1"/>
    <s v="06-01-2026"/>
    <n v="10272"/>
    <s v="1101-04"/>
    <n v="74000"/>
    <n v="0"/>
    <s v="Centralización recaudaciones enero 2026 #2128 - #2128"/>
    <n v="74000"/>
    <s v="Activo"/>
    <n v="74000"/>
    <x v="2"/>
  </r>
  <r>
    <n v="2026"/>
    <n v="1"/>
    <s v="06-01-2026"/>
    <n v="10290"/>
    <s v="1101-04"/>
    <n v="26000"/>
    <n v="0"/>
    <s v="Centralización recaudaciones enero 2026 #2146 - #2146"/>
    <n v="26000"/>
    <s v="Activo"/>
    <n v="26000"/>
    <x v="2"/>
  </r>
  <r>
    <n v="2026"/>
    <n v="1"/>
    <s v="06-01-2026"/>
    <n v="10298"/>
    <s v="1101-04"/>
    <n v="30000"/>
    <n v="0"/>
    <s v="Centralización recaudaciones enero 2026 #2154 - #2154"/>
    <n v="30000"/>
    <s v="Activo"/>
    <n v="30000"/>
    <x v="2"/>
  </r>
  <r>
    <n v="2026"/>
    <n v="1"/>
    <s v="06-01-2026"/>
    <n v="10327"/>
    <s v="1101-04"/>
    <n v="30000"/>
    <n v="0"/>
    <s v="Centralización recaudaciones enero 2026 #2183 - #2183"/>
    <n v="30000"/>
    <s v="Activo"/>
    <n v="30000"/>
    <x v="2"/>
  </r>
  <r>
    <n v="2026"/>
    <n v="1"/>
    <s v="06-01-2026"/>
    <n v="10338"/>
    <s v="1101-04"/>
    <n v="119980"/>
    <n v="0"/>
    <s v="Centralización recaudaciones enero 2026 #2194 - #2194"/>
    <n v="119980"/>
    <s v="Activo"/>
    <n v="119980"/>
    <x v="2"/>
  </r>
  <r>
    <n v="2026"/>
    <n v="1"/>
    <s v="06-01-2026"/>
    <n v="10366"/>
    <s v="1101-04"/>
    <n v="429427"/>
    <n v="0"/>
    <s v="Centralización recaudaciones enero 2026 #2222 - #2222"/>
    <n v="429427"/>
    <s v="Activo"/>
    <n v="429427"/>
    <x v="2"/>
  </r>
  <r>
    <n v="2026"/>
    <n v="1"/>
    <s v="06-01-2026"/>
    <n v="10381"/>
    <s v="1101-04"/>
    <n v="74980"/>
    <n v="0"/>
    <s v="Centralización recaudaciones enero 2026 #2237 - #2237"/>
    <n v="74980"/>
    <s v="Activo"/>
    <n v="74980"/>
    <x v="2"/>
  </r>
  <r>
    <n v="2026"/>
    <n v="1"/>
    <s v="06-01-2026"/>
    <n v="10409"/>
    <s v="1101-04"/>
    <n v="320462"/>
    <n v="0"/>
    <s v="Centralización recaudaciones enero 2026 #2265 - #2265"/>
    <n v="320462"/>
    <s v="Activo"/>
    <n v="320462"/>
    <x v="2"/>
  </r>
  <r>
    <n v="2026"/>
    <n v="1"/>
    <s v="06-01-2026"/>
    <n v="10410"/>
    <s v="1101-04"/>
    <n v="320462"/>
    <n v="0"/>
    <s v="Centralización recaudaciones enero 2026 #2266 - #2266"/>
    <n v="320462"/>
    <s v="Activo"/>
    <n v="320462"/>
    <x v="2"/>
  </r>
  <r>
    <n v="2026"/>
    <n v="1"/>
    <s v="06-01-2026"/>
    <n v="10457"/>
    <s v="1101-04"/>
    <n v="245970"/>
    <n v="0"/>
    <s v="Centralización recaudaciones enero 2026 #2313 - #2313"/>
    <n v="245970"/>
    <s v="Activo"/>
    <n v="245970"/>
    <x v="2"/>
  </r>
  <r>
    <n v="2026"/>
    <n v="1"/>
    <s v="06-01-2026"/>
    <n v="10458"/>
    <s v="1101-04"/>
    <n v="17990"/>
    <n v="0"/>
    <s v="Centralización recaudaciones enero 2026 #2314 - #2314"/>
    <n v="17990"/>
    <s v="Activo"/>
    <n v="17990"/>
    <x v="2"/>
  </r>
  <r>
    <n v="2026"/>
    <n v="1"/>
    <s v="06-01-2026"/>
    <n v="10459"/>
    <s v="1101-04"/>
    <n v="29990"/>
    <n v="0"/>
    <s v="Centralización recaudaciones enero 2026 #2315 - #2315"/>
    <n v="29990"/>
    <s v="Activo"/>
    <n v="29990"/>
    <x v="2"/>
  </r>
  <r>
    <n v="2026"/>
    <n v="1"/>
    <s v="06-01-2026"/>
    <n v="10479"/>
    <s v="1101-04"/>
    <n v="30000"/>
    <n v="0"/>
    <s v="Centralización recaudaciones enero 2026"/>
    <n v="30000"/>
    <s v="Activo"/>
    <n v="30000"/>
    <x v="2"/>
  </r>
  <r>
    <n v="2026"/>
    <n v="1"/>
    <s v="06-01-2026"/>
    <n v="10479"/>
    <s v="1101-04"/>
    <n v="28990"/>
    <n v="0"/>
    <s v="Centralización recaudaciones enero 2026"/>
    <n v="28990"/>
    <s v="Activo"/>
    <n v="28990"/>
    <x v="2"/>
  </r>
  <r>
    <n v="2026"/>
    <n v="1"/>
    <s v="06-01-2026"/>
    <n v="10479"/>
    <s v="1101-04"/>
    <n v="28990"/>
    <n v="0"/>
    <s v="Centralización recaudaciones enero 2026"/>
    <n v="28990"/>
    <s v="Activo"/>
    <n v="28990"/>
    <x v="2"/>
  </r>
  <r>
    <n v="2026"/>
    <n v="1"/>
    <s v="06-01-2026"/>
    <n v="10479"/>
    <s v="1101-04"/>
    <n v="60000"/>
    <n v="0"/>
    <s v="Centralización recaudaciones enero 2026"/>
    <n v="60000"/>
    <s v="Activo"/>
    <n v="60000"/>
    <x v="2"/>
  </r>
  <r>
    <n v="2026"/>
    <n v="1"/>
    <s v="06-01-2026"/>
    <n v="10479"/>
    <s v="1101-04"/>
    <n v="33990"/>
    <n v="0"/>
    <s v="Centralización recaudaciones enero 2026"/>
    <n v="33990"/>
    <s v="Activo"/>
    <n v="33990"/>
    <x v="2"/>
  </r>
  <r>
    <n v="2026"/>
    <n v="1"/>
    <s v="06-01-2026"/>
    <n v="10479"/>
    <s v="1101-04"/>
    <n v="34000"/>
    <n v="0"/>
    <s v="Centralización recaudaciones enero 2026"/>
    <n v="34000"/>
    <s v="Activo"/>
    <n v="34000"/>
    <x v="2"/>
  </r>
  <r>
    <n v="2026"/>
    <n v="1"/>
    <s v="06-01-2026"/>
    <n v="10479"/>
    <s v="1101-04"/>
    <n v="374863"/>
    <n v="0"/>
    <s v="Centralización recaudaciones enero 2026"/>
    <n v="374863"/>
    <s v="Activo"/>
    <n v="374863"/>
    <x v="2"/>
  </r>
  <r>
    <n v="2026"/>
    <n v="1"/>
    <s v="06-01-2026"/>
    <n v="10479"/>
    <s v="1101-04"/>
    <n v="5000"/>
    <n v="0"/>
    <s v="Centralización recaudaciones enero 2026"/>
    <n v="5000"/>
    <s v="Activo"/>
    <n v="5000"/>
    <x v="2"/>
  </r>
  <r>
    <n v="2026"/>
    <n v="1"/>
    <s v="06-01-2026"/>
    <n v="10479"/>
    <s v="1101-04"/>
    <n v="43980"/>
    <n v="0"/>
    <s v="Centralización recaudaciones enero 2026"/>
    <n v="43980"/>
    <s v="Activo"/>
    <n v="43980"/>
    <x v="2"/>
  </r>
  <r>
    <n v="2026"/>
    <n v="1"/>
    <s v="06-01-2026"/>
    <n v="10480"/>
    <s v="1101-04"/>
    <n v="30000"/>
    <n v="0"/>
    <s v="Centralización recaudaciones enero 2026"/>
    <n v="30000"/>
    <s v="Activo"/>
    <n v="30000"/>
    <x v="2"/>
  </r>
  <r>
    <n v="2026"/>
    <n v="1"/>
    <s v="06-01-2026"/>
    <n v="10480"/>
    <s v="1101-04"/>
    <n v="63980"/>
    <n v="0"/>
    <s v="Centralización recaudaciones enero 2026"/>
    <n v="63980"/>
    <s v="Activo"/>
    <n v="63980"/>
    <x v="2"/>
  </r>
  <r>
    <n v="2026"/>
    <n v="1"/>
    <s v="06-01-2026"/>
    <n v="10480"/>
    <s v="1101-04"/>
    <n v="50000"/>
    <n v="0"/>
    <s v="Centralización recaudaciones enero 2026"/>
    <n v="50000"/>
    <s v="Activo"/>
    <n v="50000"/>
    <x v="2"/>
  </r>
  <r>
    <n v="2026"/>
    <n v="1"/>
    <s v="06-01-2026"/>
    <n v="10480"/>
    <s v="1101-04"/>
    <n v="244900"/>
    <n v="0"/>
    <s v="Centralización recaudaciones enero 2026"/>
    <n v="244900"/>
    <s v="Activo"/>
    <n v="244900"/>
    <x v="2"/>
  </r>
  <r>
    <n v="2026"/>
    <n v="1"/>
    <s v="07-01-2026"/>
    <n v="10238"/>
    <s v="1101-04"/>
    <n v="55990"/>
    <n v="0"/>
    <s v="Centralización recaudaciones enero 2026 #2094 - #2094"/>
    <n v="55990"/>
    <s v="Activo"/>
    <n v="55990"/>
    <x v="2"/>
  </r>
  <r>
    <n v="2026"/>
    <n v="1"/>
    <s v="07-01-2026"/>
    <n v="10246"/>
    <s v="1101-04"/>
    <n v="34000"/>
    <n v="0"/>
    <s v="Centralización recaudaciones enero 2026 #2102 - #2102"/>
    <n v="34000"/>
    <s v="Activo"/>
    <n v="34000"/>
    <x v="2"/>
  </r>
  <r>
    <n v="2026"/>
    <n v="1"/>
    <s v="07-01-2026"/>
    <n v="10370"/>
    <s v="1101-04"/>
    <n v="112729"/>
    <n v="0"/>
    <s v="Centralización recaudaciones enero 2026 #2226 - #2226"/>
    <n v="112729"/>
    <s v="Activo"/>
    <n v="112729"/>
    <x v="2"/>
  </r>
  <r>
    <n v="2026"/>
    <n v="1"/>
    <s v="07-01-2026"/>
    <n v="10481"/>
    <s v="1101-04"/>
    <n v="30000"/>
    <n v="0"/>
    <s v="Centralización recaudaciones enero 2026"/>
    <n v="30000"/>
    <s v="Activo"/>
    <n v="30000"/>
    <x v="2"/>
  </r>
  <r>
    <n v="2026"/>
    <n v="1"/>
    <s v="07-01-2026"/>
    <n v="10481"/>
    <s v="1101-04"/>
    <n v="50000"/>
    <n v="0"/>
    <s v="Centralización recaudaciones enero 2026"/>
    <n v="50000"/>
    <s v="Activo"/>
    <n v="50000"/>
    <x v="2"/>
  </r>
  <r>
    <n v="2026"/>
    <n v="1"/>
    <s v="07-01-2026"/>
    <n v="10481"/>
    <s v="1101-04"/>
    <n v="12991"/>
    <n v="0"/>
    <s v="Centralización recaudaciones enero 2026"/>
    <n v="12991"/>
    <s v="Activo"/>
    <n v="12991"/>
    <x v="2"/>
  </r>
  <r>
    <n v="2026"/>
    <n v="1"/>
    <s v="07-01-2026"/>
    <n v="10481"/>
    <s v="1101-04"/>
    <n v="20493"/>
    <n v="0"/>
    <s v="Centralización recaudaciones enero 2026"/>
    <n v="20493"/>
    <s v="Activo"/>
    <n v="20493"/>
    <x v="2"/>
  </r>
  <r>
    <n v="2026"/>
    <n v="1"/>
    <s v="07-01-2026"/>
    <n v="10481"/>
    <s v="1101-04"/>
    <n v="15000"/>
    <n v="0"/>
    <s v="Centralización recaudaciones enero 2026"/>
    <n v="15000"/>
    <s v="Activo"/>
    <n v="15000"/>
    <x v="2"/>
  </r>
  <r>
    <n v="2026"/>
    <n v="1"/>
    <s v="07-01-2026"/>
    <n v="10481"/>
    <s v="1101-04"/>
    <n v="2995667"/>
    <n v="0"/>
    <s v="Centralización recaudaciones enero 2026"/>
    <n v="2995667"/>
    <s v="Activo"/>
    <n v="2995667"/>
    <x v="2"/>
  </r>
  <r>
    <n v="2026"/>
    <n v="1"/>
    <s v="08-01-2026"/>
    <n v="10348"/>
    <s v="1101-04"/>
    <n v="29990"/>
    <n v="0"/>
    <s v="Centralización recaudaciones enero 2026 #2204 - #2204"/>
    <n v="29990"/>
    <s v="Activo"/>
    <n v="29990"/>
    <x v="2"/>
  </r>
  <r>
    <n v="2026"/>
    <n v="1"/>
    <s v="08-01-2026"/>
    <n v="10482"/>
    <s v="1101-04"/>
    <n v="30000"/>
    <n v="0"/>
    <s v="Centralización recaudaciones enero 2026"/>
    <n v="30000"/>
    <s v="Activo"/>
    <n v="30000"/>
    <x v="2"/>
  </r>
  <r>
    <n v="2026"/>
    <n v="1"/>
    <s v="08-01-2026"/>
    <n v="10482"/>
    <s v="1101-04"/>
    <n v="30000"/>
    <n v="0"/>
    <s v="Centralización recaudaciones enero 2026"/>
    <n v="30000"/>
    <s v="Activo"/>
    <n v="30000"/>
    <x v="2"/>
  </r>
  <r>
    <n v="2026"/>
    <n v="1"/>
    <s v="08-01-2026"/>
    <n v="10482"/>
    <s v="1101-04"/>
    <n v="30000"/>
    <n v="0"/>
    <s v="Centralización recaudaciones enero 2026"/>
    <n v="30000"/>
    <s v="Activo"/>
    <n v="30000"/>
    <x v="2"/>
  </r>
  <r>
    <n v="2026"/>
    <n v="1"/>
    <s v="09-01-2026"/>
    <n v="10346"/>
    <s v="1101-04"/>
    <n v="19487"/>
    <n v="0"/>
    <s v="Centralización recaudaciones enero 2026 #2202 - #2202"/>
    <n v="19487"/>
    <s v="Activo"/>
    <n v="19487"/>
    <x v="2"/>
  </r>
  <r>
    <n v="2026"/>
    <n v="1"/>
    <s v="09-01-2026"/>
    <n v="10417"/>
    <s v="1101-04"/>
    <n v="613286"/>
    <n v="0"/>
    <s v="Centralización recaudaciones enero 2026 #2273 - #2273"/>
    <n v="613286"/>
    <s v="Activo"/>
    <n v="613286"/>
    <x v="2"/>
  </r>
  <r>
    <n v="2026"/>
    <n v="1"/>
    <s v="09-01-2026"/>
    <n v="10437"/>
    <s v="1101-04"/>
    <n v="520000"/>
    <n v="0"/>
    <s v="Centralización recaudaciones enero 2026 #2293 - #2293"/>
    <n v="520000"/>
    <s v="Activo"/>
    <n v="520000"/>
    <x v="2"/>
  </r>
  <r>
    <n v="2026"/>
    <n v="1"/>
    <s v="09-01-2026"/>
    <n v="10438"/>
    <s v="1101-04"/>
    <n v="520000"/>
    <n v="0"/>
    <s v="Centralización recaudaciones enero 2026 #2294 - #2294"/>
    <n v="520000"/>
    <s v="Activo"/>
    <n v="520000"/>
    <x v="2"/>
  </r>
  <r>
    <n v="2026"/>
    <n v="1"/>
    <s v="09-01-2026"/>
    <n v="10440"/>
    <s v="1101-04"/>
    <n v="520000"/>
    <n v="0"/>
    <s v="Centralización recaudaciones enero 2026 #2296 - #2296"/>
    <n v="520000"/>
    <s v="Activo"/>
    <n v="520000"/>
    <x v="2"/>
  </r>
  <r>
    <n v="2026"/>
    <n v="1"/>
    <s v="09-01-2026"/>
    <n v="10451"/>
    <s v="1101-04"/>
    <n v="849186"/>
    <n v="0"/>
    <s v="Centralización recaudaciones enero 2026 #2307 - #2307"/>
    <n v="849186"/>
    <s v="Activo"/>
    <n v="849186"/>
    <x v="2"/>
  </r>
  <r>
    <n v="2026"/>
    <n v="1"/>
    <s v="12-01-2026"/>
    <n v="10241"/>
    <s v="1101-04"/>
    <n v="58000"/>
    <n v="0"/>
    <s v="Centralización recaudaciones enero 2026 #2097 - #2097"/>
    <n v="58000"/>
    <s v="Activo"/>
    <n v="58000"/>
    <x v="2"/>
  </r>
  <r>
    <n v="2026"/>
    <n v="1"/>
    <s v="12-01-2026"/>
    <n v="10336"/>
    <s v="1101-04"/>
    <n v="13000"/>
    <n v="0"/>
    <s v="Centralización recaudaciones enero 2026 #2192 - #2192"/>
    <n v="13000"/>
    <s v="Activo"/>
    <n v="13000"/>
    <x v="2"/>
  </r>
  <r>
    <n v="2026"/>
    <n v="1"/>
    <s v="12-01-2026"/>
    <n v="10355"/>
    <s v="1101-04"/>
    <n v="40000"/>
    <n v="0"/>
    <s v="Centralización recaudaciones enero 2026 #2211 - #2211"/>
    <n v="40000"/>
    <s v="Activo"/>
    <n v="40000"/>
    <x v="2"/>
  </r>
  <r>
    <n v="2026"/>
    <n v="1"/>
    <s v="12-01-2026"/>
    <n v="10382"/>
    <s v="1101-04"/>
    <n v="113222"/>
    <n v="0"/>
    <s v="Centralización recaudaciones enero 2026 #2238 - #2238"/>
    <n v="113222"/>
    <s v="Activo"/>
    <n v="113222"/>
    <x v="2"/>
  </r>
  <r>
    <n v="2026"/>
    <n v="1"/>
    <s v="12-01-2026"/>
    <n v="10391"/>
    <s v="1101-04"/>
    <n v="1597807"/>
    <n v="0"/>
    <s v="Centralización recaudaciones enero 2026 #2247 - #2247"/>
    <n v="1597807"/>
    <s v="Activo"/>
    <n v="1597807"/>
    <x v="2"/>
  </r>
  <r>
    <n v="2026"/>
    <n v="1"/>
    <s v="12-01-2026"/>
    <n v="10401"/>
    <s v="1101-04"/>
    <n v="40000"/>
    <n v="0"/>
    <s v="Centralización recaudaciones enero 2026 #2257 - #2257"/>
    <n v="40000"/>
    <s v="Activo"/>
    <n v="40000"/>
    <x v="2"/>
  </r>
  <r>
    <n v="2026"/>
    <n v="1"/>
    <s v="12-01-2026"/>
    <n v="10407"/>
    <s v="1101-04"/>
    <n v="14990"/>
    <n v="0"/>
    <s v="Centralización recaudaciones enero 2026 #2263 - #2263"/>
    <n v="14990"/>
    <s v="Activo"/>
    <n v="14990"/>
    <x v="2"/>
  </r>
  <r>
    <n v="2026"/>
    <n v="1"/>
    <s v="12-01-2026"/>
    <n v="10483"/>
    <s v="1101-04"/>
    <n v="30000"/>
    <n v="0"/>
    <s v="Centralización recaudaciones enero 2026"/>
    <n v="30000"/>
    <s v="Activo"/>
    <n v="30000"/>
    <x v="2"/>
  </r>
  <r>
    <n v="2026"/>
    <n v="1"/>
    <s v="12-01-2026"/>
    <n v="10483"/>
    <s v="1101-04"/>
    <n v="14990"/>
    <n v="0"/>
    <s v="Centralización recaudaciones enero 2026"/>
    <n v="14990"/>
    <s v="Activo"/>
    <n v="14990"/>
    <x v="2"/>
  </r>
  <r>
    <n v="2026"/>
    <n v="1"/>
    <s v="12-01-2026"/>
    <n v="9820"/>
    <s v="1101-04"/>
    <n v="0"/>
    <n v="5000000"/>
    <s v="230434690 transf. de tlink spa"/>
    <n v="-5000000"/>
    <s v="Activo"/>
    <n v="-5000000"/>
    <x v="2"/>
  </r>
  <r>
    <n v="2026"/>
    <n v="1"/>
    <s v="12-01-2026"/>
    <n v="9820"/>
    <s v="1101-04"/>
    <n v="0"/>
    <n v="5000000"/>
    <s v="230434690 transf. de tlink spa"/>
    <n v="-5000000"/>
    <s v="Activo"/>
    <n v="-5000000"/>
    <x v="2"/>
  </r>
  <r>
    <n v="2026"/>
    <n v="1"/>
    <s v="16-01-2026"/>
    <n v="10048"/>
    <s v="1101-04"/>
    <n v="0"/>
    <n v="5000000"/>
    <s v="0765406986 transf."/>
    <n v="-5000000"/>
    <s v="Activo"/>
    <n v="-5000000"/>
    <x v="2"/>
  </r>
  <r>
    <n v="2026"/>
    <n v="1"/>
    <s v="16-01-2026"/>
    <n v="10049"/>
    <s v="1101-04"/>
    <n v="0"/>
    <n v="3000000"/>
    <s v="0765406986 transf."/>
    <n v="-3000000"/>
    <s v="Activo"/>
    <n v="-3000000"/>
    <x v="2"/>
  </r>
  <r>
    <n v="2026"/>
    <n v="1"/>
    <s v="16-01-2026"/>
    <n v="10193"/>
    <s v="1101-04"/>
    <n v="39990"/>
    <n v="0"/>
    <s v="Centralización recaudaciones enero 2026 #2049 - #2049"/>
    <n v="39990"/>
    <s v="Activo"/>
    <n v="39990"/>
    <x v="2"/>
  </r>
  <r>
    <n v="2026"/>
    <n v="1"/>
    <s v="16-01-2026"/>
    <n v="10250"/>
    <s v="1101-04"/>
    <n v="200000"/>
    <n v="0"/>
    <s v="Centralización recaudaciones enero 2026 #2106 - #2106"/>
    <n v="200000"/>
    <s v="Activo"/>
    <n v="200000"/>
    <x v="2"/>
  </r>
  <r>
    <n v="2026"/>
    <n v="1"/>
    <s v="16-01-2026"/>
    <n v="10265"/>
    <s v="1101-04"/>
    <n v="118974"/>
    <n v="0"/>
    <s v="Centralización recaudaciones enero 2026 #2121 - #2121"/>
    <n v="118974"/>
    <s v="Activo"/>
    <n v="118974"/>
    <x v="2"/>
  </r>
  <r>
    <n v="2026"/>
    <n v="1"/>
    <s v="16-01-2026"/>
    <n v="10266"/>
    <s v="1101-04"/>
    <n v="118974"/>
    <n v="0"/>
    <s v="Centralización recaudaciones enero 2026 #2122 - #2122"/>
    <n v="118974"/>
    <s v="Activo"/>
    <n v="118974"/>
    <x v="2"/>
  </r>
  <r>
    <n v="2026"/>
    <n v="1"/>
    <s v="16-01-2026"/>
    <n v="10316"/>
    <s v="1101-04"/>
    <n v="283055"/>
    <n v="0"/>
    <s v="Centralización recaudaciones enero 2026 #2172 - #2172"/>
    <n v="283055"/>
    <s v="Activo"/>
    <n v="283055"/>
    <x v="2"/>
  </r>
  <r>
    <n v="2026"/>
    <n v="1"/>
    <s v="16-01-2026"/>
    <n v="10357"/>
    <s v="1101-04"/>
    <n v="330231"/>
    <n v="0"/>
    <s v="Centralización recaudaciones enero 2026 #2213 - #2213"/>
    <n v="330231"/>
    <s v="Activo"/>
    <n v="330231"/>
    <x v="2"/>
  </r>
  <r>
    <n v="2026"/>
    <n v="1"/>
    <s v="16-01-2026"/>
    <n v="10445"/>
    <s v="1101-04"/>
    <n v="2478886"/>
    <n v="0"/>
    <s v="Centralización recaudaciones enero 2026 #2301 - #2301"/>
    <n v="2478886"/>
    <s v="Activo"/>
    <n v="2478886"/>
    <x v="2"/>
  </r>
  <r>
    <n v="2026"/>
    <n v="1"/>
    <s v="16-01-2026"/>
    <n v="10484"/>
    <s v="1101-04"/>
    <n v="22000"/>
    <n v="0"/>
    <s v="Centralización recaudaciones enero 2026"/>
    <n v="22000"/>
    <s v="Activo"/>
    <n v="22000"/>
    <x v="2"/>
  </r>
  <r>
    <n v="2026"/>
    <n v="1"/>
    <s v="16-01-2026"/>
    <n v="10484"/>
    <s v="1101-04"/>
    <n v="40000"/>
    <n v="0"/>
    <s v="Centralización recaudaciones enero 2026"/>
    <n v="40000"/>
    <s v="Activo"/>
    <n v="40000"/>
    <x v="2"/>
  </r>
  <r>
    <n v="2026"/>
    <n v="1"/>
    <s v="16-01-2026"/>
    <n v="10484"/>
    <s v="1101-04"/>
    <n v="2025761"/>
    <n v="0"/>
    <s v="Centralización recaudaciones enero 2026"/>
    <n v="2025761"/>
    <s v="Activo"/>
    <n v="2025761"/>
    <x v="2"/>
  </r>
  <r>
    <n v="2026"/>
    <n v="1"/>
    <s v="19-01-2026"/>
    <n v="10052"/>
    <s v="1101-04"/>
    <n v="0"/>
    <n v="4561428"/>
    <s v="0765406986 transf."/>
    <n v="-4561428"/>
    <s v="Activo"/>
    <n v="-4561428"/>
    <x v="2"/>
  </r>
  <r>
    <n v="2026"/>
    <n v="1"/>
    <s v="19-01-2026"/>
    <n v="10053"/>
    <s v="1101-04"/>
    <n v="0"/>
    <n v="1900000"/>
    <s v="0765406986 transf."/>
    <n v="-1900000"/>
    <s v="Activo"/>
    <n v="-1900000"/>
    <x v="2"/>
  </r>
  <r>
    <n v="2026"/>
    <n v="1"/>
    <s v="19-01-2026"/>
    <n v="10204"/>
    <s v="1101-04"/>
    <n v="25990"/>
    <n v="0"/>
    <s v="Centralización recaudaciones enero 2026 #2060 - #2060"/>
    <n v="25990"/>
    <s v="Activo"/>
    <n v="25990"/>
    <x v="2"/>
  </r>
  <r>
    <n v="2026"/>
    <n v="1"/>
    <s v="19-01-2026"/>
    <n v="10225"/>
    <s v="1101-04"/>
    <n v="30000"/>
    <n v="0"/>
    <s v="Centralización recaudaciones enero 2026 #2081 - #2081"/>
    <n v="30000"/>
    <s v="Activo"/>
    <n v="30000"/>
    <x v="2"/>
  </r>
  <r>
    <n v="2026"/>
    <n v="1"/>
    <s v="19-01-2026"/>
    <n v="10226"/>
    <s v="1101-04"/>
    <n v="30000"/>
    <n v="0"/>
    <s v="Centralización recaudaciones enero 2026 #2082 - #2082"/>
    <n v="30000"/>
    <s v="Activo"/>
    <n v="30000"/>
    <x v="2"/>
  </r>
  <r>
    <n v="2026"/>
    <n v="1"/>
    <s v="19-01-2026"/>
    <n v="10234"/>
    <s v="1101-04"/>
    <n v="30000"/>
    <n v="0"/>
    <s v="Centralización recaudaciones enero 2026 #2090 - #2090"/>
    <n v="30000"/>
    <s v="Activo"/>
    <n v="30000"/>
    <x v="2"/>
  </r>
  <r>
    <n v="2026"/>
    <n v="1"/>
    <s v="19-01-2026"/>
    <n v="10253"/>
    <s v="1101-04"/>
    <n v="30000"/>
    <n v="0"/>
    <s v="Centralización recaudaciones enero 2026 #2109 - #2109"/>
    <n v="30000"/>
    <s v="Activo"/>
    <n v="30000"/>
    <x v="2"/>
  </r>
  <r>
    <n v="2026"/>
    <n v="1"/>
    <s v="19-01-2026"/>
    <n v="10259"/>
    <s v="1101-04"/>
    <n v="43990"/>
    <n v="0"/>
    <s v="Centralización recaudaciones enero 2026 #2115 - #2115"/>
    <n v="43990"/>
    <s v="Activo"/>
    <n v="43990"/>
    <x v="2"/>
  </r>
  <r>
    <n v="2026"/>
    <n v="1"/>
    <s v="19-01-2026"/>
    <n v="10278"/>
    <s v="1101-04"/>
    <n v="30000"/>
    <n v="0"/>
    <s v="Centralización recaudaciones enero 2026 #2134 - #2134"/>
    <n v="30000"/>
    <s v="Activo"/>
    <n v="30000"/>
    <x v="2"/>
  </r>
  <r>
    <n v="2026"/>
    <n v="1"/>
    <s v="19-01-2026"/>
    <n v="10283"/>
    <s v="1101-04"/>
    <n v="30000"/>
    <n v="0"/>
    <s v="Centralización recaudaciones enero 2026 #2139 - #2139"/>
    <n v="30000"/>
    <s v="Activo"/>
    <n v="30000"/>
    <x v="2"/>
  </r>
  <r>
    <n v="2026"/>
    <n v="1"/>
    <s v="19-01-2026"/>
    <n v="10288"/>
    <s v="1101-04"/>
    <n v="43990"/>
    <n v="0"/>
    <s v="Centralización recaudaciones enero 2026 #2144 - #2144"/>
    <n v="43990"/>
    <s v="Activo"/>
    <n v="43990"/>
    <x v="2"/>
  </r>
  <r>
    <n v="2026"/>
    <n v="1"/>
    <s v="19-01-2026"/>
    <n v="10294"/>
    <s v="1101-04"/>
    <n v="30000"/>
    <n v="0"/>
    <s v="Centralización recaudaciones enero 2026 #2150 - #2150"/>
    <n v="30000"/>
    <s v="Activo"/>
    <n v="30000"/>
    <x v="2"/>
  </r>
  <r>
    <n v="2026"/>
    <n v="1"/>
    <s v="19-01-2026"/>
    <n v="10311"/>
    <s v="1101-04"/>
    <n v="63980"/>
    <n v="0"/>
    <s v="Centralización recaudaciones enero 2026 #2167 - #2167"/>
    <n v="63980"/>
    <s v="Activo"/>
    <n v="63980"/>
    <x v="2"/>
  </r>
  <r>
    <n v="2026"/>
    <n v="1"/>
    <s v="19-01-2026"/>
    <n v="10313"/>
    <s v="1101-04"/>
    <n v="30000"/>
    <n v="0"/>
    <s v="Centralización recaudaciones enero 2026 #2169 - #2169"/>
    <n v="30000"/>
    <s v="Activo"/>
    <n v="30000"/>
    <x v="2"/>
  </r>
  <r>
    <n v="2026"/>
    <n v="1"/>
    <s v="19-01-2026"/>
    <n v="10331"/>
    <s v="1101-04"/>
    <n v="21990"/>
    <n v="0"/>
    <s v="Centralización recaudaciones enero 2026 #2187 - #2187"/>
    <n v="21990"/>
    <s v="Activo"/>
    <n v="21990"/>
    <x v="2"/>
  </r>
  <r>
    <n v="2026"/>
    <n v="1"/>
    <s v="19-01-2026"/>
    <n v="10332"/>
    <s v="1101-04"/>
    <n v="29990"/>
    <n v="0"/>
    <s v="Centralización recaudaciones enero 2026 #2188 - #2188"/>
    <n v="29990"/>
    <s v="Activo"/>
    <n v="29990"/>
    <x v="2"/>
  </r>
  <r>
    <n v="2026"/>
    <n v="1"/>
    <s v="19-01-2026"/>
    <n v="10350"/>
    <s v="1101-04"/>
    <n v="34990"/>
    <n v="0"/>
    <s v="Centralización recaudaciones enero 2026 #2206 - #2206"/>
    <n v="34990"/>
    <s v="Activo"/>
    <n v="34990"/>
    <x v="2"/>
  </r>
  <r>
    <n v="2026"/>
    <n v="1"/>
    <s v="19-01-2026"/>
    <n v="10364"/>
    <s v="1101-04"/>
    <n v="141879"/>
    <n v="0"/>
    <s v="Centralización recaudaciones enero 2026 #2220 - #2220"/>
    <n v="141879"/>
    <s v="Activo"/>
    <n v="141879"/>
    <x v="2"/>
  </r>
  <r>
    <n v="2026"/>
    <n v="1"/>
    <s v="19-01-2026"/>
    <n v="10374"/>
    <s v="1101-04"/>
    <n v="17990"/>
    <n v="0"/>
    <s v="Centralización recaudaciones enero 2026 #2230 - #2230"/>
    <n v="17990"/>
    <s v="Activo"/>
    <n v="17990"/>
    <x v="2"/>
  </r>
  <r>
    <n v="2026"/>
    <n v="1"/>
    <s v="19-01-2026"/>
    <n v="10408"/>
    <s v="1101-04"/>
    <n v="46990"/>
    <n v="0"/>
    <s v="Centralización recaudaciones enero 2026 #2264 - #2264"/>
    <n v="46990"/>
    <s v="Activo"/>
    <n v="46990"/>
    <x v="2"/>
  </r>
  <r>
    <n v="2026"/>
    <n v="1"/>
    <s v="19-01-2026"/>
    <n v="10423"/>
    <s v="1101-04"/>
    <n v="28990"/>
    <n v="0"/>
    <s v="Centralización recaudaciones enero 2026 #2279 - #2279"/>
    <n v="28990"/>
    <s v="Activo"/>
    <n v="28990"/>
    <x v="2"/>
  </r>
  <r>
    <n v="2026"/>
    <n v="1"/>
    <s v="19-01-2026"/>
    <n v="10425"/>
    <s v="1101-04"/>
    <n v="28990"/>
    <n v="0"/>
    <s v="Centralización recaudaciones enero 2026 #2281 - #2281"/>
    <n v="28990"/>
    <s v="Activo"/>
    <n v="28990"/>
    <x v="2"/>
  </r>
  <r>
    <n v="2026"/>
    <n v="1"/>
    <s v="19-01-2026"/>
    <n v="10426"/>
    <s v="1101-04"/>
    <n v="21990"/>
    <n v="0"/>
    <s v="Centralización recaudaciones enero 2026 #2282 - #2282"/>
    <n v="21990"/>
    <s v="Activo"/>
    <n v="21990"/>
    <x v="2"/>
  </r>
  <r>
    <n v="2026"/>
    <n v="1"/>
    <s v="19-01-2026"/>
    <n v="10433"/>
    <s v="1101-04"/>
    <n v="40000"/>
    <n v="0"/>
    <s v="Centralización recaudaciones enero 2026 #2289 - #2289"/>
    <n v="40000"/>
    <s v="Activo"/>
    <n v="40000"/>
    <x v="2"/>
  </r>
  <r>
    <n v="2026"/>
    <n v="1"/>
    <s v="19-01-2026"/>
    <n v="10446"/>
    <s v="1101-04"/>
    <n v="30000"/>
    <n v="0"/>
    <s v="Centralización recaudaciones enero 2026 #2302 - #2302"/>
    <n v="30000"/>
    <s v="Activo"/>
    <n v="30000"/>
    <x v="2"/>
  </r>
  <r>
    <n v="2026"/>
    <n v="1"/>
    <s v="19-01-2026"/>
    <n v="10464"/>
    <s v="1101-04"/>
    <n v="14990"/>
    <n v="0"/>
    <s v="Centralización recaudaciones enero 2026 #2320 - #2320"/>
    <n v="14990"/>
    <s v="Activo"/>
    <n v="14990"/>
    <x v="2"/>
  </r>
  <r>
    <n v="2026"/>
    <n v="1"/>
    <s v="19-01-2026"/>
    <n v="10485"/>
    <s v="1101-04"/>
    <n v="40972"/>
    <n v="0"/>
    <s v="Centralización recaudaciones enero 2026"/>
    <n v="40972"/>
    <s v="Activo"/>
    <n v="40972"/>
    <x v="2"/>
  </r>
  <r>
    <n v="2026"/>
    <n v="1"/>
    <s v="19-01-2026"/>
    <n v="10485"/>
    <s v="1101-04"/>
    <n v="20000"/>
    <n v="0"/>
    <s v="Centralización recaudaciones enero 2026"/>
    <n v="20000"/>
    <s v="Activo"/>
    <n v="20000"/>
    <x v="2"/>
  </r>
  <r>
    <n v="2026"/>
    <n v="1"/>
    <s v="19-01-2026"/>
    <n v="10485"/>
    <s v="1101-04"/>
    <n v="7995"/>
    <n v="0"/>
    <s v="Centralización recaudaciones enero 2026"/>
    <n v="7995"/>
    <s v="Activo"/>
    <n v="7995"/>
    <x v="2"/>
  </r>
  <r>
    <n v="2026"/>
    <n v="1"/>
    <s v="19-01-2026"/>
    <n v="9821"/>
    <s v="1101-04"/>
    <n v="4478066"/>
    <n v="0"/>
    <s v="230434690 transf. de tlink spa"/>
    <n v="4478066"/>
    <s v="Activo"/>
    <n v="4478066"/>
    <x v="2"/>
  </r>
  <r>
    <n v="2026"/>
    <n v="1"/>
    <s v="19-01-2026"/>
    <n v="9822"/>
    <s v="1101-04"/>
    <n v="0"/>
    <n v="3087065"/>
    <s v="230434690 transf. de tlink spa"/>
    <n v="-3087065"/>
    <s v="Activo"/>
    <n v="-3087065"/>
    <x v="2"/>
  </r>
  <r>
    <n v="2026"/>
    <n v="1"/>
    <s v="20-01-2026"/>
    <n v="10184"/>
    <s v="1101-04"/>
    <n v="40000"/>
    <n v="0"/>
    <s v="Centralización recaudaciones enero 2026 #2040 - #2040"/>
    <n v="40000"/>
    <s v="Activo"/>
    <n v="40000"/>
    <x v="2"/>
  </r>
  <r>
    <n v="2026"/>
    <n v="1"/>
    <s v="20-01-2026"/>
    <n v="10239"/>
    <s v="1101-04"/>
    <n v="43990"/>
    <n v="0"/>
    <s v="Centralización recaudaciones enero 2026 #2095 - #2095"/>
    <n v="43990"/>
    <s v="Activo"/>
    <n v="43990"/>
    <x v="2"/>
  </r>
  <r>
    <n v="2026"/>
    <n v="1"/>
    <s v="20-01-2026"/>
    <n v="10282"/>
    <s v="1101-04"/>
    <n v="30000"/>
    <n v="0"/>
    <s v="Centralización recaudaciones enero 2026 #2138 - #2138"/>
    <n v="30000"/>
    <s v="Activo"/>
    <n v="30000"/>
    <x v="2"/>
  </r>
  <r>
    <n v="2026"/>
    <n v="1"/>
    <s v="20-01-2026"/>
    <n v="10284"/>
    <s v="1101-04"/>
    <n v="33990"/>
    <n v="0"/>
    <s v="Centralización recaudaciones enero 2026 #2140 - #2140"/>
    <n v="33990"/>
    <s v="Activo"/>
    <n v="33990"/>
    <x v="2"/>
  </r>
  <r>
    <n v="2026"/>
    <n v="1"/>
    <s v="20-01-2026"/>
    <n v="10305"/>
    <s v="1101-04"/>
    <n v="30000"/>
    <n v="0"/>
    <s v="Centralización recaudaciones enero 2026 #2161 - #2161"/>
    <n v="30000"/>
    <s v="Activo"/>
    <n v="30000"/>
    <x v="2"/>
  </r>
  <r>
    <n v="2026"/>
    <n v="1"/>
    <s v="20-01-2026"/>
    <n v="10307"/>
    <s v="1101-04"/>
    <n v="275415"/>
    <n v="0"/>
    <s v="Centralización recaudaciones enero 2026 #2163 - #2163"/>
    <n v="275415"/>
    <s v="Activo"/>
    <n v="275415"/>
    <x v="2"/>
  </r>
  <r>
    <n v="2026"/>
    <n v="1"/>
    <s v="20-01-2026"/>
    <n v="10308"/>
    <s v="1101-04"/>
    <n v="614413"/>
    <n v="0"/>
    <s v="Centralización recaudaciones enero 2026 #2164 - #2164"/>
    <n v="614413"/>
    <s v="Activo"/>
    <n v="614413"/>
    <x v="2"/>
  </r>
  <r>
    <n v="2026"/>
    <n v="1"/>
    <s v="20-01-2026"/>
    <n v="10309"/>
    <s v="1101-04"/>
    <n v="279037"/>
    <n v="0"/>
    <s v="Centralización recaudaciones enero 2026 #2165 - #2165"/>
    <n v="279037"/>
    <s v="Activo"/>
    <n v="279037"/>
    <x v="2"/>
  </r>
  <r>
    <n v="2026"/>
    <n v="1"/>
    <s v="20-01-2026"/>
    <n v="10337"/>
    <s v="1101-04"/>
    <n v="19990"/>
    <n v="0"/>
    <s v="Centralización recaudaciones enero 2026 #2193 - #2193"/>
    <n v="19990"/>
    <s v="Activo"/>
    <n v="19990"/>
    <x v="2"/>
  </r>
  <r>
    <n v="2026"/>
    <n v="1"/>
    <s v="20-01-2026"/>
    <n v="10399"/>
    <s v="1101-04"/>
    <n v="65438"/>
    <n v="0"/>
    <s v="Centralización recaudaciones enero 2026 #2255 - #2255"/>
    <n v="65438"/>
    <s v="Activo"/>
    <n v="65438"/>
    <x v="2"/>
  </r>
  <r>
    <n v="2026"/>
    <n v="1"/>
    <s v="20-01-2026"/>
    <n v="10406"/>
    <s v="1101-04"/>
    <n v="94000"/>
    <n v="0"/>
    <s v="Centralización recaudaciones enero 2026 #2262 - #2262"/>
    <n v="94000"/>
    <s v="Activo"/>
    <n v="94000"/>
    <x v="2"/>
  </r>
  <r>
    <n v="2026"/>
    <n v="1"/>
    <s v="20-01-2026"/>
    <n v="10453"/>
    <s v="1101-04"/>
    <n v="50990"/>
    <n v="0"/>
    <s v="Centralización recaudaciones enero 2026 #2309 - #2309"/>
    <n v="50990"/>
    <s v="Activo"/>
    <n v="50990"/>
    <x v="2"/>
  </r>
  <r>
    <n v="2026"/>
    <n v="1"/>
    <s v="20-01-2026"/>
    <n v="10486"/>
    <s v="1101-04"/>
    <n v="1502000"/>
    <n v="0"/>
    <s v="Centralización recaudaciones enero 2026"/>
    <n v="1502000"/>
    <s v="Activo"/>
    <n v="1502000"/>
    <x v="2"/>
  </r>
  <r>
    <n v="2026"/>
    <n v="1"/>
    <s v="21-01-2026"/>
    <n v="10463"/>
    <s v="1101-04"/>
    <n v="14990"/>
    <n v="0"/>
    <s v="Centralización recaudaciones enero 2026 #2319 - #2319"/>
    <n v="14990"/>
    <s v="Activo"/>
    <n v="14990"/>
    <x v="2"/>
  </r>
  <r>
    <n v="2026"/>
    <n v="1"/>
    <s v="22-01-2026"/>
    <n v="10205"/>
    <s v="1101-04"/>
    <n v="120000"/>
    <n v="0"/>
    <s v="Centralización recaudaciones enero 2026 #2061 - #2061"/>
    <n v="120000"/>
    <s v="Activo"/>
    <n v="120000"/>
    <x v="2"/>
  </r>
  <r>
    <n v="2026"/>
    <n v="1"/>
    <s v="22-01-2026"/>
    <n v="10245"/>
    <s v="1101-04"/>
    <n v="30000"/>
    <n v="0"/>
    <s v="Centralización recaudaciones enero 2026 #2101 - #2101"/>
    <n v="30000"/>
    <s v="Activo"/>
    <n v="30000"/>
    <x v="2"/>
  </r>
  <r>
    <n v="2026"/>
    <n v="1"/>
    <s v="22-01-2026"/>
    <n v="10257"/>
    <s v="1101-04"/>
    <n v="21990"/>
    <n v="0"/>
    <s v="Centralización recaudaciones enero 2026 #2113 - #2113"/>
    <n v="21990"/>
    <s v="Activo"/>
    <n v="21990"/>
    <x v="2"/>
  </r>
  <r>
    <n v="2026"/>
    <n v="1"/>
    <s v="22-01-2026"/>
    <n v="10299"/>
    <s v="1101-04"/>
    <n v="143000"/>
    <n v="0"/>
    <s v="Centralización recaudaciones enero 2026 #2155 - #2155"/>
    <n v="143000"/>
    <s v="Activo"/>
    <n v="143000"/>
    <x v="2"/>
  </r>
  <r>
    <n v="2026"/>
    <n v="1"/>
    <s v="22-01-2026"/>
    <n v="10310"/>
    <s v="1101-04"/>
    <n v="449282"/>
    <n v="0"/>
    <s v="Centralización recaudaciones enero 2026 #2166 - #2166"/>
    <n v="449282"/>
    <s v="Activo"/>
    <n v="449282"/>
    <x v="2"/>
  </r>
  <r>
    <n v="2026"/>
    <n v="1"/>
    <s v="22-01-2026"/>
    <n v="10321"/>
    <s v="1101-04"/>
    <n v="30000"/>
    <n v="0"/>
    <s v="Centralización recaudaciones enero 2026 #2177 - #2177"/>
    <n v="30000"/>
    <s v="Activo"/>
    <n v="30000"/>
    <x v="2"/>
  </r>
  <r>
    <n v="2026"/>
    <n v="1"/>
    <s v="22-01-2026"/>
    <n v="10365"/>
    <s v="1101-04"/>
    <n v="26990"/>
    <n v="0"/>
    <s v="Centralización recaudaciones enero 2026 #2221 - #2221"/>
    <n v="26990"/>
    <s v="Activo"/>
    <n v="26990"/>
    <x v="2"/>
  </r>
  <r>
    <n v="2026"/>
    <n v="1"/>
    <s v="22-01-2026"/>
    <n v="10383"/>
    <s v="1101-04"/>
    <n v="69590"/>
    <n v="0"/>
    <s v="Centralización recaudaciones enero 2026 #2239 - #2239"/>
    <n v="69590"/>
    <s v="Activo"/>
    <n v="69590"/>
    <x v="2"/>
  </r>
  <r>
    <n v="2026"/>
    <n v="1"/>
    <s v="22-01-2026"/>
    <n v="10395"/>
    <s v="1101-04"/>
    <n v="21990"/>
    <n v="0"/>
    <s v="Centralización recaudaciones enero 2026 #2251 - #2251"/>
    <n v="21990"/>
    <s v="Activo"/>
    <n v="21990"/>
    <x v="2"/>
  </r>
  <r>
    <n v="2026"/>
    <n v="1"/>
    <s v="22-01-2026"/>
    <n v="10434"/>
    <s v="1101-04"/>
    <n v="14990"/>
    <n v="0"/>
    <s v="Centralización recaudaciones enero 2026 #2290 - #2290"/>
    <n v="14990"/>
    <s v="Activo"/>
    <n v="14990"/>
    <x v="2"/>
  </r>
  <r>
    <n v="2026"/>
    <n v="1"/>
    <s v="22-01-2026"/>
    <n v="10487"/>
    <s v="1101-04"/>
    <n v="5000"/>
    <n v="0"/>
    <s v="Centralización recaudaciones enero 2026"/>
    <n v="5000"/>
    <s v="Activo"/>
    <n v="5000"/>
    <x v="2"/>
  </r>
  <r>
    <n v="2026"/>
    <n v="1"/>
    <s v="22-01-2026"/>
    <n v="10487"/>
    <s v="1101-04"/>
    <n v="15000"/>
    <n v="0"/>
    <s v="Centralización recaudaciones enero 2026"/>
    <n v="15000"/>
    <s v="Activo"/>
    <n v="15000"/>
    <x v="2"/>
  </r>
  <r>
    <n v="2026"/>
    <n v="1"/>
    <s v="23-01-2026"/>
    <n v="10192"/>
    <s v="1101-04"/>
    <n v="153747"/>
    <n v="0"/>
    <s v="Centralización recaudaciones enero 2026 #2048 - #2048"/>
    <n v="153747"/>
    <s v="Activo"/>
    <n v="153747"/>
    <x v="2"/>
  </r>
  <r>
    <n v="2026"/>
    <n v="1"/>
    <s v="23-01-2026"/>
    <n v="10200"/>
    <s v="1101-04"/>
    <n v="30000"/>
    <n v="0"/>
    <s v="Centralización recaudaciones enero 2026 #2056 - #2056"/>
    <n v="30000"/>
    <s v="Activo"/>
    <n v="30000"/>
    <x v="2"/>
  </r>
  <r>
    <n v="2026"/>
    <n v="1"/>
    <s v="23-01-2026"/>
    <n v="10268"/>
    <s v="1101-04"/>
    <n v="118232"/>
    <n v="0"/>
    <s v="Centralización recaudaciones enero 2026 #2124 - #2124"/>
    <n v="118232"/>
    <s v="Activo"/>
    <n v="118232"/>
    <x v="2"/>
  </r>
  <r>
    <n v="2026"/>
    <n v="1"/>
    <s v="23-01-2026"/>
    <n v="10285"/>
    <s v="1101-04"/>
    <n v="30000"/>
    <n v="0"/>
    <s v="Centralización recaudaciones enero 2026 #2141 - #2141"/>
    <n v="30000"/>
    <s v="Activo"/>
    <n v="30000"/>
    <x v="2"/>
  </r>
  <r>
    <n v="2026"/>
    <n v="1"/>
    <s v="23-01-2026"/>
    <n v="10295"/>
    <s v="1101-04"/>
    <n v="30000"/>
    <n v="0"/>
    <s v="Centralización recaudaciones enero 2026 #2151 - #2151"/>
    <n v="30000"/>
    <s v="Activo"/>
    <n v="30000"/>
    <x v="2"/>
  </r>
  <r>
    <n v="2026"/>
    <n v="1"/>
    <s v="23-01-2026"/>
    <n v="10330"/>
    <s v="1101-04"/>
    <n v="14990"/>
    <n v="0"/>
    <s v="Centralización recaudaciones enero 2026 #2186 - #2186"/>
    <n v="14990"/>
    <s v="Activo"/>
    <n v="14990"/>
    <x v="2"/>
  </r>
  <r>
    <n v="2026"/>
    <n v="1"/>
    <s v="23-01-2026"/>
    <n v="10334"/>
    <s v="1101-04"/>
    <n v="21990"/>
    <n v="0"/>
    <s v="Centralización recaudaciones enero 2026 #2190 - #2190"/>
    <n v="21990"/>
    <s v="Activo"/>
    <n v="21990"/>
    <x v="2"/>
  </r>
  <r>
    <n v="2026"/>
    <n v="1"/>
    <s v="23-01-2026"/>
    <n v="10345"/>
    <s v="1101-04"/>
    <n v="31980"/>
    <n v="0"/>
    <s v="Centralización recaudaciones enero 2026 #2201 - #2201"/>
    <n v="31980"/>
    <s v="Activo"/>
    <n v="31980"/>
    <x v="2"/>
  </r>
  <r>
    <n v="2026"/>
    <n v="1"/>
    <s v="23-01-2026"/>
    <n v="10427"/>
    <s v="1101-04"/>
    <n v="22000"/>
    <n v="0"/>
    <s v="Centralización recaudaciones enero 2026 #2283 - #2283"/>
    <n v="22000"/>
    <s v="Activo"/>
    <n v="22000"/>
    <x v="2"/>
  </r>
  <r>
    <n v="2026"/>
    <n v="1"/>
    <s v="23-01-2026"/>
    <n v="10488"/>
    <s v="1101-04"/>
    <n v="120000"/>
    <n v="0"/>
    <s v="Centralización recaudaciones enero 2026"/>
    <n v="120000"/>
    <s v="Activo"/>
    <n v="120000"/>
    <x v="2"/>
  </r>
  <r>
    <n v="2026"/>
    <n v="1"/>
    <s v="26-01-2026"/>
    <n v="10185"/>
    <s v="1101-04"/>
    <n v="59990"/>
    <n v="0"/>
    <s v="Centralización recaudaciones enero 2026 #2041 - #2041"/>
    <n v="59990"/>
    <s v="Activo"/>
    <n v="59990"/>
    <x v="2"/>
  </r>
  <r>
    <n v="2026"/>
    <n v="1"/>
    <s v="26-01-2026"/>
    <n v="10197"/>
    <s v="1101-04"/>
    <n v="30000"/>
    <n v="0"/>
    <s v="Centralización recaudaciones enero 2026 #2053 - #2053"/>
    <n v="30000"/>
    <s v="Activo"/>
    <n v="30000"/>
    <x v="2"/>
  </r>
  <r>
    <n v="2026"/>
    <n v="1"/>
    <s v="26-01-2026"/>
    <n v="10199"/>
    <s v="1101-04"/>
    <n v="59990"/>
    <n v="0"/>
    <s v="Centralización recaudaciones enero 2026 #2055 - #2055"/>
    <n v="59990"/>
    <s v="Activo"/>
    <n v="59990"/>
    <x v="2"/>
  </r>
  <r>
    <n v="2026"/>
    <n v="1"/>
    <s v="26-01-2026"/>
    <n v="10218"/>
    <s v="1101-04"/>
    <n v="48000"/>
    <n v="0"/>
    <s v="Centralización recaudaciones enero 2026 #2074 - #2074"/>
    <n v="48000"/>
    <s v="Activo"/>
    <n v="48000"/>
    <x v="2"/>
  </r>
  <r>
    <n v="2026"/>
    <n v="1"/>
    <s v="26-01-2026"/>
    <n v="10223"/>
    <s v="1101-04"/>
    <n v="70052"/>
    <n v="0"/>
    <s v="Centralización recaudaciones enero 2026 #2079 - #2079"/>
    <n v="70052"/>
    <s v="Activo"/>
    <n v="70052"/>
    <x v="2"/>
  </r>
  <r>
    <n v="2026"/>
    <n v="1"/>
    <s v="26-01-2026"/>
    <n v="10275"/>
    <s v="1101-04"/>
    <n v="30000"/>
    <n v="0"/>
    <s v="Centralización recaudaciones enero 2026 #2131 - #2131"/>
    <n v="30000"/>
    <s v="Activo"/>
    <n v="30000"/>
    <x v="2"/>
  </r>
  <r>
    <n v="2026"/>
    <n v="1"/>
    <s v="26-01-2026"/>
    <n v="10297"/>
    <s v="1101-04"/>
    <n v="14990"/>
    <n v="0"/>
    <s v="Centralización recaudaciones enero 2026 #2153 - #2153"/>
    <n v="14990"/>
    <s v="Activo"/>
    <n v="14990"/>
    <x v="2"/>
  </r>
  <r>
    <n v="2026"/>
    <n v="1"/>
    <s v="26-01-2026"/>
    <n v="10317"/>
    <s v="1101-04"/>
    <n v="34990"/>
    <n v="0"/>
    <s v="Centralización recaudaciones enero 2026 #2173 - #2173"/>
    <n v="34990"/>
    <s v="Activo"/>
    <n v="34990"/>
    <x v="2"/>
  </r>
  <r>
    <n v="2026"/>
    <n v="1"/>
    <s v="26-01-2026"/>
    <n v="10353"/>
    <s v="1101-04"/>
    <n v="65000"/>
    <n v="0"/>
    <s v="Centralización recaudaciones enero 2026 #2209 - #2209"/>
    <n v="65000"/>
    <s v="Activo"/>
    <n v="65000"/>
    <x v="2"/>
  </r>
  <r>
    <n v="2026"/>
    <n v="1"/>
    <s v="26-01-2026"/>
    <n v="10354"/>
    <s v="1101-04"/>
    <n v="60000"/>
    <n v="0"/>
    <s v="Centralización recaudaciones enero 2026 #2210 - #2210"/>
    <n v="60000"/>
    <s v="Activo"/>
    <n v="60000"/>
    <x v="2"/>
  </r>
  <r>
    <n v="2026"/>
    <n v="1"/>
    <s v="26-01-2026"/>
    <n v="10358"/>
    <s v="1101-04"/>
    <n v="28990"/>
    <n v="0"/>
    <s v="Centralización recaudaciones enero 2026 #2214 - #2214"/>
    <n v="28990"/>
    <s v="Activo"/>
    <n v="28990"/>
    <x v="2"/>
  </r>
  <r>
    <n v="2026"/>
    <n v="1"/>
    <s v="26-01-2026"/>
    <n v="10371"/>
    <s v="1101-04"/>
    <n v="14990"/>
    <n v="0"/>
    <s v="Centralización recaudaciones enero 2026 #2227 - #2227"/>
    <n v="14990"/>
    <s v="Activo"/>
    <n v="14990"/>
    <x v="2"/>
  </r>
  <r>
    <n v="2026"/>
    <n v="1"/>
    <s v="26-01-2026"/>
    <n v="10380"/>
    <s v="1101-04"/>
    <n v="1583159"/>
    <n v="0"/>
    <s v="Centralización recaudaciones enero 2026 #2236 - #2236"/>
    <n v="1583159"/>
    <s v="Activo"/>
    <n v="1583159"/>
    <x v="2"/>
  </r>
  <r>
    <n v="2026"/>
    <n v="1"/>
    <s v="26-01-2026"/>
    <n v="10412"/>
    <s v="1101-04"/>
    <n v="14990"/>
    <n v="0"/>
    <s v="Centralización recaudaciones enero 2026 #2268 - #2268"/>
    <n v="14990"/>
    <s v="Activo"/>
    <n v="14990"/>
    <x v="2"/>
  </r>
  <r>
    <n v="2026"/>
    <n v="1"/>
    <s v="26-01-2026"/>
    <n v="10415"/>
    <s v="1101-04"/>
    <n v="118964"/>
    <n v="0"/>
    <s v="Centralización recaudaciones enero 2026 #2271 - #2271"/>
    <n v="118964"/>
    <s v="Activo"/>
    <n v="118964"/>
    <x v="2"/>
  </r>
  <r>
    <n v="2026"/>
    <n v="1"/>
    <s v="26-01-2026"/>
    <n v="10432"/>
    <s v="1101-04"/>
    <n v="32961"/>
    <n v="0"/>
    <s v="Centralización recaudaciones enero 2026 #2288 - #2288"/>
    <n v="32961"/>
    <s v="Activo"/>
    <n v="32961"/>
    <x v="2"/>
  </r>
  <r>
    <n v="2026"/>
    <n v="1"/>
    <s v="26-01-2026"/>
    <n v="10450"/>
    <s v="1101-04"/>
    <n v="31890"/>
    <n v="0"/>
    <s v="Centralización recaudaciones enero 2026 #2306 - #2306"/>
    <n v="31890"/>
    <s v="Activo"/>
    <n v="31890"/>
    <x v="2"/>
  </r>
  <r>
    <n v="2026"/>
    <n v="1"/>
    <s v="26-01-2026"/>
    <n v="10489"/>
    <s v="1101-04"/>
    <n v="30000"/>
    <n v="0"/>
    <s v="Centralización recaudaciones enero 2026"/>
    <n v="30000"/>
    <s v="Activo"/>
    <n v="30000"/>
    <x v="2"/>
  </r>
  <r>
    <n v="2026"/>
    <n v="1"/>
    <s v="27-01-2026"/>
    <n v="10183"/>
    <s v="1101-04"/>
    <n v="30000"/>
    <n v="0"/>
    <s v="Centralización recaudaciones enero 2026 #2039 - #2039"/>
    <n v="30000"/>
    <s v="Activo"/>
    <n v="30000"/>
    <x v="2"/>
  </r>
  <r>
    <n v="2026"/>
    <n v="1"/>
    <s v="27-01-2026"/>
    <n v="10242"/>
    <s v="1101-04"/>
    <n v="30000"/>
    <n v="0"/>
    <s v="Centralización recaudaciones enero 2026 #2098 - #2098"/>
    <n v="30000"/>
    <s v="Activo"/>
    <n v="30000"/>
    <x v="2"/>
  </r>
  <r>
    <n v="2026"/>
    <n v="1"/>
    <s v="27-01-2026"/>
    <n v="10256"/>
    <s v="1101-04"/>
    <n v="20990"/>
    <n v="0"/>
    <s v="Centralización recaudaciones enero 2026 #2112 - #2112"/>
    <n v="20990"/>
    <s v="Activo"/>
    <n v="20990"/>
    <x v="2"/>
  </r>
  <r>
    <n v="2026"/>
    <n v="1"/>
    <s v="27-01-2026"/>
    <n v="10274"/>
    <s v="1101-04"/>
    <n v="130400"/>
    <n v="0"/>
    <s v="Centralización recaudaciones enero 2026 #2130 - #2130"/>
    <n v="130400"/>
    <s v="Activo"/>
    <n v="130400"/>
    <x v="2"/>
  </r>
  <r>
    <n v="2026"/>
    <n v="1"/>
    <s v="27-01-2026"/>
    <n v="10277"/>
    <s v="1101-04"/>
    <n v="90000"/>
    <n v="0"/>
    <s v="Centralización recaudaciones enero 2026 #2133 - #2133"/>
    <n v="90000"/>
    <s v="Activo"/>
    <n v="90000"/>
    <x v="2"/>
  </r>
  <r>
    <n v="2026"/>
    <n v="1"/>
    <s v="27-01-2026"/>
    <n v="10328"/>
    <s v="1101-04"/>
    <n v="40000"/>
    <n v="0"/>
    <s v="Centralización recaudaciones enero 2026 #2184 - #2184"/>
    <n v="40000"/>
    <s v="Activo"/>
    <n v="40000"/>
    <x v="2"/>
  </r>
  <r>
    <n v="2026"/>
    <n v="1"/>
    <s v="27-01-2026"/>
    <n v="10329"/>
    <s v="1101-04"/>
    <n v="38990"/>
    <n v="0"/>
    <s v="Centralización recaudaciones enero 2026 #2185 - #2185"/>
    <n v="38990"/>
    <s v="Activo"/>
    <n v="38990"/>
    <x v="2"/>
  </r>
  <r>
    <n v="2026"/>
    <n v="1"/>
    <s v="27-01-2026"/>
    <n v="10360"/>
    <s v="1101-04"/>
    <n v="35960"/>
    <n v="0"/>
    <s v="Centralización recaudaciones enero 2026 #2216 - #2216"/>
    <n v="35960"/>
    <s v="Activo"/>
    <n v="35960"/>
    <x v="2"/>
  </r>
  <r>
    <n v="2026"/>
    <n v="1"/>
    <s v="27-01-2026"/>
    <n v="10393"/>
    <s v="1101-04"/>
    <n v="43980"/>
    <n v="0"/>
    <s v="Centralización recaudaciones enero 2026 #2249 - #2249"/>
    <n v="43980"/>
    <s v="Activo"/>
    <n v="43980"/>
    <x v="2"/>
  </r>
  <r>
    <n v="2026"/>
    <n v="1"/>
    <s v="27-01-2026"/>
    <n v="10429"/>
    <s v="1101-04"/>
    <n v="21990"/>
    <n v="0"/>
    <s v="Centralización recaudaciones enero 2026 #2285 - #2285"/>
    <n v="21990"/>
    <s v="Activo"/>
    <n v="21990"/>
    <x v="2"/>
  </r>
  <r>
    <n v="2026"/>
    <n v="1"/>
    <s v="27-01-2026"/>
    <n v="10465"/>
    <s v="1101-04"/>
    <n v="30000"/>
    <n v="0"/>
    <s v="Centralización recaudaciones enero 2026 #2321 - #2321"/>
    <n v="30000"/>
    <s v="Activo"/>
    <n v="30000"/>
    <x v="2"/>
  </r>
  <r>
    <n v="2026"/>
    <n v="1"/>
    <s v="27-01-2026"/>
    <n v="10490"/>
    <s v="1101-04"/>
    <n v="54000"/>
    <n v="0"/>
    <s v="Centralización recaudaciones enero 2026"/>
    <n v="54000"/>
    <s v="Activo"/>
    <n v="54000"/>
    <x v="2"/>
  </r>
  <r>
    <n v="2026"/>
    <n v="1"/>
    <s v="27-01-2026"/>
    <n v="10490"/>
    <s v="1101-04"/>
    <n v="9990"/>
    <n v="0"/>
    <s v="Centralización recaudaciones enero 2026"/>
    <n v="9990"/>
    <s v="Activo"/>
    <n v="9990"/>
    <x v="2"/>
  </r>
  <r>
    <n v="2026"/>
    <n v="1"/>
    <s v="27-01-2026"/>
    <n v="10490"/>
    <s v="1101-04"/>
    <n v="15000"/>
    <n v="0"/>
    <s v="Centralización recaudaciones enero 2026"/>
    <n v="15000"/>
    <s v="Activo"/>
    <n v="15000"/>
    <x v="2"/>
  </r>
  <r>
    <n v="2026"/>
    <n v="1"/>
    <s v="28-01-2026"/>
    <n v="10211"/>
    <s v="1101-04"/>
    <n v="45000"/>
    <n v="0"/>
    <s v="Centralización recaudaciones enero 2026 #2067 - #2067"/>
    <n v="45000"/>
    <s v="Activo"/>
    <n v="45000"/>
    <x v="2"/>
  </r>
  <r>
    <n v="2026"/>
    <n v="1"/>
    <s v="28-01-2026"/>
    <n v="10213"/>
    <s v="1101-04"/>
    <n v="30000"/>
    <n v="0"/>
    <s v="Centralización recaudaciones enero 2026 #2069 - #2069"/>
    <n v="30000"/>
    <s v="Activo"/>
    <n v="30000"/>
    <x v="2"/>
  </r>
  <r>
    <n v="2026"/>
    <n v="1"/>
    <s v="28-01-2026"/>
    <n v="10217"/>
    <s v="1101-04"/>
    <n v="90980"/>
    <n v="0"/>
    <s v="Centralización recaudaciones enero 2026 #2073 - #2073"/>
    <n v="90980"/>
    <s v="Activo"/>
    <n v="90980"/>
    <x v="2"/>
  </r>
  <r>
    <n v="2026"/>
    <n v="1"/>
    <s v="28-01-2026"/>
    <n v="10220"/>
    <s v="1101-04"/>
    <n v="30000"/>
    <n v="0"/>
    <s v="Centralización recaudaciones enero 2026 #2076 - #2076"/>
    <n v="30000"/>
    <s v="Activo"/>
    <n v="30000"/>
    <x v="2"/>
  </r>
  <r>
    <n v="2026"/>
    <n v="1"/>
    <s v="28-01-2026"/>
    <n v="10221"/>
    <s v="1101-04"/>
    <n v="30000"/>
    <n v="0"/>
    <s v="Centralización recaudaciones enero 2026 #2077 - #2077"/>
    <n v="30000"/>
    <s v="Activo"/>
    <n v="30000"/>
    <x v="2"/>
  </r>
  <r>
    <n v="2026"/>
    <n v="1"/>
    <s v="28-01-2026"/>
    <n v="10227"/>
    <s v="1101-04"/>
    <n v="30000"/>
    <n v="0"/>
    <s v="Centralización recaudaciones enero 2026 #2083 - #2083"/>
    <n v="30000"/>
    <s v="Activo"/>
    <n v="30000"/>
    <x v="2"/>
  </r>
  <r>
    <n v="2026"/>
    <n v="1"/>
    <s v="28-01-2026"/>
    <n v="10229"/>
    <s v="1101-04"/>
    <n v="104000"/>
    <n v="0"/>
    <s v="Centralización recaudaciones enero 2026 #2085 - #2085"/>
    <n v="104000"/>
    <s v="Activo"/>
    <n v="104000"/>
    <x v="2"/>
  </r>
  <r>
    <n v="2026"/>
    <n v="1"/>
    <s v="28-01-2026"/>
    <n v="10232"/>
    <s v="1101-04"/>
    <n v="30000"/>
    <n v="0"/>
    <s v="Centralización recaudaciones enero 2026 #2088 - #2088"/>
    <n v="30000"/>
    <s v="Activo"/>
    <n v="30000"/>
    <x v="2"/>
  </r>
  <r>
    <n v="2026"/>
    <n v="1"/>
    <s v="28-01-2026"/>
    <n v="10233"/>
    <s v="1101-04"/>
    <n v="30000"/>
    <n v="0"/>
    <s v="Centralización recaudaciones enero 2026 #2089 - #2089"/>
    <n v="30000"/>
    <s v="Activo"/>
    <n v="30000"/>
    <x v="2"/>
  </r>
  <r>
    <n v="2026"/>
    <n v="1"/>
    <s v="28-01-2026"/>
    <n v="10243"/>
    <s v="1101-04"/>
    <n v="30000"/>
    <n v="0"/>
    <s v="Centralización recaudaciones enero 2026 #2099 - #2099"/>
    <n v="30000"/>
    <s v="Activo"/>
    <n v="30000"/>
    <x v="2"/>
  </r>
  <r>
    <n v="2026"/>
    <n v="1"/>
    <s v="28-01-2026"/>
    <n v="10248"/>
    <s v="1101-04"/>
    <n v="30000"/>
    <n v="0"/>
    <s v="Centralización recaudaciones enero 2026 #2104 - #2104"/>
    <n v="30000"/>
    <s v="Activo"/>
    <n v="30000"/>
    <x v="2"/>
  </r>
  <r>
    <n v="2026"/>
    <n v="1"/>
    <s v="28-01-2026"/>
    <n v="10249"/>
    <s v="1101-04"/>
    <n v="33990"/>
    <n v="0"/>
    <s v="Centralización recaudaciones enero 2026 #2105 - #2105"/>
    <n v="33990"/>
    <s v="Activo"/>
    <n v="33990"/>
    <x v="2"/>
  </r>
  <r>
    <n v="2026"/>
    <n v="1"/>
    <s v="28-01-2026"/>
    <n v="10254"/>
    <s v="1101-04"/>
    <n v="30000"/>
    <n v="0"/>
    <s v="Centralización recaudaciones enero 2026 #2110 - #2110"/>
    <n v="30000"/>
    <s v="Activo"/>
    <n v="30000"/>
    <x v="2"/>
  </r>
  <r>
    <n v="2026"/>
    <n v="1"/>
    <s v="28-01-2026"/>
    <n v="10261"/>
    <s v="1101-04"/>
    <n v="134351"/>
    <n v="0"/>
    <s v="Centralización recaudaciones enero 2026 #2117 - #2117"/>
    <n v="134351"/>
    <s v="Activo"/>
    <n v="134351"/>
    <x v="2"/>
  </r>
  <r>
    <n v="2026"/>
    <n v="1"/>
    <s v="28-01-2026"/>
    <n v="10273"/>
    <s v="1101-04"/>
    <n v="30000"/>
    <n v="0"/>
    <s v="Centralización recaudaciones enero 2026 #2129 - #2129"/>
    <n v="30000"/>
    <s v="Activo"/>
    <n v="30000"/>
    <x v="2"/>
  </r>
  <r>
    <n v="2026"/>
    <n v="1"/>
    <s v="28-01-2026"/>
    <n v="10281"/>
    <s v="1101-04"/>
    <n v="40000"/>
    <n v="0"/>
    <s v="Centralización recaudaciones enero 2026 #2137 - #2137"/>
    <n v="40000"/>
    <s v="Activo"/>
    <n v="40000"/>
    <x v="2"/>
  </r>
  <r>
    <n v="2026"/>
    <n v="1"/>
    <s v="28-01-2026"/>
    <n v="10291"/>
    <s v="1101-04"/>
    <n v="15990"/>
    <n v="0"/>
    <s v="Centralización recaudaciones enero 2026 #2147 - #2147"/>
    <n v="15990"/>
    <s v="Activo"/>
    <n v="15990"/>
    <x v="2"/>
  </r>
  <r>
    <n v="2026"/>
    <n v="1"/>
    <s v="28-01-2026"/>
    <n v="10296"/>
    <s v="1101-04"/>
    <n v="30000"/>
    <n v="0"/>
    <s v="Centralización recaudaciones enero 2026 #2152 - #2152"/>
    <n v="30000"/>
    <s v="Activo"/>
    <n v="30000"/>
    <x v="2"/>
  </r>
  <r>
    <n v="2026"/>
    <n v="1"/>
    <s v="28-01-2026"/>
    <n v="10300"/>
    <s v="1101-04"/>
    <n v="33990"/>
    <n v="0"/>
    <s v="Centralización recaudaciones enero 2026 #2156 - #2156"/>
    <n v="33990"/>
    <s v="Activo"/>
    <n v="33990"/>
    <x v="2"/>
  </r>
  <r>
    <n v="2026"/>
    <n v="1"/>
    <s v="28-01-2026"/>
    <n v="10301"/>
    <s v="1101-04"/>
    <n v="41990"/>
    <n v="0"/>
    <s v="Centralización recaudaciones enero 2026 #2157 - #2157"/>
    <n v="41990"/>
    <s v="Activo"/>
    <n v="41990"/>
    <x v="2"/>
  </r>
  <r>
    <n v="2026"/>
    <n v="1"/>
    <s v="28-01-2026"/>
    <n v="10333"/>
    <s v="1101-04"/>
    <n v="169525"/>
    <n v="0"/>
    <s v="Centralización recaudaciones enero 2026 #2189 - #2189"/>
    <n v="169525"/>
    <s v="Activo"/>
    <n v="169525"/>
    <x v="2"/>
  </r>
  <r>
    <n v="2026"/>
    <n v="1"/>
    <s v="28-01-2026"/>
    <n v="10359"/>
    <s v="1101-04"/>
    <n v="60000"/>
    <n v="0"/>
    <s v="Centralización recaudaciones enero 2026 #2215 - #2215"/>
    <n v="60000"/>
    <s v="Activo"/>
    <n v="60000"/>
    <x v="2"/>
  </r>
  <r>
    <n v="2026"/>
    <n v="1"/>
    <s v="28-01-2026"/>
    <n v="10363"/>
    <s v="1101-04"/>
    <n v="14990"/>
    <n v="0"/>
    <s v="Centralización recaudaciones enero 2026 #2219 - #2219"/>
    <n v="14990"/>
    <s v="Activo"/>
    <n v="14990"/>
    <x v="2"/>
  </r>
  <r>
    <n v="2026"/>
    <n v="1"/>
    <s v="28-01-2026"/>
    <n v="10376"/>
    <s v="1101-04"/>
    <n v="28990"/>
    <n v="0"/>
    <s v="Centralización recaudaciones enero 2026 #2232 - #2232"/>
    <n v="28990"/>
    <s v="Activo"/>
    <n v="28990"/>
    <x v="2"/>
  </r>
  <r>
    <n v="2026"/>
    <n v="1"/>
    <s v="28-01-2026"/>
    <n v="10384"/>
    <s v="1101-04"/>
    <n v="53990"/>
    <n v="0"/>
    <s v="Centralización recaudaciones enero 2026 #2240 - #2240"/>
    <n v="53990"/>
    <s v="Activo"/>
    <n v="53990"/>
    <x v="2"/>
  </r>
  <r>
    <n v="2026"/>
    <n v="1"/>
    <s v="28-01-2026"/>
    <n v="10394"/>
    <s v="1101-04"/>
    <n v="424580"/>
    <n v="0"/>
    <s v="Centralización recaudaciones enero 2026 #2250 - #2250"/>
    <n v="424580"/>
    <s v="Activo"/>
    <n v="424580"/>
    <x v="2"/>
  </r>
  <r>
    <n v="2026"/>
    <n v="1"/>
    <s v="28-01-2026"/>
    <n v="10397"/>
    <s v="1101-04"/>
    <n v="24980"/>
    <n v="0"/>
    <s v="Centralización recaudaciones enero 2026 #2253 - #2253"/>
    <n v="24980"/>
    <s v="Activo"/>
    <n v="24980"/>
    <x v="2"/>
  </r>
  <r>
    <n v="2026"/>
    <n v="1"/>
    <s v="28-01-2026"/>
    <n v="10398"/>
    <s v="1101-04"/>
    <n v="50000"/>
    <n v="0"/>
    <s v="Centralización recaudaciones enero 2026 #2254 - #2254"/>
    <n v="50000"/>
    <s v="Activo"/>
    <n v="50000"/>
    <x v="2"/>
  </r>
  <r>
    <n v="2026"/>
    <n v="1"/>
    <s v="28-01-2026"/>
    <n v="10402"/>
    <s v="1101-04"/>
    <n v="40000"/>
    <n v="0"/>
    <s v="Centralización recaudaciones enero 2026 #2258 - #2258"/>
    <n v="40000"/>
    <s v="Activo"/>
    <n v="40000"/>
    <x v="2"/>
  </r>
  <r>
    <n v="2026"/>
    <n v="1"/>
    <s v="28-01-2026"/>
    <n v="10405"/>
    <s v="1101-04"/>
    <n v="21990"/>
    <n v="0"/>
    <s v="Centralización recaudaciones enero 2026 #2261 - #2261"/>
    <n v="21990"/>
    <s v="Activo"/>
    <n v="21990"/>
    <x v="2"/>
  </r>
  <r>
    <n v="2026"/>
    <n v="1"/>
    <s v="28-01-2026"/>
    <n v="10414"/>
    <s v="1101-04"/>
    <n v="10000"/>
    <n v="0"/>
    <s v="Centralización recaudaciones enero 2026 #2270 - #2270"/>
    <n v="10000"/>
    <s v="Activo"/>
    <n v="10000"/>
    <x v="2"/>
  </r>
  <r>
    <n v="2026"/>
    <n v="1"/>
    <s v="28-01-2026"/>
    <n v="10416"/>
    <s v="1101-04"/>
    <n v="40000"/>
    <n v="0"/>
    <s v="Centralización recaudaciones enero 2026 #2272 - #2272"/>
    <n v="40000"/>
    <s v="Activo"/>
    <n v="40000"/>
    <x v="2"/>
  </r>
  <r>
    <n v="2026"/>
    <n v="1"/>
    <s v="28-01-2026"/>
    <n v="10419"/>
    <s v="1101-04"/>
    <n v="30000"/>
    <n v="0"/>
    <s v="Centralización recaudaciones enero 2026 #2275 - #2275"/>
    <n v="30000"/>
    <s v="Activo"/>
    <n v="30000"/>
    <x v="2"/>
  </r>
  <r>
    <n v="2026"/>
    <n v="1"/>
    <s v="28-01-2026"/>
    <n v="10422"/>
    <s v="1101-04"/>
    <n v="33990"/>
    <n v="0"/>
    <s v="Centralización recaudaciones enero 2026 #2278 - #2278"/>
    <n v="33990"/>
    <s v="Activo"/>
    <n v="33990"/>
    <x v="2"/>
  </r>
  <r>
    <n v="2026"/>
    <n v="1"/>
    <s v="28-01-2026"/>
    <n v="10430"/>
    <s v="1101-04"/>
    <n v="21990"/>
    <n v="0"/>
    <s v="Centralización recaudaciones enero 2026 #2286 - #2286"/>
    <n v="21990"/>
    <s v="Activo"/>
    <n v="21990"/>
    <x v="2"/>
  </r>
  <r>
    <n v="2026"/>
    <n v="1"/>
    <s v="28-01-2026"/>
    <n v="10431"/>
    <s v="1101-04"/>
    <n v="33990"/>
    <n v="0"/>
    <s v="Centralización recaudaciones enero 2026 #2287 - #2287"/>
    <n v="33990"/>
    <s v="Activo"/>
    <n v="33990"/>
    <x v="2"/>
  </r>
  <r>
    <n v="2026"/>
    <n v="1"/>
    <s v="28-01-2026"/>
    <n v="10435"/>
    <s v="1101-04"/>
    <n v="14990"/>
    <n v="0"/>
    <s v="Centralización recaudaciones enero 2026 #2291 - #2291"/>
    <n v="14990"/>
    <s v="Activo"/>
    <n v="14990"/>
    <x v="2"/>
  </r>
  <r>
    <n v="2026"/>
    <n v="1"/>
    <s v="28-01-2026"/>
    <n v="10442"/>
    <s v="1101-04"/>
    <n v="20990"/>
    <n v="0"/>
    <s v="Centralización recaudaciones enero 2026 #2298 - #2298"/>
    <n v="20990"/>
    <s v="Activo"/>
    <n v="20990"/>
    <x v="2"/>
  </r>
  <r>
    <n v="2026"/>
    <n v="1"/>
    <s v="28-01-2026"/>
    <n v="10449"/>
    <s v="1101-04"/>
    <n v="17990"/>
    <n v="0"/>
    <s v="Centralización recaudaciones enero 2026 #2305 - #2305"/>
    <n v="17990"/>
    <s v="Activo"/>
    <n v="17990"/>
    <x v="2"/>
  </r>
  <r>
    <n v="2026"/>
    <n v="1"/>
    <s v="28-01-2026"/>
    <n v="10452"/>
    <s v="1101-04"/>
    <n v="25000"/>
    <n v="0"/>
    <s v="Centralización recaudaciones enero 2026 #2308 - #2308"/>
    <n v="25000"/>
    <s v="Activo"/>
    <n v="25000"/>
    <x v="2"/>
  </r>
  <r>
    <n v="2026"/>
    <n v="1"/>
    <s v="28-01-2026"/>
    <n v="10456"/>
    <s v="1101-04"/>
    <n v="44000"/>
    <n v="0"/>
    <s v="Centralización recaudaciones enero 2026 #2312 - #2312"/>
    <n v="44000"/>
    <s v="Activo"/>
    <n v="44000"/>
    <x v="2"/>
  </r>
  <r>
    <n v="2026"/>
    <n v="1"/>
    <s v="28-01-2026"/>
    <n v="10466"/>
    <s v="1101-04"/>
    <n v="1706000"/>
    <n v="0"/>
    <s v="Centralización recaudaciones enero 2026 #2322 - #2322"/>
    <n v="1706000"/>
    <s v="Activo"/>
    <n v="1706000"/>
    <x v="2"/>
  </r>
  <r>
    <n v="2026"/>
    <n v="1"/>
    <s v="28-01-2026"/>
    <n v="10491"/>
    <s v="1101-04"/>
    <n v="53980"/>
    <n v="0"/>
    <s v="Centralización recaudaciones enero 2026"/>
    <n v="53980"/>
    <s v="Activo"/>
    <n v="53980"/>
    <x v="2"/>
  </r>
  <r>
    <n v="2026"/>
    <n v="1"/>
    <s v="28-01-2026"/>
    <n v="10491"/>
    <s v="1101-04"/>
    <n v="53990"/>
    <n v="0"/>
    <s v="Centralización recaudaciones enero 2026"/>
    <n v="53990"/>
    <s v="Activo"/>
    <n v="53990"/>
    <x v="2"/>
  </r>
  <r>
    <n v="2026"/>
    <n v="1"/>
    <s v="28-01-2026"/>
    <n v="10491"/>
    <s v="1101-04"/>
    <n v="20000"/>
    <n v="0"/>
    <s v="Centralización recaudaciones enero 2026"/>
    <n v="20000"/>
    <s v="Activo"/>
    <n v="20000"/>
    <x v="2"/>
  </r>
  <r>
    <n v="2026"/>
    <n v="1"/>
    <s v="29-01-2026"/>
    <n v="10072"/>
    <s v="1101-04"/>
    <n v="0"/>
    <n v="5000000"/>
    <s v="0765406986 transf."/>
    <n v="-5000000"/>
    <s v="Activo"/>
    <n v="-5000000"/>
    <x v="2"/>
  </r>
  <r>
    <n v="2026"/>
    <n v="1"/>
    <s v="29-01-2026"/>
    <n v="10196"/>
    <s v="1101-04"/>
    <n v="56980"/>
    <n v="0"/>
    <s v="Centralización recaudaciones enero 2026 #2052 - #2052"/>
    <n v="56980"/>
    <s v="Activo"/>
    <n v="56980"/>
    <x v="2"/>
  </r>
  <r>
    <n v="2026"/>
    <n v="1"/>
    <s v="29-01-2026"/>
    <n v="10203"/>
    <s v="1101-04"/>
    <n v="30000"/>
    <n v="0"/>
    <s v="Centralización recaudaciones enero 2026 #2059 - #2059"/>
    <n v="30000"/>
    <s v="Activo"/>
    <n v="30000"/>
    <x v="2"/>
  </r>
  <r>
    <n v="2026"/>
    <n v="1"/>
    <s v="29-01-2026"/>
    <n v="10214"/>
    <s v="1101-04"/>
    <n v="30000"/>
    <n v="0"/>
    <s v="Centralización recaudaciones enero 2026 #2070 - #2070"/>
    <n v="30000"/>
    <s v="Activo"/>
    <n v="30000"/>
    <x v="2"/>
  </r>
  <r>
    <n v="2026"/>
    <n v="1"/>
    <s v="29-01-2026"/>
    <n v="10293"/>
    <s v="1101-04"/>
    <n v="63980"/>
    <n v="0"/>
    <s v="Centralización recaudaciones enero 2026 #2149 - #2149"/>
    <n v="63980"/>
    <s v="Activo"/>
    <n v="63980"/>
    <x v="2"/>
  </r>
  <r>
    <n v="2026"/>
    <n v="1"/>
    <s v="29-01-2026"/>
    <n v="10356"/>
    <s v="1101-04"/>
    <n v="40000"/>
    <n v="0"/>
    <s v="Centralización recaudaciones enero 2026 #2212 - #2212"/>
    <n v="40000"/>
    <s v="Activo"/>
    <n v="40000"/>
    <x v="2"/>
  </r>
  <r>
    <n v="2026"/>
    <n v="1"/>
    <s v="29-01-2026"/>
    <n v="10361"/>
    <s v="1101-04"/>
    <n v="36990"/>
    <n v="0"/>
    <s v="Centralización recaudaciones enero 2026 #2217 - #2217"/>
    <n v="36990"/>
    <s v="Activo"/>
    <n v="36990"/>
    <x v="2"/>
  </r>
  <r>
    <n v="2026"/>
    <n v="1"/>
    <s v="29-01-2026"/>
    <n v="10362"/>
    <s v="1101-04"/>
    <n v="36990"/>
    <n v="0"/>
    <s v="Centralización recaudaciones enero 2026 #2218 - #2218"/>
    <n v="36990"/>
    <s v="Activo"/>
    <n v="36990"/>
    <x v="2"/>
  </r>
  <r>
    <n v="2026"/>
    <n v="1"/>
    <s v="29-01-2026"/>
    <n v="10379"/>
    <s v="1101-04"/>
    <n v="21990"/>
    <n v="0"/>
    <s v="Centralización recaudaciones enero 2026 #2235 - #2235"/>
    <n v="21990"/>
    <s v="Activo"/>
    <n v="21990"/>
    <x v="2"/>
  </r>
  <r>
    <n v="2026"/>
    <n v="1"/>
    <s v="29-01-2026"/>
    <n v="10385"/>
    <s v="1101-04"/>
    <n v="28900"/>
    <n v="0"/>
    <s v="Centralización recaudaciones enero 2026 #2241 - #2241"/>
    <n v="28900"/>
    <s v="Activo"/>
    <n v="28900"/>
    <x v="2"/>
  </r>
  <r>
    <n v="2026"/>
    <n v="1"/>
    <s v="29-01-2026"/>
    <n v="10396"/>
    <s v="1101-04"/>
    <n v="674102"/>
    <n v="0"/>
    <s v="Centralización recaudaciones enero 2026 #2252 - #2252"/>
    <n v="674102"/>
    <s v="Activo"/>
    <n v="674102"/>
    <x v="2"/>
  </r>
  <r>
    <n v="2026"/>
    <n v="1"/>
    <s v="29-01-2026"/>
    <n v="10411"/>
    <s v="1101-04"/>
    <n v="32960"/>
    <n v="0"/>
    <s v="Centralización recaudaciones enero 2026 #2267 - #2267"/>
    <n v="32960"/>
    <s v="Activo"/>
    <n v="32960"/>
    <x v="2"/>
  </r>
  <r>
    <n v="2026"/>
    <n v="1"/>
    <s v="29-01-2026"/>
    <n v="10441"/>
    <s v="1101-04"/>
    <n v="30000"/>
    <n v="0"/>
    <s v="Centralización recaudaciones enero 2026 #2297 - #2297"/>
    <n v="30000"/>
    <s v="Activo"/>
    <n v="30000"/>
    <x v="2"/>
  </r>
  <r>
    <n v="2026"/>
    <n v="1"/>
    <s v="29-01-2026"/>
    <n v="10444"/>
    <s v="1101-04"/>
    <n v="40000"/>
    <n v="0"/>
    <s v="Centralización recaudaciones enero 2026 #2300 - #2300"/>
    <n v="40000"/>
    <s v="Activo"/>
    <n v="40000"/>
    <x v="2"/>
  </r>
  <r>
    <n v="2026"/>
    <n v="1"/>
    <s v="29-01-2026"/>
    <n v="10492"/>
    <s v="1101-04"/>
    <n v="36990"/>
    <n v="0"/>
    <s v="Centralización recaudaciones enero 2026"/>
    <n v="36990"/>
    <s v="Activo"/>
    <n v="36990"/>
    <x v="2"/>
  </r>
  <r>
    <n v="2026"/>
    <n v="1"/>
    <s v="29-01-2026"/>
    <n v="10492"/>
    <s v="1101-04"/>
    <n v="36990"/>
    <n v="0"/>
    <s v="Centralización recaudaciones enero 2026"/>
    <n v="36990"/>
    <s v="Activo"/>
    <n v="36990"/>
    <x v="2"/>
  </r>
  <r>
    <n v="2026"/>
    <n v="1"/>
    <s v="29-01-2026"/>
    <n v="10492"/>
    <s v="1101-04"/>
    <n v="33990"/>
    <n v="0"/>
    <s v="Centralización recaudaciones enero 2026"/>
    <n v="33990"/>
    <s v="Activo"/>
    <n v="33990"/>
    <x v="2"/>
  </r>
  <r>
    <n v="2026"/>
    <n v="1"/>
    <s v="29-01-2026"/>
    <n v="10492"/>
    <s v="1101-04"/>
    <n v="33990"/>
    <n v="0"/>
    <s v="Centralización recaudaciones enero 2026"/>
    <n v="33990"/>
    <s v="Activo"/>
    <n v="33990"/>
    <x v="2"/>
  </r>
  <r>
    <n v="2026"/>
    <n v="1"/>
    <s v="30-01-2026"/>
    <n v="10206"/>
    <s v="1101-04"/>
    <n v="30000"/>
    <n v="0"/>
    <s v="Centralización recaudaciones enero 2026 #2062 - #2062"/>
    <n v="30000"/>
    <s v="Activo"/>
    <n v="30000"/>
    <x v="2"/>
  </r>
  <r>
    <n v="2026"/>
    <n v="1"/>
    <s v="30-01-2026"/>
    <n v="10212"/>
    <s v="1101-04"/>
    <n v="130100"/>
    <n v="0"/>
    <s v="Centralización recaudaciones enero 2026 #2068 - #2068"/>
    <n v="130100"/>
    <s v="Activo"/>
    <n v="130100"/>
    <x v="2"/>
  </r>
  <r>
    <n v="2026"/>
    <n v="1"/>
    <s v="30-01-2026"/>
    <n v="10244"/>
    <s v="1101-04"/>
    <n v="30000"/>
    <n v="0"/>
    <s v="Centralización recaudaciones enero 2026 #2100 - #2100"/>
    <n v="30000"/>
    <s v="Activo"/>
    <n v="30000"/>
    <x v="2"/>
  </r>
  <r>
    <n v="2026"/>
    <n v="1"/>
    <s v="30-01-2026"/>
    <n v="10247"/>
    <s v="1101-04"/>
    <n v="30000"/>
    <n v="0"/>
    <s v="Centralización recaudaciones enero 2026 #2103 - #2103"/>
    <n v="30000"/>
    <s v="Activo"/>
    <n v="30000"/>
    <x v="2"/>
  </r>
  <r>
    <n v="2026"/>
    <n v="1"/>
    <s v="30-01-2026"/>
    <n v="10251"/>
    <s v="1101-04"/>
    <n v="30000"/>
    <n v="0"/>
    <s v="Centralización recaudaciones enero 2026 #2107 - #2107"/>
    <n v="30000"/>
    <s v="Activo"/>
    <n v="30000"/>
    <x v="2"/>
  </r>
  <r>
    <n v="2026"/>
    <n v="1"/>
    <s v="30-01-2026"/>
    <n v="10270"/>
    <s v="1101-04"/>
    <n v="60000"/>
    <n v="0"/>
    <s v="Centralización recaudaciones enero 2026 #2126 - #2126"/>
    <n v="60000"/>
    <s v="Activo"/>
    <n v="60000"/>
    <x v="2"/>
  </r>
  <r>
    <n v="2026"/>
    <n v="1"/>
    <s v="30-01-2026"/>
    <n v="10276"/>
    <s v="1101-04"/>
    <n v="30000"/>
    <n v="0"/>
    <s v="Centralización recaudaciones enero 2026 #2132 - #2132"/>
    <n v="30000"/>
    <s v="Activo"/>
    <n v="30000"/>
    <x v="2"/>
  </r>
  <r>
    <n v="2026"/>
    <n v="1"/>
    <s v="30-01-2026"/>
    <n v="10286"/>
    <s v="1101-04"/>
    <n v="50000"/>
    <n v="0"/>
    <s v="Centralización recaudaciones enero 2026 #2142 - #2142"/>
    <n v="50000"/>
    <s v="Activo"/>
    <n v="50000"/>
    <x v="2"/>
  </r>
  <r>
    <n v="2026"/>
    <n v="1"/>
    <s v="30-01-2026"/>
    <n v="10302"/>
    <s v="1101-04"/>
    <n v="424583"/>
    <n v="0"/>
    <s v="Centralización recaudaciones enero 2026 #2158 - #2158"/>
    <n v="424583"/>
    <s v="Activo"/>
    <n v="424583"/>
    <x v="2"/>
  </r>
  <r>
    <n v="2026"/>
    <n v="1"/>
    <s v="30-01-2026"/>
    <n v="10304"/>
    <s v="1101-04"/>
    <n v="30000"/>
    <n v="0"/>
    <s v="Centralización recaudaciones enero 2026 #2160 - #2160"/>
    <n v="30000"/>
    <s v="Activo"/>
    <n v="30000"/>
    <x v="2"/>
  </r>
  <r>
    <n v="2026"/>
    <n v="1"/>
    <s v="30-01-2026"/>
    <n v="10314"/>
    <s v="1101-04"/>
    <n v="1448247"/>
    <n v="0"/>
    <s v="Centralización recaudaciones enero 2026 #2170 - #2170"/>
    <n v="1448247"/>
    <s v="Activo"/>
    <n v="1448247"/>
    <x v="2"/>
  </r>
  <r>
    <n v="2026"/>
    <n v="1"/>
    <s v="30-01-2026"/>
    <n v="10319"/>
    <s v="1101-04"/>
    <n v="21990"/>
    <n v="0"/>
    <s v="Centralización recaudaciones enero 2026 #2175 - #2175"/>
    <n v="21990"/>
    <s v="Activo"/>
    <n v="21990"/>
    <x v="2"/>
  </r>
  <r>
    <n v="2026"/>
    <n v="1"/>
    <s v="30-01-2026"/>
    <n v="10335"/>
    <s v="1101-04"/>
    <n v="22990"/>
    <n v="0"/>
    <s v="Centralización recaudaciones enero 2026 #2191 - #2191"/>
    <n v="22990"/>
    <s v="Activo"/>
    <n v="22990"/>
    <x v="2"/>
  </r>
  <r>
    <n v="2026"/>
    <n v="1"/>
    <s v="30-01-2026"/>
    <n v="10340"/>
    <s v="1101-04"/>
    <n v="19990"/>
    <n v="0"/>
    <s v="Centralización recaudaciones enero 2026 #2196 - #2196"/>
    <n v="19990"/>
    <s v="Activo"/>
    <n v="19990"/>
    <x v="2"/>
  </r>
  <r>
    <n v="2026"/>
    <n v="1"/>
    <s v="30-01-2026"/>
    <n v="10347"/>
    <s v="1101-04"/>
    <n v="14990"/>
    <n v="0"/>
    <s v="Centralización recaudaciones enero 2026 #2203 - #2203"/>
    <n v="14990"/>
    <s v="Activo"/>
    <n v="14990"/>
    <x v="2"/>
  </r>
  <r>
    <n v="2026"/>
    <n v="1"/>
    <s v="30-01-2026"/>
    <n v="10352"/>
    <s v="1101-04"/>
    <n v="19990"/>
    <n v="0"/>
    <s v="Centralización recaudaciones enero 2026 #2208 - #2208"/>
    <n v="19990"/>
    <s v="Activo"/>
    <n v="19990"/>
    <x v="2"/>
  </r>
  <r>
    <n v="2026"/>
    <n v="1"/>
    <s v="30-01-2026"/>
    <n v="10368"/>
    <s v="1101-04"/>
    <n v="49990"/>
    <n v="0"/>
    <s v="Centralización recaudaciones enero 2026 #2224 - #2224"/>
    <n v="49990"/>
    <s v="Activo"/>
    <n v="49990"/>
    <x v="2"/>
  </r>
  <r>
    <n v="2026"/>
    <n v="1"/>
    <s v="30-01-2026"/>
    <n v="10372"/>
    <s v="1101-04"/>
    <n v="425637"/>
    <n v="0"/>
    <s v="Centralización recaudaciones enero 2026 #2228 - #2228"/>
    <n v="425637"/>
    <s v="Activo"/>
    <n v="425637"/>
    <x v="2"/>
  </r>
  <r>
    <n v="2026"/>
    <n v="1"/>
    <s v="30-01-2026"/>
    <n v="10378"/>
    <s v="1101-04"/>
    <n v="51990"/>
    <n v="0"/>
    <s v="Centralización recaudaciones enero 2026 #2234 - #2234"/>
    <n v="51990"/>
    <s v="Activo"/>
    <n v="51990"/>
    <x v="2"/>
  </r>
  <r>
    <n v="2026"/>
    <n v="1"/>
    <s v="30-01-2026"/>
    <n v="10387"/>
    <s v="1101-04"/>
    <n v="200789"/>
    <n v="0"/>
    <s v="Centralización recaudaciones enero 2026 #2243 - #2243"/>
    <n v="200789"/>
    <s v="Activo"/>
    <n v="200789"/>
    <x v="2"/>
  </r>
  <r>
    <n v="2026"/>
    <n v="1"/>
    <s v="30-01-2026"/>
    <n v="10403"/>
    <s v="1101-04"/>
    <n v="30000"/>
    <n v="0"/>
    <s v="Centralización recaudaciones enero 2026 #2259 - #2259"/>
    <n v="30000"/>
    <s v="Activo"/>
    <n v="30000"/>
    <x v="2"/>
  </r>
  <r>
    <n v="2026"/>
    <n v="1"/>
    <s v="30-01-2026"/>
    <n v="10404"/>
    <s v="1101-04"/>
    <n v="14990"/>
    <n v="0"/>
    <s v="Centralización recaudaciones enero 2026 #2260 - #2260"/>
    <n v="14990"/>
    <s v="Activo"/>
    <n v="14990"/>
    <x v="2"/>
  </r>
  <r>
    <n v="2026"/>
    <n v="1"/>
    <s v="30-01-2026"/>
    <n v="10413"/>
    <s v="1101-04"/>
    <n v="16990"/>
    <n v="0"/>
    <s v="Centralización recaudaciones enero 2026 #2269 - #2269"/>
    <n v="16990"/>
    <s v="Activo"/>
    <n v="16990"/>
    <x v="2"/>
  </r>
  <r>
    <n v="2026"/>
    <n v="1"/>
    <s v="30-01-2026"/>
    <n v="10418"/>
    <s v="1101-04"/>
    <n v="614808"/>
    <n v="0"/>
    <s v="Centralización recaudaciones enero 2026 #2274 - #2274"/>
    <n v="614808"/>
    <s v="Activo"/>
    <n v="614808"/>
    <x v="2"/>
  </r>
  <r>
    <n v="2026"/>
    <n v="1"/>
    <s v="30-01-2026"/>
    <n v="10421"/>
    <s v="1101-04"/>
    <n v="30000"/>
    <n v="0"/>
    <s v="Centralización recaudaciones enero 2026 #2277 - #2277"/>
    <n v="30000"/>
    <s v="Activo"/>
    <n v="30000"/>
    <x v="2"/>
  </r>
  <r>
    <n v="2026"/>
    <n v="1"/>
    <s v="30-01-2026"/>
    <n v="10424"/>
    <s v="1101-04"/>
    <n v="28990"/>
    <n v="0"/>
    <s v="Centralización recaudaciones enero 2026 #2280 - #2280"/>
    <n v="28990"/>
    <s v="Activo"/>
    <n v="28990"/>
    <x v="2"/>
  </r>
  <r>
    <n v="2026"/>
    <n v="1"/>
    <s v="30-01-2026"/>
    <n v="10428"/>
    <s v="1101-04"/>
    <n v="28990"/>
    <n v="0"/>
    <s v="Centralización recaudaciones enero 2026 #2284 - #2284"/>
    <n v="28990"/>
    <s v="Activo"/>
    <n v="28990"/>
    <x v="2"/>
  </r>
  <r>
    <n v="2026"/>
    <n v="1"/>
    <s v="30-01-2026"/>
    <n v="10439"/>
    <s v="1101-04"/>
    <n v="30000"/>
    <n v="0"/>
    <s v="Centralización recaudaciones enero 2026 #2295 - #2295"/>
    <n v="30000"/>
    <s v="Activo"/>
    <n v="30000"/>
    <x v="2"/>
  </r>
  <r>
    <n v="2026"/>
    <n v="1"/>
    <s v="30-01-2026"/>
    <n v="10448"/>
    <s v="1101-04"/>
    <n v="60000"/>
    <n v="0"/>
    <s v="Centralización recaudaciones enero 2026 #2304 - #2304"/>
    <n v="60000"/>
    <s v="Activo"/>
    <n v="60000"/>
    <x v="2"/>
  </r>
  <r>
    <n v="2026"/>
    <n v="1"/>
    <s v="30-01-2026"/>
    <n v="10493"/>
    <s v="1101-04"/>
    <n v="25000"/>
    <n v="0"/>
    <s v="Centralización recaudaciones enero 2026"/>
    <n v="25000"/>
    <s v="Activo"/>
    <n v="25000"/>
    <x v="2"/>
  </r>
  <r>
    <n v="2026"/>
    <n v="1"/>
    <s v="30-01-2026"/>
    <n v="10493"/>
    <s v="1101-04"/>
    <n v="119970"/>
    <n v="0"/>
    <s v="Centralización recaudaciones enero 2026"/>
    <n v="119970"/>
    <s v="Activo"/>
    <n v="119970"/>
    <x v="2"/>
  </r>
  <r>
    <n v="2026"/>
    <n v="1"/>
    <s v="30-01-2026"/>
    <n v="10493"/>
    <s v="1101-04"/>
    <n v="33990"/>
    <n v="0"/>
    <s v="Centralización recaudaciones enero 2026"/>
    <n v="33990"/>
    <s v="Activo"/>
    <n v="33990"/>
    <x v="2"/>
  </r>
  <r>
    <n v="2026"/>
    <n v="1"/>
    <s v="30-01-2026"/>
    <n v="10493"/>
    <s v="1101-04"/>
    <n v="19000"/>
    <n v="0"/>
    <s v="Centralización recaudaciones enero 2026"/>
    <n v="19000"/>
    <s v="Activo"/>
    <n v="19000"/>
    <x v="2"/>
  </r>
  <r>
    <n v="2026"/>
    <n v="1"/>
    <s v="30-01-2026"/>
    <n v="10493"/>
    <s v="1101-04"/>
    <n v="22000"/>
    <n v="0"/>
    <s v="Centralización recaudaciones enero 2026"/>
    <n v="22000"/>
    <s v="Activo"/>
    <n v="22000"/>
    <x v="2"/>
  </r>
  <r>
    <n v="2026"/>
    <n v="1"/>
    <s v="30-01-2026"/>
    <n v="10493"/>
    <s v="1101-04"/>
    <n v="49080"/>
    <n v="0"/>
    <s v="Centralización recaudaciones enero 2026"/>
    <n v="49080"/>
    <s v="Activo"/>
    <n v="49080"/>
    <x v="2"/>
  </r>
  <r>
    <n v="2026"/>
    <n v="2"/>
    <s v="02-02-2026"/>
    <n v="10499"/>
    <s v="1101-04"/>
    <n v="64980"/>
    <n v="0"/>
    <s v="Centralización recaudaciones febrero 2026 #2328 - #2328"/>
    <n v="64980"/>
    <s v="Activo"/>
    <n v="64980"/>
    <x v="2"/>
  </r>
  <r>
    <n v="2026"/>
    <n v="2"/>
    <s v="02-02-2026"/>
    <n v="10504"/>
    <s v="1101-04"/>
    <n v="74990"/>
    <n v="0"/>
    <s v="Centralización recaudaciones febrero 2026 #2333 - #2333"/>
    <n v="74990"/>
    <s v="Activo"/>
    <n v="74990"/>
    <x v="2"/>
  </r>
  <r>
    <n v="2026"/>
    <n v="2"/>
    <s v="02-02-2026"/>
    <n v="10511"/>
    <s v="1101-04"/>
    <n v="30000"/>
    <n v="0"/>
    <s v="Centralización recaudaciones febrero 2026 #2340 - #2340"/>
    <n v="30000"/>
    <s v="Activo"/>
    <n v="30000"/>
    <x v="2"/>
  </r>
  <r>
    <n v="2026"/>
    <n v="2"/>
    <s v="02-02-2026"/>
    <n v="10517"/>
    <s v="1101-04"/>
    <n v="30000"/>
    <n v="0"/>
    <s v="Centralización recaudaciones febrero 2026 #2346 - #2346"/>
    <n v="30000"/>
    <s v="Activo"/>
    <n v="30000"/>
    <x v="2"/>
  </r>
  <r>
    <n v="2026"/>
    <n v="2"/>
    <s v="02-02-2026"/>
    <n v="10524"/>
    <s v="1101-04"/>
    <n v="30000"/>
    <n v="0"/>
    <s v="Centralización recaudaciones febrero 2026 #2353 - #2353"/>
    <n v="30000"/>
    <s v="Activo"/>
    <n v="30000"/>
    <x v="2"/>
  </r>
  <r>
    <n v="2026"/>
    <n v="2"/>
    <s v="02-02-2026"/>
    <n v="10525"/>
    <s v="1101-04"/>
    <n v="30000"/>
    <n v="0"/>
    <s v="Centralización recaudaciones febrero 2026 #2354 - #2354"/>
    <n v="30000"/>
    <s v="Activo"/>
    <n v="30000"/>
    <x v="2"/>
  </r>
  <r>
    <n v="2026"/>
    <n v="2"/>
    <s v="02-02-2026"/>
    <n v="10528"/>
    <s v="1101-04"/>
    <n v="30000"/>
    <n v="0"/>
    <s v="Centralización recaudaciones febrero 2026 #2357 - #2357"/>
    <n v="30000"/>
    <s v="Activo"/>
    <n v="30000"/>
    <x v="2"/>
  </r>
  <r>
    <n v="2026"/>
    <n v="2"/>
    <s v="02-02-2026"/>
    <n v="10530"/>
    <s v="1101-04"/>
    <n v="40000"/>
    <n v="0"/>
    <s v="Centralización recaudaciones febrero 2026 #2359 - #2359"/>
    <n v="40000"/>
    <s v="Activo"/>
    <n v="40000"/>
    <x v="2"/>
  </r>
  <r>
    <n v="2026"/>
    <n v="2"/>
    <s v="02-02-2026"/>
    <n v="10532"/>
    <s v="1101-04"/>
    <n v="70000"/>
    <n v="0"/>
    <s v="Centralización recaudaciones febrero 2026 #2361 - #2361"/>
    <n v="70000"/>
    <s v="Activo"/>
    <n v="70000"/>
    <x v="2"/>
  </r>
  <r>
    <n v="2026"/>
    <n v="2"/>
    <s v="02-02-2026"/>
    <n v="10534"/>
    <s v="1101-04"/>
    <n v="28990"/>
    <n v="0"/>
    <s v="Centralización recaudaciones febrero 2026 #2363 - #2363"/>
    <n v="28990"/>
    <s v="Activo"/>
    <n v="28990"/>
    <x v="2"/>
  </r>
  <r>
    <n v="2026"/>
    <n v="2"/>
    <s v="02-02-2026"/>
    <n v="10538"/>
    <s v="1101-04"/>
    <n v="30000"/>
    <n v="0"/>
    <s v="Centralización recaudaciones febrero 2026 #2367 - #2367"/>
    <n v="30000"/>
    <s v="Activo"/>
    <n v="30000"/>
    <x v="2"/>
  </r>
  <r>
    <n v="2026"/>
    <n v="2"/>
    <s v="02-02-2026"/>
    <n v="10540"/>
    <s v="1101-04"/>
    <n v="3618"/>
    <n v="0"/>
    <s v="Centralización recaudaciones febrero 2026 #2369 - #2369"/>
    <n v="3618"/>
    <s v="Activo"/>
    <n v="3618"/>
    <x v="2"/>
  </r>
  <r>
    <n v="2026"/>
    <n v="2"/>
    <s v="02-02-2026"/>
    <n v="10543"/>
    <s v="1101-04"/>
    <n v="30000"/>
    <n v="0"/>
    <s v="Centralización recaudaciones febrero 2026 #2372 - #2372"/>
    <n v="30000"/>
    <s v="Activo"/>
    <n v="30000"/>
    <x v="2"/>
  </r>
  <r>
    <n v="2026"/>
    <n v="2"/>
    <s v="02-02-2026"/>
    <n v="10544"/>
    <s v="1101-04"/>
    <n v="101989"/>
    <n v="0"/>
    <s v="Centralización recaudaciones febrero 2026 #2373 - #2373"/>
    <n v="101989"/>
    <s v="Activo"/>
    <n v="101989"/>
    <x v="2"/>
  </r>
  <r>
    <n v="2026"/>
    <n v="2"/>
    <s v="02-02-2026"/>
    <n v="10545"/>
    <s v="1101-04"/>
    <n v="19990"/>
    <n v="0"/>
    <s v="Centralización recaudaciones febrero 2026 #2374 - #2374"/>
    <n v="19990"/>
    <s v="Activo"/>
    <n v="19990"/>
    <x v="2"/>
  </r>
  <r>
    <n v="2026"/>
    <n v="2"/>
    <s v="02-02-2026"/>
    <n v="10550"/>
    <s v="1101-04"/>
    <n v="34990"/>
    <n v="0"/>
    <s v="Centralización recaudaciones febrero 2026 #2379 - #2379"/>
    <n v="34990"/>
    <s v="Activo"/>
    <n v="34990"/>
    <x v="2"/>
  </r>
  <r>
    <n v="2026"/>
    <n v="2"/>
    <s v="02-02-2026"/>
    <n v="10553"/>
    <s v="1101-04"/>
    <n v="50000"/>
    <n v="0"/>
    <s v="Centralización recaudaciones febrero 2026 #2382 - #2382"/>
    <n v="50000"/>
    <s v="Activo"/>
    <n v="50000"/>
    <x v="2"/>
  </r>
  <r>
    <n v="2026"/>
    <n v="2"/>
    <s v="02-02-2026"/>
    <n v="10560"/>
    <s v="1101-04"/>
    <n v="37990"/>
    <n v="0"/>
    <s v="Centralización recaudaciones febrero 2026 #2389 - #2389"/>
    <n v="37990"/>
    <s v="Activo"/>
    <n v="37990"/>
    <x v="2"/>
  </r>
  <r>
    <n v="2026"/>
    <n v="2"/>
    <s v="02-02-2026"/>
    <n v="10561"/>
    <s v="1101-04"/>
    <n v="30000"/>
    <n v="0"/>
    <s v="Centralización recaudaciones febrero 2026 #2390 - #2390"/>
    <n v="30000"/>
    <s v="Activo"/>
    <n v="30000"/>
    <x v="2"/>
  </r>
  <r>
    <n v="2026"/>
    <n v="2"/>
    <s v="02-02-2026"/>
    <n v="10563"/>
    <s v="1101-04"/>
    <n v="30000"/>
    <n v="0"/>
    <s v="Centralización recaudaciones febrero 2026 #2392 - #2392"/>
    <n v="30000"/>
    <s v="Activo"/>
    <n v="30000"/>
    <x v="2"/>
  </r>
  <r>
    <n v="2026"/>
    <n v="2"/>
    <s v="02-02-2026"/>
    <n v="10567"/>
    <s v="1101-04"/>
    <n v="30000"/>
    <n v="0"/>
    <s v="Centralización recaudaciones febrero 2026 #2396 - #2396"/>
    <n v="30000"/>
    <s v="Activo"/>
    <n v="30000"/>
    <x v="2"/>
  </r>
  <r>
    <n v="2026"/>
    <n v="2"/>
    <s v="02-02-2026"/>
    <n v="10571"/>
    <s v="1101-04"/>
    <n v="40000"/>
    <n v="0"/>
    <s v="Centralización recaudaciones febrero 2026 #2400 - #2400"/>
    <n v="40000"/>
    <s v="Activo"/>
    <n v="40000"/>
    <x v="2"/>
  </r>
  <r>
    <n v="2026"/>
    <n v="2"/>
    <s v="02-02-2026"/>
    <n v="10577"/>
    <s v="1101-04"/>
    <n v="30000"/>
    <n v="0"/>
    <s v="Centralización recaudaciones febrero 2026 #2406 - #2406"/>
    <n v="30000"/>
    <s v="Activo"/>
    <n v="30000"/>
    <x v="2"/>
  </r>
  <r>
    <n v="2026"/>
    <n v="2"/>
    <s v="02-02-2026"/>
    <n v="10578"/>
    <s v="1101-04"/>
    <n v="60000"/>
    <n v="0"/>
    <s v="Centralización recaudaciones febrero 2026 #2407 - #2407"/>
    <n v="60000"/>
    <s v="Activo"/>
    <n v="60000"/>
    <x v="2"/>
  </r>
  <r>
    <n v="2026"/>
    <n v="2"/>
    <s v="02-02-2026"/>
    <n v="10579"/>
    <s v="1101-04"/>
    <n v="30000"/>
    <n v="0"/>
    <s v="Centralización recaudaciones febrero 2026 #2408 - #2408"/>
    <n v="30000"/>
    <s v="Activo"/>
    <n v="30000"/>
    <x v="2"/>
  </r>
  <r>
    <n v="2026"/>
    <n v="2"/>
    <s v="02-02-2026"/>
    <n v="10583"/>
    <s v="1101-04"/>
    <n v="30000"/>
    <n v="0"/>
    <s v="Centralización recaudaciones febrero 2026 #2412 - #2412"/>
    <n v="30000"/>
    <s v="Activo"/>
    <n v="30000"/>
    <x v="2"/>
  </r>
  <r>
    <n v="2026"/>
    <n v="2"/>
    <s v="02-02-2026"/>
    <n v="10585"/>
    <s v="1101-04"/>
    <n v="33000"/>
    <n v="0"/>
    <s v="Centralización recaudaciones febrero 2026 #2414 - #2414"/>
    <n v="33000"/>
    <s v="Activo"/>
    <n v="33000"/>
    <x v="2"/>
  </r>
  <r>
    <n v="2026"/>
    <n v="2"/>
    <s v="02-02-2026"/>
    <n v="10591"/>
    <s v="1101-04"/>
    <n v="42000"/>
    <n v="0"/>
    <s v="Centralización recaudaciones febrero 2026 #2420 - #2420"/>
    <n v="42000"/>
    <s v="Activo"/>
    <n v="42000"/>
    <x v="2"/>
  </r>
  <r>
    <n v="2026"/>
    <n v="2"/>
    <s v="02-02-2026"/>
    <n v="10595"/>
    <s v="1101-04"/>
    <n v="942212"/>
    <n v="0"/>
    <s v="Centralización recaudaciones febrero 2026 #2424 - #2424"/>
    <n v="942212"/>
    <s v="Activo"/>
    <n v="942212"/>
    <x v="2"/>
  </r>
  <r>
    <n v="2026"/>
    <n v="2"/>
    <s v="02-02-2026"/>
    <n v="10602"/>
    <s v="1101-04"/>
    <n v="38000"/>
    <n v="0"/>
    <s v="Centralización recaudaciones febrero 2026 #2431 - #2431"/>
    <n v="38000"/>
    <s v="Activo"/>
    <n v="38000"/>
    <x v="2"/>
  </r>
  <r>
    <n v="2026"/>
    <n v="2"/>
    <s v="02-02-2026"/>
    <n v="10607"/>
    <s v="1101-04"/>
    <n v="50000"/>
    <n v="0"/>
    <s v="Centralización recaudaciones febrero 2026 #2436 - #2436"/>
    <n v="50000"/>
    <s v="Activo"/>
    <n v="50000"/>
    <x v="2"/>
  </r>
  <r>
    <n v="2026"/>
    <n v="2"/>
    <s v="02-02-2026"/>
    <n v="10612"/>
    <s v="1101-04"/>
    <n v="30000"/>
    <n v="0"/>
    <s v="Centralización recaudaciones febrero 2026 #2441 - #2441"/>
    <n v="30000"/>
    <s v="Activo"/>
    <n v="30000"/>
    <x v="2"/>
  </r>
  <r>
    <n v="2026"/>
    <n v="2"/>
    <s v="02-02-2026"/>
    <n v="10614"/>
    <s v="1101-04"/>
    <n v="23990"/>
    <n v="0"/>
    <s v="Centralización recaudaciones febrero 2026 #2443 - #2443"/>
    <n v="23990"/>
    <s v="Activo"/>
    <n v="23990"/>
    <x v="2"/>
  </r>
  <r>
    <n v="2026"/>
    <n v="2"/>
    <s v="02-02-2026"/>
    <n v="10618"/>
    <s v="1101-04"/>
    <n v="1040"/>
    <n v="0"/>
    <s v="Centralización recaudaciones febrero 2026 #2447 - #2447"/>
    <n v="1040"/>
    <s v="Activo"/>
    <n v="1040"/>
    <x v="2"/>
  </r>
  <r>
    <n v="2026"/>
    <n v="2"/>
    <s v="02-02-2026"/>
    <n v="10624"/>
    <s v="1101-04"/>
    <n v="43980"/>
    <n v="0"/>
    <s v="Centralización recaudaciones febrero 2026 #2453 - #2453"/>
    <n v="43980"/>
    <s v="Activo"/>
    <n v="43980"/>
    <x v="2"/>
  </r>
  <r>
    <n v="2026"/>
    <n v="2"/>
    <s v="02-02-2026"/>
    <n v="10627"/>
    <s v="1101-04"/>
    <n v="26392"/>
    <n v="0"/>
    <s v="Centralización recaudaciones febrero 2026 #2456 - #2456"/>
    <n v="26392"/>
    <s v="Activo"/>
    <n v="26392"/>
    <x v="2"/>
  </r>
  <r>
    <n v="2026"/>
    <n v="2"/>
    <s v="02-02-2026"/>
    <n v="10633"/>
    <s v="1101-04"/>
    <n v="10"/>
    <n v="0"/>
    <s v="Centralización recaudaciones febrero 2026 #2462 - #2462"/>
    <n v="10"/>
    <s v="Activo"/>
    <n v="10"/>
    <x v="2"/>
  </r>
  <r>
    <n v="2026"/>
    <n v="2"/>
    <s v="02-02-2026"/>
    <n v="10637"/>
    <s v="1101-04"/>
    <n v="21990"/>
    <n v="0"/>
    <s v="Centralización recaudaciones febrero 2026 #2466 - #2466"/>
    <n v="21990"/>
    <s v="Activo"/>
    <n v="21990"/>
    <x v="2"/>
  </r>
  <r>
    <n v="2026"/>
    <n v="2"/>
    <s v="02-02-2026"/>
    <n v="10638"/>
    <s v="1101-04"/>
    <n v="30000"/>
    <n v="0"/>
    <s v="Centralización recaudaciones febrero 2026 #2467 - #2467"/>
    <n v="30000"/>
    <s v="Activo"/>
    <n v="30000"/>
    <x v="2"/>
  </r>
  <r>
    <n v="2026"/>
    <n v="2"/>
    <s v="02-02-2026"/>
    <n v="10639"/>
    <s v="1101-04"/>
    <n v="30000"/>
    <n v="0"/>
    <s v="Centralización recaudaciones febrero 2026 #2468 - #2468"/>
    <n v="30000"/>
    <s v="Activo"/>
    <n v="30000"/>
    <x v="2"/>
  </r>
  <r>
    <n v="2026"/>
    <n v="2"/>
    <s v="02-02-2026"/>
    <n v="10643"/>
    <s v="1101-04"/>
    <n v="30000"/>
    <n v="0"/>
    <s v="Centralización recaudaciones febrero 2026 #2472 - #2472"/>
    <n v="30000"/>
    <s v="Activo"/>
    <n v="30000"/>
    <x v="2"/>
  </r>
  <r>
    <n v="2026"/>
    <n v="2"/>
    <s v="02-02-2026"/>
    <n v="10645"/>
    <s v="1101-04"/>
    <n v="18000"/>
    <n v="0"/>
    <s v="Centralización recaudaciones febrero 2026 #2474 - #2474"/>
    <n v="18000"/>
    <s v="Activo"/>
    <n v="18000"/>
    <x v="2"/>
  </r>
  <r>
    <n v="2026"/>
    <n v="2"/>
    <s v="02-02-2026"/>
    <n v="10647"/>
    <s v="1101-04"/>
    <n v="80000"/>
    <n v="0"/>
    <s v="Centralización recaudaciones febrero 2026 #2476 - #2476"/>
    <n v="80000"/>
    <s v="Activo"/>
    <n v="80000"/>
    <x v="2"/>
  </r>
  <r>
    <n v="2026"/>
    <n v="2"/>
    <s v="02-02-2026"/>
    <n v="10654"/>
    <s v="1101-04"/>
    <n v="28990"/>
    <n v="0"/>
    <s v="Centralización recaudaciones febrero 2026 #2483 - #2483"/>
    <n v="28990"/>
    <s v="Activo"/>
    <n v="28990"/>
    <x v="2"/>
  </r>
  <r>
    <n v="2026"/>
    <n v="2"/>
    <s v="02-02-2026"/>
    <n v="10655"/>
    <s v="1101-04"/>
    <n v="10"/>
    <n v="0"/>
    <s v="Centralización recaudaciones febrero 2026 #2484 - #2484"/>
    <n v="10"/>
    <s v="Activo"/>
    <n v="10"/>
    <x v="2"/>
  </r>
  <r>
    <n v="2026"/>
    <n v="2"/>
    <s v="02-02-2026"/>
    <n v="10657"/>
    <s v="1101-04"/>
    <n v="38000"/>
    <n v="0"/>
    <s v="Centralización recaudaciones febrero 2026 #2486 - #2486"/>
    <n v="38000"/>
    <s v="Activo"/>
    <n v="38000"/>
    <x v="2"/>
  </r>
  <r>
    <n v="2026"/>
    <n v="2"/>
    <s v="02-02-2026"/>
    <n v="10658"/>
    <s v="1101-04"/>
    <n v="40000"/>
    <n v="0"/>
    <s v="Centralización recaudaciones febrero 2026 #2487 - #2487"/>
    <n v="40000"/>
    <s v="Activo"/>
    <n v="40000"/>
    <x v="2"/>
  </r>
  <r>
    <n v="2026"/>
    <n v="2"/>
    <s v="02-02-2026"/>
    <n v="10662"/>
    <s v="1101-04"/>
    <n v="17990"/>
    <n v="0"/>
    <s v="Centralización recaudaciones febrero 2026 #2491 - #2491"/>
    <n v="17990"/>
    <s v="Activo"/>
    <n v="17990"/>
    <x v="2"/>
  </r>
  <r>
    <n v="2026"/>
    <n v="2"/>
    <s v="02-02-2026"/>
    <n v="10670"/>
    <s v="1101-04"/>
    <n v="29990"/>
    <n v="0"/>
    <s v="Centralización recaudaciones febrero 2026 #2499 - #2499"/>
    <n v="29990"/>
    <s v="Activo"/>
    <n v="29990"/>
    <x v="2"/>
  </r>
  <r>
    <n v="2026"/>
    <n v="2"/>
    <s v="02-02-2026"/>
    <n v="10675"/>
    <s v="1101-04"/>
    <n v="30000"/>
    <n v="0"/>
    <s v="Centralización recaudaciones febrero 2026 #2504 - #2504"/>
    <n v="30000"/>
    <s v="Activo"/>
    <n v="30000"/>
    <x v="2"/>
  </r>
  <r>
    <n v="2026"/>
    <n v="2"/>
    <s v="02-02-2026"/>
    <n v="10679"/>
    <s v="1101-04"/>
    <n v="40000"/>
    <n v="0"/>
    <s v="Centralización recaudaciones febrero 2026 #2508 - #2508"/>
    <n v="40000"/>
    <s v="Activo"/>
    <n v="40000"/>
    <x v="2"/>
  </r>
  <r>
    <n v="2026"/>
    <n v="2"/>
    <s v="02-02-2026"/>
    <n v="10680"/>
    <s v="1101-04"/>
    <n v="30000"/>
    <n v="0"/>
    <s v="Centralización recaudaciones febrero 2026 #2509 - #2509"/>
    <n v="30000"/>
    <s v="Activo"/>
    <n v="30000"/>
    <x v="2"/>
  </r>
  <r>
    <n v="2026"/>
    <n v="2"/>
    <s v="02-02-2026"/>
    <n v="10687"/>
    <s v="1101-04"/>
    <n v="34990"/>
    <n v="0"/>
    <s v="Centralización recaudaciones febrero 2026 #2516 - #2516"/>
    <n v="34990"/>
    <s v="Activo"/>
    <n v="34990"/>
    <x v="2"/>
  </r>
  <r>
    <n v="2026"/>
    <n v="2"/>
    <s v="02-02-2026"/>
    <n v="10688"/>
    <s v="1101-04"/>
    <n v="36990"/>
    <n v="0"/>
    <s v="Centralización recaudaciones febrero 2026 #2517 - #2517"/>
    <n v="36990"/>
    <s v="Activo"/>
    <n v="36990"/>
    <x v="2"/>
  </r>
  <r>
    <n v="2026"/>
    <n v="2"/>
    <s v="02-02-2026"/>
    <n v="10692"/>
    <s v="1101-04"/>
    <n v="35970"/>
    <n v="0"/>
    <s v="Centralización recaudaciones febrero 2026 #2521 - #2521"/>
    <n v="35970"/>
    <s v="Activo"/>
    <n v="35970"/>
    <x v="2"/>
  </r>
  <r>
    <n v="2026"/>
    <n v="2"/>
    <s v="02-02-2026"/>
    <n v="10693"/>
    <s v="1101-04"/>
    <n v="33490"/>
    <n v="0"/>
    <s v="Centralización recaudaciones febrero 2026 #2522 - #2522"/>
    <n v="33490"/>
    <s v="Activo"/>
    <n v="33490"/>
    <x v="2"/>
  </r>
  <r>
    <n v="2026"/>
    <n v="2"/>
    <s v="02-02-2026"/>
    <n v="10701"/>
    <s v="1101-04"/>
    <n v="29990"/>
    <n v="0"/>
    <s v="Centralización recaudaciones febrero 2026 #2530 - #2530"/>
    <n v="29990"/>
    <s v="Activo"/>
    <n v="29990"/>
    <x v="2"/>
  </r>
  <r>
    <n v="2026"/>
    <n v="2"/>
    <s v="02-02-2026"/>
    <n v="10702"/>
    <s v="1101-04"/>
    <n v="21990"/>
    <n v="0"/>
    <s v="Centralización recaudaciones febrero 2026 #2531 - #2531"/>
    <n v="21990"/>
    <s v="Activo"/>
    <n v="21990"/>
    <x v="2"/>
  </r>
  <r>
    <n v="2026"/>
    <n v="2"/>
    <s v="02-02-2026"/>
    <n v="10704"/>
    <s v="1101-04"/>
    <n v="31990"/>
    <n v="0"/>
    <s v="Centralización recaudaciones febrero 2026 #2533 - #2533"/>
    <n v="31990"/>
    <s v="Activo"/>
    <n v="31990"/>
    <x v="2"/>
  </r>
  <r>
    <n v="2026"/>
    <n v="2"/>
    <s v="02-02-2026"/>
    <n v="10719"/>
    <s v="1101-04"/>
    <n v="141879"/>
    <n v="0"/>
    <s v="Centralización recaudaciones febrero 2026 #2548 - #2548"/>
    <n v="141879"/>
    <s v="Activo"/>
    <n v="141879"/>
    <x v="2"/>
  </r>
  <r>
    <n v="2026"/>
    <n v="2"/>
    <s v="02-02-2026"/>
    <n v="10722"/>
    <s v="1101-04"/>
    <n v="29990"/>
    <n v="0"/>
    <s v="Centralización recaudaciones febrero 2026 #2551 - #2551"/>
    <n v="29990"/>
    <s v="Activo"/>
    <n v="29990"/>
    <x v="2"/>
  </r>
  <r>
    <n v="2026"/>
    <n v="2"/>
    <s v="02-02-2026"/>
    <n v="10731"/>
    <s v="1101-04"/>
    <n v="32990"/>
    <n v="0"/>
    <s v="Centralización recaudaciones febrero 2026 #2560 - #2560"/>
    <n v="32990"/>
    <s v="Activo"/>
    <n v="32990"/>
    <x v="2"/>
  </r>
  <r>
    <n v="2026"/>
    <n v="2"/>
    <s v="02-02-2026"/>
    <n v="10732"/>
    <s v="1101-04"/>
    <n v="29990"/>
    <n v="0"/>
    <s v="Centralización recaudaciones febrero 2026 #2561 - #2561"/>
    <n v="29990"/>
    <s v="Activo"/>
    <n v="29990"/>
    <x v="2"/>
  </r>
  <r>
    <n v="2026"/>
    <n v="2"/>
    <s v="02-02-2026"/>
    <n v="10737"/>
    <s v="1101-04"/>
    <n v="29990"/>
    <n v="0"/>
    <s v="Centralización recaudaciones febrero 2026 #2566 - #2566"/>
    <n v="29990"/>
    <s v="Activo"/>
    <n v="29990"/>
    <x v="2"/>
  </r>
  <r>
    <n v="2026"/>
    <n v="2"/>
    <s v="02-02-2026"/>
    <n v="10738"/>
    <s v="1101-04"/>
    <n v="19990"/>
    <n v="0"/>
    <s v="Centralización recaudaciones febrero 2026 #2567 - #2567"/>
    <n v="19990"/>
    <s v="Activo"/>
    <n v="19990"/>
    <x v="2"/>
  </r>
  <r>
    <n v="2026"/>
    <n v="2"/>
    <s v="02-02-2026"/>
    <n v="10739"/>
    <s v="1101-04"/>
    <n v="21052"/>
    <n v="0"/>
    <s v="Centralización recaudaciones febrero 2026 #2568 - #2568"/>
    <n v="21052"/>
    <s v="Activo"/>
    <n v="21052"/>
    <x v="2"/>
  </r>
  <r>
    <n v="2026"/>
    <n v="2"/>
    <s v="02-02-2026"/>
    <n v="10740"/>
    <s v="1101-04"/>
    <n v="28990"/>
    <n v="0"/>
    <s v="Centralización recaudaciones febrero 2026 #2569 - #2569"/>
    <n v="28990"/>
    <s v="Activo"/>
    <n v="28990"/>
    <x v="2"/>
  </r>
  <r>
    <n v="2026"/>
    <n v="2"/>
    <s v="02-02-2026"/>
    <n v="10742"/>
    <s v="1101-04"/>
    <n v="35990"/>
    <n v="0"/>
    <s v="Centralización recaudaciones febrero 2026 #2571 - #2571"/>
    <n v="35990"/>
    <s v="Activo"/>
    <n v="35990"/>
    <x v="2"/>
  </r>
  <r>
    <n v="2026"/>
    <n v="2"/>
    <s v="02-02-2026"/>
    <n v="10744"/>
    <s v="1101-04"/>
    <n v="21990"/>
    <n v="0"/>
    <s v="Centralización recaudaciones febrero 2026 #2573 - #2573"/>
    <n v="21990"/>
    <s v="Activo"/>
    <n v="21990"/>
    <x v="2"/>
  </r>
  <r>
    <n v="2026"/>
    <n v="2"/>
    <s v="02-02-2026"/>
    <n v="10746"/>
    <s v="1101-04"/>
    <n v="26990"/>
    <n v="0"/>
    <s v="Centralización recaudaciones febrero 2026 #2575 - #2575"/>
    <n v="26990"/>
    <s v="Activo"/>
    <n v="26990"/>
    <x v="2"/>
  </r>
  <r>
    <n v="2026"/>
    <n v="2"/>
    <s v="02-02-2026"/>
    <n v="10750"/>
    <s v="1101-04"/>
    <n v="10"/>
    <n v="0"/>
    <s v="Centralización recaudaciones febrero 2026 #2579 - #2579"/>
    <n v="10"/>
    <s v="Activo"/>
    <n v="10"/>
    <x v="2"/>
  </r>
  <r>
    <n v="2026"/>
    <n v="2"/>
    <s v="02-02-2026"/>
    <n v="10757"/>
    <s v="1101-04"/>
    <n v="24990"/>
    <n v="0"/>
    <s v="Centralización recaudaciones febrero 2026 #2586 - #2586"/>
    <n v="24990"/>
    <s v="Activo"/>
    <n v="24990"/>
    <x v="2"/>
  </r>
  <r>
    <n v="2026"/>
    <n v="2"/>
    <s v="02-02-2026"/>
    <n v="10758"/>
    <s v="1101-04"/>
    <n v="19990"/>
    <n v="0"/>
    <s v="Centralización recaudaciones febrero 2026 #2587 - #2587"/>
    <n v="19990"/>
    <s v="Activo"/>
    <n v="19990"/>
    <x v="2"/>
  </r>
  <r>
    <n v="2026"/>
    <n v="2"/>
    <s v="02-02-2026"/>
    <n v="10759"/>
    <s v="1101-04"/>
    <n v="34990"/>
    <n v="0"/>
    <s v="Centralización recaudaciones febrero 2026 #2588 - #2588"/>
    <n v="34990"/>
    <s v="Activo"/>
    <n v="34990"/>
    <x v="2"/>
  </r>
  <r>
    <n v="2026"/>
    <n v="2"/>
    <s v="02-02-2026"/>
    <n v="10764"/>
    <s v="1101-04"/>
    <n v="99991"/>
    <n v="0"/>
    <s v="Centralización recaudaciones febrero 2026 #2593 - #2593"/>
    <n v="99991"/>
    <s v="Activo"/>
    <n v="99991"/>
    <x v="2"/>
  </r>
  <r>
    <n v="2026"/>
    <n v="2"/>
    <s v="02-02-2026"/>
    <n v="10765"/>
    <s v="1101-04"/>
    <n v="43980"/>
    <n v="0"/>
    <s v="Centralización recaudaciones febrero 2026 #2594 - #2594"/>
    <n v="43980"/>
    <s v="Activo"/>
    <n v="43980"/>
    <x v="2"/>
  </r>
  <r>
    <n v="2026"/>
    <n v="2"/>
    <s v="02-02-2026"/>
    <n v="10771"/>
    <s v="1101-04"/>
    <n v="31990"/>
    <n v="0"/>
    <s v="Centralización recaudaciones febrero 2026 #2600 - #2600"/>
    <n v="31990"/>
    <s v="Activo"/>
    <n v="31990"/>
    <x v="2"/>
  </r>
  <r>
    <n v="2026"/>
    <n v="2"/>
    <s v="02-02-2026"/>
    <n v="10783"/>
    <s v="1101-04"/>
    <n v="53333"/>
    <n v="0"/>
    <s v="Centralización recaudaciones febrero 2026 #2612 - #2612"/>
    <n v="53333"/>
    <s v="Activo"/>
    <n v="53333"/>
    <x v="2"/>
  </r>
  <r>
    <n v="2026"/>
    <n v="2"/>
    <s v="02-02-2026"/>
    <n v="10785"/>
    <s v="1101-04"/>
    <n v="30000"/>
    <n v="0"/>
    <s v="Centralización recaudaciones febrero 2026 #2614 - #2614"/>
    <n v="30000"/>
    <s v="Activo"/>
    <n v="30000"/>
    <x v="2"/>
  </r>
  <r>
    <n v="2026"/>
    <n v="2"/>
    <s v="02-02-2026"/>
    <n v="10786"/>
    <s v="1101-04"/>
    <n v="29990"/>
    <n v="0"/>
    <s v="Centralización recaudaciones febrero 2026 #2615 - #2615"/>
    <n v="29990"/>
    <s v="Activo"/>
    <n v="29990"/>
    <x v="2"/>
  </r>
  <r>
    <n v="2026"/>
    <n v="2"/>
    <s v="02-02-2026"/>
    <n v="10788"/>
    <s v="1101-04"/>
    <n v="14990"/>
    <n v="0"/>
    <s v="Centralización recaudaciones febrero 2026 #2617 - #2617"/>
    <n v="14990"/>
    <s v="Activo"/>
    <n v="14990"/>
    <x v="2"/>
  </r>
  <r>
    <n v="2026"/>
    <n v="2"/>
    <s v="02-02-2026"/>
    <n v="10790"/>
    <s v="1101-04"/>
    <n v="19990"/>
    <n v="0"/>
    <s v="Centralización recaudaciones febrero 2026 #2619 - #2619"/>
    <n v="19990"/>
    <s v="Activo"/>
    <n v="19990"/>
    <x v="2"/>
  </r>
  <r>
    <n v="2026"/>
    <n v="2"/>
    <s v="02-02-2026"/>
    <n v="10796"/>
    <s v="1101-04"/>
    <n v="429427"/>
    <n v="0"/>
    <s v="Centralización recaudaciones febrero 2026 #2625 - #2625"/>
    <n v="429427"/>
    <s v="Activo"/>
    <n v="429427"/>
    <x v="2"/>
  </r>
  <r>
    <n v="2026"/>
    <n v="2"/>
    <s v="02-02-2026"/>
    <n v="10800"/>
    <s v="1101-04"/>
    <n v="22990"/>
    <n v="0"/>
    <s v="Centralización recaudaciones febrero 2026 #2629 - #2629"/>
    <n v="22990"/>
    <s v="Activo"/>
    <n v="22990"/>
    <x v="2"/>
  </r>
  <r>
    <n v="2026"/>
    <n v="2"/>
    <s v="02-02-2026"/>
    <n v="10810"/>
    <s v="1101-04"/>
    <n v="45335"/>
    <n v="0"/>
    <s v="Centralización recaudaciones febrero 2026 #2639 - #2639"/>
    <n v="45335"/>
    <s v="Activo"/>
    <n v="45335"/>
    <x v="2"/>
  </r>
  <r>
    <n v="2026"/>
    <n v="2"/>
    <s v="02-02-2026"/>
    <n v="10813"/>
    <s v="1101-04"/>
    <n v="29990"/>
    <n v="0"/>
    <s v="Centralización recaudaciones febrero 2026 #2642 - #2642"/>
    <n v="29990"/>
    <s v="Activo"/>
    <n v="29990"/>
    <x v="2"/>
  </r>
  <r>
    <n v="2026"/>
    <n v="2"/>
    <s v="02-02-2026"/>
    <n v="10817"/>
    <s v="1101-04"/>
    <n v="56762"/>
    <n v="0"/>
    <s v="Centralización recaudaciones febrero 2026 #2646 - #2646"/>
    <n v="56762"/>
    <s v="Activo"/>
    <n v="56762"/>
    <x v="2"/>
  </r>
  <r>
    <n v="2026"/>
    <n v="2"/>
    <s v="02-02-2026"/>
    <n v="10829"/>
    <s v="1101-04"/>
    <n v="29990"/>
    <n v="0"/>
    <s v="Centralización recaudaciones febrero 2026 #2658 - #2658"/>
    <n v="29990"/>
    <s v="Activo"/>
    <n v="29990"/>
    <x v="2"/>
  </r>
  <r>
    <n v="2026"/>
    <n v="2"/>
    <s v="02-02-2026"/>
    <n v="10833"/>
    <s v="1101-04"/>
    <n v="35000"/>
    <n v="0"/>
    <s v="Centralización recaudaciones febrero 2026 #2662 - #2662"/>
    <n v="35000"/>
    <s v="Activo"/>
    <n v="35000"/>
    <x v="2"/>
  </r>
  <r>
    <n v="2026"/>
    <n v="2"/>
    <s v="02-02-2026"/>
    <n v="10835"/>
    <s v="1101-04"/>
    <n v="21990"/>
    <n v="0"/>
    <s v="Centralización recaudaciones febrero 2026 #2664 - #2664"/>
    <n v="21990"/>
    <s v="Activo"/>
    <n v="21990"/>
    <x v="2"/>
  </r>
  <r>
    <n v="2026"/>
    <n v="2"/>
    <s v="02-02-2026"/>
    <n v="10841"/>
    <s v="1101-04"/>
    <n v="46990"/>
    <n v="0"/>
    <s v="Centralización recaudaciones febrero 2026 #2670 - #2670"/>
    <n v="46990"/>
    <s v="Activo"/>
    <n v="46990"/>
    <x v="2"/>
  </r>
  <r>
    <n v="2026"/>
    <n v="2"/>
    <s v="02-02-2026"/>
    <n v="10845"/>
    <s v="1101-04"/>
    <n v="36990"/>
    <n v="0"/>
    <s v="Centralización recaudaciones febrero 2026 #2674 - #2674"/>
    <n v="36990"/>
    <s v="Activo"/>
    <n v="36990"/>
    <x v="2"/>
  </r>
  <r>
    <n v="2026"/>
    <n v="2"/>
    <s v="02-02-2026"/>
    <n v="10846"/>
    <s v="1101-04"/>
    <n v="472930"/>
    <n v="0"/>
    <s v="Centralización recaudaciones febrero 2026 #2675 - #2675"/>
    <n v="472930"/>
    <s v="Activo"/>
    <n v="472930"/>
    <x v="2"/>
  </r>
  <r>
    <n v="2026"/>
    <n v="2"/>
    <s v="02-02-2026"/>
    <n v="10852"/>
    <s v="1101-04"/>
    <n v="21990"/>
    <n v="0"/>
    <s v="Centralización recaudaciones febrero 2026 #2681 - #2681"/>
    <n v="21990"/>
    <s v="Activo"/>
    <n v="21990"/>
    <x v="2"/>
  </r>
  <r>
    <n v="2026"/>
    <n v="2"/>
    <s v="02-02-2026"/>
    <n v="10854"/>
    <s v="1101-04"/>
    <n v="34990"/>
    <n v="0"/>
    <s v="Centralización recaudaciones febrero 2026 #2683 - #2683"/>
    <n v="34990"/>
    <s v="Activo"/>
    <n v="34990"/>
    <x v="2"/>
  </r>
  <r>
    <n v="2026"/>
    <n v="2"/>
    <s v="02-02-2026"/>
    <n v="10856"/>
    <s v="1101-04"/>
    <n v="34990"/>
    <n v="0"/>
    <s v="Centralización recaudaciones febrero 2026 #2685 - #2685"/>
    <n v="34990"/>
    <s v="Activo"/>
    <n v="34990"/>
    <x v="2"/>
  </r>
  <r>
    <n v="2026"/>
    <n v="2"/>
    <s v="02-02-2026"/>
    <n v="10859"/>
    <s v="1101-04"/>
    <n v="19990"/>
    <n v="0"/>
    <s v="Centralización recaudaciones febrero 2026 #2688 - #2688"/>
    <n v="19990"/>
    <s v="Activo"/>
    <n v="19990"/>
    <x v="2"/>
  </r>
  <r>
    <n v="2026"/>
    <n v="2"/>
    <s v="02-02-2026"/>
    <n v="10876"/>
    <s v="1101-04"/>
    <n v="28990"/>
    <n v="0"/>
    <s v="Centralización recaudaciones febrero 2026 #2705 - #2705"/>
    <n v="28990"/>
    <s v="Activo"/>
    <n v="28990"/>
    <x v="2"/>
  </r>
  <r>
    <n v="2026"/>
    <n v="2"/>
    <s v="02-02-2026"/>
    <n v="10878"/>
    <s v="1101-04"/>
    <n v="33490"/>
    <n v="0"/>
    <s v="Centralización recaudaciones febrero 2026 #2707 - #2707"/>
    <n v="33490"/>
    <s v="Activo"/>
    <n v="33490"/>
    <x v="2"/>
  </r>
  <r>
    <n v="2026"/>
    <n v="2"/>
    <s v="02-02-2026"/>
    <n v="10880"/>
    <s v="1101-04"/>
    <n v="29990"/>
    <n v="0"/>
    <s v="Centralización recaudaciones febrero 2026 #2709 - #2709"/>
    <n v="29990"/>
    <s v="Activo"/>
    <n v="29990"/>
    <x v="2"/>
  </r>
  <r>
    <n v="2026"/>
    <n v="2"/>
    <s v="02-02-2026"/>
    <n v="10885"/>
    <s v="1101-04"/>
    <n v="60000"/>
    <n v="0"/>
    <s v="Centralización recaudaciones febrero 2026 #2714 - #2714"/>
    <n v="60000"/>
    <s v="Activo"/>
    <n v="60000"/>
    <x v="2"/>
  </r>
  <r>
    <n v="2026"/>
    <n v="2"/>
    <s v="02-02-2026"/>
    <n v="10888"/>
    <s v="1101-04"/>
    <n v="21990"/>
    <n v="0"/>
    <s v="Centralización recaudaciones febrero 2026 #2717 - #2717"/>
    <n v="21990"/>
    <s v="Activo"/>
    <n v="21990"/>
    <x v="2"/>
  </r>
  <r>
    <n v="2026"/>
    <n v="2"/>
    <s v="02-02-2026"/>
    <n v="10889"/>
    <s v="1101-04"/>
    <n v="24990"/>
    <n v="0"/>
    <s v="Centralización recaudaciones febrero 2026 #2718 - #2718"/>
    <n v="24990"/>
    <s v="Activo"/>
    <n v="24990"/>
    <x v="2"/>
  </r>
  <r>
    <n v="2026"/>
    <n v="2"/>
    <s v="02-02-2026"/>
    <n v="10891"/>
    <s v="1101-04"/>
    <n v="54990"/>
    <n v="0"/>
    <s v="Centralización recaudaciones febrero 2026 #2720 - #2720"/>
    <n v="54990"/>
    <s v="Activo"/>
    <n v="54990"/>
    <x v="2"/>
  </r>
  <r>
    <n v="2026"/>
    <n v="2"/>
    <s v="02-02-2026"/>
    <n v="10899"/>
    <s v="1101-04"/>
    <n v="24990"/>
    <n v="0"/>
    <s v="Centralización recaudaciones febrero 2026 #2728 - #2728"/>
    <n v="24990"/>
    <s v="Activo"/>
    <n v="24990"/>
    <x v="2"/>
  </r>
  <r>
    <n v="2026"/>
    <n v="2"/>
    <s v="02-02-2026"/>
    <n v="10919"/>
    <s v="1101-04"/>
    <n v="1735"/>
    <n v="0"/>
    <s v="Centralización recaudaciones febrero 2026 #2748 - #2748"/>
    <n v="1735"/>
    <s v="Activo"/>
    <n v="1735"/>
    <x v="2"/>
  </r>
  <r>
    <n v="2026"/>
    <n v="2"/>
    <s v="02-02-2026"/>
    <n v="10923"/>
    <s v="1101-04"/>
    <n v="2960"/>
    <n v="0"/>
    <s v="Centralización recaudaciones febrero 2026 #2752 - #2752"/>
    <n v="2960"/>
    <s v="Activo"/>
    <n v="2960"/>
    <x v="2"/>
  </r>
  <r>
    <n v="2026"/>
    <n v="2"/>
    <s v="02-02-2026"/>
    <n v="10924"/>
    <s v="1101-04"/>
    <n v="47960"/>
    <n v="0"/>
    <s v="Centralización recaudaciones febrero 2026 #2753 - #2753"/>
    <n v="47960"/>
    <s v="Activo"/>
    <n v="47960"/>
    <x v="2"/>
  </r>
  <r>
    <n v="2026"/>
    <n v="2"/>
    <s v="02-02-2026"/>
    <n v="10930"/>
    <s v="1101-04"/>
    <n v="86052"/>
    <n v="0"/>
    <s v="Centralización recaudaciones febrero 2026 #2759 - #2759"/>
    <n v="86052"/>
    <s v="Activo"/>
    <n v="86052"/>
    <x v="2"/>
  </r>
  <r>
    <n v="2026"/>
    <n v="2"/>
    <s v="02-02-2026"/>
    <n v="10932"/>
    <s v="1101-04"/>
    <n v="60000"/>
    <n v="0"/>
    <s v="Centralización recaudaciones febrero 2026 #2761 - #2761"/>
    <n v="60000"/>
    <s v="Activo"/>
    <n v="60000"/>
    <x v="2"/>
  </r>
  <r>
    <n v="2026"/>
    <n v="2"/>
    <s v="02-02-2026"/>
    <n v="10935"/>
    <s v="1101-04"/>
    <n v="19990"/>
    <n v="0"/>
    <s v="Centralización recaudaciones febrero 2026 #2764 - #2764"/>
    <n v="19990"/>
    <s v="Activo"/>
    <n v="19990"/>
    <x v="2"/>
  </r>
  <r>
    <n v="2026"/>
    <n v="2"/>
    <s v="02-02-2026"/>
    <n v="10937"/>
    <s v="1101-04"/>
    <n v="46990"/>
    <n v="0"/>
    <s v="Centralización recaudaciones febrero 2026 #2766 - #2766"/>
    <n v="46990"/>
    <s v="Activo"/>
    <n v="46990"/>
    <x v="2"/>
  </r>
  <r>
    <n v="2026"/>
    <n v="2"/>
    <s v="02-02-2026"/>
    <n v="10941"/>
    <s v="1101-04"/>
    <n v="19990"/>
    <n v="0"/>
    <s v="Centralización recaudaciones febrero 2026 #2770 - #2770"/>
    <n v="19990"/>
    <s v="Activo"/>
    <n v="19990"/>
    <x v="2"/>
  </r>
  <r>
    <n v="2026"/>
    <n v="2"/>
    <s v="02-02-2026"/>
    <n v="10944"/>
    <s v="1101-04"/>
    <n v="30000"/>
    <n v="0"/>
    <s v="Centralización recaudaciones febrero 2026 #2773 - #2773"/>
    <n v="30000"/>
    <s v="Activo"/>
    <n v="30000"/>
    <x v="2"/>
  </r>
  <r>
    <n v="2026"/>
    <n v="2"/>
    <s v="02-02-2026"/>
    <n v="10945"/>
    <s v="1101-04"/>
    <n v="24990"/>
    <n v="0"/>
    <s v="Centralización recaudaciones febrero 2026 #2774 - #2774"/>
    <n v="24990"/>
    <s v="Activo"/>
    <n v="24990"/>
    <x v="2"/>
  </r>
  <r>
    <n v="2026"/>
    <n v="2"/>
    <s v="02-02-2026"/>
    <n v="10947"/>
    <s v="1101-04"/>
    <n v="21990"/>
    <n v="0"/>
    <s v="Centralización recaudaciones febrero 2026 #2776 - #2776"/>
    <n v="21990"/>
    <s v="Activo"/>
    <n v="21990"/>
    <x v="2"/>
  </r>
  <r>
    <n v="2026"/>
    <n v="2"/>
    <s v="02-02-2026"/>
    <n v="10948"/>
    <s v="1101-04"/>
    <n v="21900"/>
    <n v="0"/>
    <s v="Centralización recaudaciones febrero 2026 #2777 - #2777"/>
    <n v="21900"/>
    <s v="Activo"/>
    <n v="21900"/>
    <x v="2"/>
  </r>
  <r>
    <n v="2026"/>
    <n v="2"/>
    <s v="02-02-2026"/>
    <n v="10957"/>
    <s v="1101-04"/>
    <n v="38980"/>
    <n v="0"/>
    <s v="Centralización recaudaciones febrero 2026 #2786 - #2786"/>
    <n v="38980"/>
    <s v="Activo"/>
    <n v="38980"/>
    <x v="2"/>
  </r>
  <r>
    <n v="2026"/>
    <n v="2"/>
    <s v="02-02-2026"/>
    <n v="10967"/>
    <s v="1101-04"/>
    <n v="54990"/>
    <n v="0"/>
    <s v="Centralización recaudaciones febrero 2026 #2796 - #2796"/>
    <n v="54990"/>
    <s v="Activo"/>
    <n v="54990"/>
    <x v="2"/>
  </r>
  <r>
    <n v="2026"/>
    <n v="2"/>
    <s v="02-02-2026"/>
    <n v="10968"/>
    <s v="1101-04"/>
    <n v="21990"/>
    <n v="0"/>
    <s v="Centralización recaudaciones febrero 2026 #2797 - #2797"/>
    <n v="21990"/>
    <s v="Activo"/>
    <n v="21990"/>
    <x v="2"/>
  </r>
  <r>
    <n v="2026"/>
    <n v="2"/>
    <s v="02-02-2026"/>
    <n v="10977"/>
    <s v="1101-04"/>
    <n v="21990"/>
    <n v="0"/>
    <s v="Centralización recaudaciones febrero 2026 #2806 - #2806"/>
    <n v="21990"/>
    <s v="Activo"/>
    <n v="21990"/>
    <x v="2"/>
  </r>
  <r>
    <n v="2026"/>
    <n v="2"/>
    <s v="02-02-2026"/>
    <n v="10979"/>
    <s v="1101-04"/>
    <n v="40000"/>
    <n v="0"/>
    <s v="Centralización recaudaciones febrero 2026 #2808 - #2808"/>
    <n v="40000"/>
    <s v="Activo"/>
    <n v="40000"/>
    <x v="2"/>
  </r>
  <r>
    <n v="2026"/>
    <n v="2"/>
    <s v="02-02-2026"/>
    <n v="10983"/>
    <s v="1101-04"/>
    <n v="232730"/>
    <n v="0"/>
    <s v="Centralización recaudaciones febrero 2026 #2812 - #2812"/>
    <n v="232730"/>
    <s v="Activo"/>
    <n v="232730"/>
    <x v="2"/>
  </r>
  <r>
    <n v="2026"/>
    <n v="2"/>
    <s v="02-02-2026"/>
    <n v="10987"/>
    <s v="1101-04"/>
    <n v="34990"/>
    <n v="0"/>
    <s v="Centralización recaudaciones febrero 2026 #2816 - #2816"/>
    <n v="34990"/>
    <s v="Activo"/>
    <n v="34990"/>
    <x v="2"/>
  </r>
  <r>
    <n v="2026"/>
    <n v="2"/>
    <s v="02-02-2026"/>
    <n v="10996"/>
    <s v="1101-04"/>
    <n v="40000"/>
    <n v="0"/>
    <s v="Centralización recaudaciones febrero 2026 #2825 - #2825"/>
    <n v="40000"/>
    <s v="Activo"/>
    <n v="40000"/>
    <x v="2"/>
  </r>
  <r>
    <n v="2026"/>
    <n v="2"/>
    <s v="02-02-2026"/>
    <n v="11002"/>
    <s v="1101-04"/>
    <n v="24990"/>
    <n v="0"/>
    <s v="Centralización recaudaciones febrero 2026 #2831 - #2831"/>
    <n v="24990"/>
    <s v="Activo"/>
    <n v="24990"/>
    <x v="2"/>
  </r>
  <r>
    <n v="2026"/>
    <n v="2"/>
    <s v="02-02-2026"/>
    <n v="11008"/>
    <s v="1101-04"/>
    <n v="2192981"/>
    <n v="0"/>
    <s v="Centralización recaudaciones febrero 2026 #2837 - #2837"/>
    <n v="2192981"/>
    <s v="Activo"/>
    <n v="2192981"/>
    <x v="2"/>
  </r>
  <r>
    <n v="2026"/>
    <n v="2"/>
    <s v="02-02-2026"/>
    <n v="11016"/>
    <s v="1101-04"/>
    <n v="40000"/>
    <n v="0"/>
    <s v="Centralización recaudaciones febrero 2026 #2845 - #2845"/>
    <n v="40000"/>
    <s v="Activo"/>
    <n v="40000"/>
    <x v="2"/>
  </r>
  <r>
    <n v="2026"/>
    <n v="2"/>
    <s v="02-02-2026"/>
    <n v="11020"/>
    <s v="1101-04"/>
    <n v="26000"/>
    <n v="0"/>
    <s v="Centralización recaudaciones febrero 2026 #2849 - #2849"/>
    <n v="26000"/>
    <s v="Activo"/>
    <n v="26000"/>
    <x v="2"/>
  </r>
  <r>
    <n v="2026"/>
    <n v="2"/>
    <s v="02-02-2026"/>
    <n v="11022"/>
    <s v="1101-04"/>
    <n v="189172"/>
    <n v="0"/>
    <s v="Centralización recaudaciones febrero 2026 #2851 - #2851"/>
    <n v="189172"/>
    <s v="Activo"/>
    <n v="189172"/>
    <x v="2"/>
  </r>
  <r>
    <n v="2026"/>
    <n v="2"/>
    <s v="02-02-2026"/>
    <n v="11023"/>
    <s v="1101-04"/>
    <n v="83200"/>
    <n v="0"/>
    <s v="Centralización recaudaciones febrero 2026 #2852 - #2852"/>
    <n v="83200"/>
    <s v="Activo"/>
    <n v="83200"/>
    <x v="2"/>
  </r>
  <r>
    <n v="2026"/>
    <n v="2"/>
    <s v="02-02-2026"/>
    <n v="11024"/>
    <s v="1101-04"/>
    <n v="70710"/>
    <n v="0"/>
    <s v="Centralización recaudaciones febrero 2026 #2853 - #2853"/>
    <n v="70710"/>
    <s v="Activo"/>
    <n v="70710"/>
    <x v="2"/>
  </r>
  <r>
    <n v="2026"/>
    <n v="2"/>
    <s v="02-02-2026"/>
    <n v="11028"/>
    <s v="1101-04"/>
    <n v="30000"/>
    <n v="0"/>
    <s v="Centralización recaudaciones febrero 2026 #2857 - #2857"/>
    <n v="30000"/>
    <s v="Activo"/>
    <n v="30000"/>
    <x v="2"/>
  </r>
  <r>
    <n v="2026"/>
    <n v="2"/>
    <s v="02-02-2026"/>
    <n v="11034"/>
    <s v="1101-04"/>
    <n v="0"/>
    <n v="5000000"/>
    <s v="0765406986 transf. itau 0207015225"/>
    <n v="-5000000"/>
    <s v="Activo"/>
    <n v="-5000000"/>
    <x v="2"/>
  </r>
  <r>
    <n v="2026"/>
    <n v="2"/>
    <s v="02-02-2026"/>
    <n v="11035"/>
    <s v="1101-04"/>
    <n v="0"/>
    <n v="5000000"/>
    <s v="0765406986 transf. itau 0207015225"/>
    <n v="-5000000"/>
    <s v="Activo"/>
    <n v="-5000000"/>
    <x v="2"/>
  </r>
  <r>
    <n v="2026"/>
    <n v="2"/>
    <s v="02-02-2026"/>
    <n v="11037"/>
    <s v="1101-04"/>
    <n v="0"/>
    <n v="2400000"/>
    <s v="0765406986 transf. itau 0207015225"/>
    <n v="-2400000"/>
    <s v="Activo"/>
    <n v="-2400000"/>
    <x v="2"/>
  </r>
  <r>
    <n v="2026"/>
    <n v="2"/>
    <s v="03-02-2026"/>
    <n v="7100"/>
    <s v="1101-04"/>
    <n v="0"/>
    <n v="5494703"/>
    <s v="Pago cuota 837 - tlink spa credito itau 60529874"/>
    <n v="-5494703"/>
    <s v="Activo"/>
    <n v="-5494703"/>
    <x v="2"/>
  </r>
  <r>
    <n v="2026"/>
    <n v="2"/>
    <s v="03-02-2026"/>
    <n v="10501"/>
    <s v="1101-04"/>
    <n v="15020"/>
    <n v="0"/>
    <s v="Centralización recaudaciones febrero 2026 #2330 - #2330"/>
    <n v="15020"/>
    <s v="Activo"/>
    <n v="15020"/>
    <x v="2"/>
  </r>
  <r>
    <n v="2026"/>
    <n v="2"/>
    <s v="03-02-2026"/>
    <n v="10518"/>
    <s v="1101-04"/>
    <n v="386906"/>
    <n v="0"/>
    <s v="Centralización recaudaciones febrero 2026 #2347 - #2347"/>
    <n v="386906"/>
    <s v="Activo"/>
    <n v="386906"/>
    <x v="2"/>
  </r>
  <r>
    <n v="2026"/>
    <n v="2"/>
    <s v="03-02-2026"/>
    <n v="10556"/>
    <s v="1101-04"/>
    <n v="25990"/>
    <n v="0"/>
    <s v="Centralización recaudaciones febrero 2026 #2385 - #2385"/>
    <n v="25990"/>
    <s v="Activo"/>
    <n v="25990"/>
    <x v="2"/>
  </r>
  <r>
    <n v="2026"/>
    <n v="2"/>
    <s v="03-02-2026"/>
    <n v="10559"/>
    <s v="1101-04"/>
    <n v="296114"/>
    <n v="0"/>
    <s v="Centralización recaudaciones febrero 2026 #2388 - #2388"/>
    <n v="296114"/>
    <s v="Activo"/>
    <n v="296114"/>
    <x v="2"/>
  </r>
  <r>
    <n v="2026"/>
    <n v="2"/>
    <s v="03-02-2026"/>
    <n v="10587"/>
    <s v="1101-04"/>
    <n v="21990"/>
    <n v="0"/>
    <s v="Centralización recaudaciones febrero 2026 #2416 - #2416"/>
    <n v="21990"/>
    <s v="Activo"/>
    <n v="21990"/>
    <x v="2"/>
  </r>
  <r>
    <n v="2026"/>
    <n v="2"/>
    <s v="03-02-2026"/>
    <n v="10592"/>
    <s v="1101-04"/>
    <n v="10"/>
    <n v="0"/>
    <s v="Centralización recaudaciones febrero 2026 #2421 - #2421"/>
    <n v="10"/>
    <s v="Activo"/>
    <n v="10"/>
    <x v="2"/>
  </r>
  <r>
    <n v="2026"/>
    <n v="2"/>
    <s v="03-02-2026"/>
    <n v="10596"/>
    <s v="1101-04"/>
    <n v="9560"/>
    <n v="0"/>
    <s v="Centralización recaudaciones febrero 2026 #2425 - #2425"/>
    <n v="9560"/>
    <s v="Activo"/>
    <n v="9560"/>
    <x v="2"/>
  </r>
  <r>
    <n v="2026"/>
    <n v="2"/>
    <s v="03-02-2026"/>
    <n v="10599"/>
    <s v="1101-04"/>
    <n v="21990"/>
    <n v="0"/>
    <s v="Centralización recaudaciones febrero 2026 #2428 - #2428"/>
    <n v="21990"/>
    <s v="Activo"/>
    <n v="21990"/>
    <x v="2"/>
  </r>
  <r>
    <n v="2026"/>
    <n v="2"/>
    <s v="03-02-2026"/>
    <n v="10619"/>
    <s v="1101-04"/>
    <n v="93930"/>
    <n v="0"/>
    <s v="Centralización recaudaciones febrero 2026 #2448 - #2448"/>
    <n v="93930"/>
    <s v="Activo"/>
    <n v="93930"/>
    <x v="2"/>
  </r>
  <r>
    <n v="2026"/>
    <n v="2"/>
    <s v="03-02-2026"/>
    <n v="10634"/>
    <s v="1101-04"/>
    <n v="29980"/>
    <n v="0"/>
    <s v="Centralización recaudaciones febrero 2026 #2463 - #2463"/>
    <n v="29980"/>
    <s v="Activo"/>
    <n v="29980"/>
    <x v="2"/>
  </r>
  <r>
    <n v="2026"/>
    <n v="2"/>
    <s v="03-02-2026"/>
    <n v="10668"/>
    <s v="1101-04"/>
    <n v="27990"/>
    <n v="0"/>
    <s v="Centralización recaudaciones febrero 2026 #2497 - #2497"/>
    <n v="27990"/>
    <s v="Activo"/>
    <n v="27990"/>
    <x v="2"/>
  </r>
  <r>
    <n v="2026"/>
    <n v="2"/>
    <s v="03-02-2026"/>
    <n v="10671"/>
    <s v="1101-04"/>
    <n v="374863"/>
    <n v="0"/>
    <s v="Centralización recaudaciones febrero 2026 #2500 - #2500"/>
    <n v="374863"/>
    <s v="Activo"/>
    <n v="374863"/>
    <x v="2"/>
  </r>
  <r>
    <n v="2026"/>
    <n v="2"/>
    <s v="03-02-2026"/>
    <n v="10681"/>
    <s v="1101-04"/>
    <n v="9990"/>
    <n v="0"/>
    <s v="Centralización recaudaciones febrero 2026 #2510 - #2510"/>
    <n v="9990"/>
    <s v="Activo"/>
    <n v="9990"/>
    <x v="2"/>
  </r>
  <r>
    <n v="2026"/>
    <n v="2"/>
    <s v="03-02-2026"/>
    <n v="10689"/>
    <s v="1101-04"/>
    <n v="21990"/>
    <n v="0"/>
    <s v="Centralización recaudaciones febrero 2026 #2518 - #2518"/>
    <n v="21990"/>
    <s v="Activo"/>
    <n v="21990"/>
    <x v="2"/>
  </r>
  <r>
    <n v="2026"/>
    <n v="2"/>
    <s v="03-02-2026"/>
    <n v="10700"/>
    <s v="1101-04"/>
    <n v="28990"/>
    <n v="0"/>
    <s v="Centralización recaudaciones febrero 2026 #2529 - #2529"/>
    <n v="28990"/>
    <s v="Activo"/>
    <n v="28990"/>
    <x v="2"/>
  </r>
  <r>
    <n v="2026"/>
    <n v="2"/>
    <s v="03-02-2026"/>
    <n v="10707"/>
    <s v="1101-04"/>
    <n v="14990"/>
    <n v="0"/>
    <s v="Centralización recaudaciones febrero 2026 #2536 - #2536"/>
    <n v="14990"/>
    <s v="Activo"/>
    <n v="14990"/>
    <x v="2"/>
  </r>
  <r>
    <n v="2026"/>
    <n v="2"/>
    <s v="03-02-2026"/>
    <n v="10718"/>
    <s v="1101-04"/>
    <n v="40000"/>
    <n v="0"/>
    <s v="Centralización recaudaciones febrero 2026 #2547 - #2547"/>
    <n v="40000"/>
    <s v="Activo"/>
    <n v="40000"/>
    <x v="2"/>
  </r>
  <r>
    <n v="2026"/>
    <n v="2"/>
    <s v="03-02-2026"/>
    <n v="10751"/>
    <s v="1101-04"/>
    <n v="24980"/>
    <n v="0"/>
    <s v="Centralización recaudaciones febrero 2026 #2580 - #2580"/>
    <n v="24980"/>
    <s v="Activo"/>
    <n v="24980"/>
    <x v="2"/>
  </r>
  <r>
    <n v="2026"/>
    <n v="2"/>
    <s v="03-02-2026"/>
    <n v="10753"/>
    <s v="1101-04"/>
    <n v="31990"/>
    <n v="0"/>
    <s v="Centralización recaudaciones febrero 2026 #2582 - #2582"/>
    <n v="31990"/>
    <s v="Activo"/>
    <n v="31990"/>
    <x v="2"/>
  </r>
  <r>
    <n v="2026"/>
    <n v="2"/>
    <s v="03-02-2026"/>
    <n v="10761"/>
    <s v="1101-04"/>
    <n v="38990"/>
    <n v="0"/>
    <s v="Centralización recaudaciones febrero 2026 #2590 - #2590"/>
    <n v="38990"/>
    <s v="Activo"/>
    <n v="38990"/>
    <x v="2"/>
  </r>
  <r>
    <n v="2026"/>
    <n v="2"/>
    <s v="03-02-2026"/>
    <n v="10779"/>
    <s v="1101-04"/>
    <n v="21990"/>
    <n v="0"/>
    <s v="Centralización recaudaciones febrero 2026 #2608 - #2608"/>
    <n v="21990"/>
    <s v="Activo"/>
    <n v="21990"/>
    <x v="2"/>
  </r>
  <r>
    <n v="2026"/>
    <n v="2"/>
    <s v="03-02-2026"/>
    <n v="10787"/>
    <s v="1101-04"/>
    <n v="35980"/>
    <n v="0"/>
    <s v="Centralización recaudaciones febrero 2026 #2616 - #2616"/>
    <n v="35980"/>
    <s v="Activo"/>
    <n v="35980"/>
    <x v="2"/>
  </r>
  <r>
    <n v="2026"/>
    <n v="2"/>
    <s v="03-02-2026"/>
    <n v="10793"/>
    <s v="1101-04"/>
    <n v="29990"/>
    <n v="0"/>
    <s v="Centralización recaudaciones febrero 2026 #2622 - #2622"/>
    <n v="29990"/>
    <s v="Activo"/>
    <n v="29990"/>
    <x v="2"/>
  </r>
  <r>
    <n v="2026"/>
    <n v="2"/>
    <s v="03-02-2026"/>
    <n v="10801"/>
    <s v="1101-04"/>
    <n v="2010"/>
    <n v="0"/>
    <s v="Centralización recaudaciones febrero 2026 #2630 - #2630"/>
    <n v="2010"/>
    <s v="Activo"/>
    <n v="2010"/>
    <x v="2"/>
  </r>
  <r>
    <n v="2026"/>
    <n v="2"/>
    <s v="03-02-2026"/>
    <n v="10803"/>
    <s v="1101-04"/>
    <n v="10020"/>
    <n v="0"/>
    <s v="Centralización recaudaciones febrero 2026 #2632 - #2632"/>
    <n v="10020"/>
    <s v="Activo"/>
    <n v="10020"/>
    <x v="2"/>
  </r>
  <r>
    <n v="2026"/>
    <n v="2"/>
    <s v="03-02-2026"/>
    <n v="10819"/>
    <s v="1101-04"/>
    <n v="15000"/>
    <n v="0"/>
    <s v="Centralización recaudaciones febrero 2026 #2648 - #2648"/>
    <n v="15000"/>
    <s v="Activo"/>
    <n v="15000"/>
    <x v="2"/>
  </r>
  <r>
    <n v="2026"/>
    <n v="2"/>
    <s v="03-02-2026"/>
    <n v="10827"/>
    <s v="1101-04"/>
    <n v="4010"/>
    <n v="0"/>
    <s v="Centralización recaudaciones febrero 2026 #2656 - #2656"/>
    <n v="4010"/>
    <s v="Activo"/>
    <n v="4010"/>
    <x v="2"/>
  </r>
  <r>
    <n v="2026"/>
    <n v="2"/>
    <s v="03-02-2026"/>
    <n v="10842"/>
    <s v="1101-04"/>
    <n v="39990"/>
    <n v="0"/>
    <s v="Centralización recaudaciones febrero 2026 #2671 - #2671"/>
    <n v="39990"/>
    <s v="Activo"/>
    <n v="39990"/>
    <x v="2"/>
  </r>
  <r>
    <n v="2026"/>
    <n v="2"/>
    <s v="03-02-2026"/>
    <n v="10850"/>
    <s v="1101-04"/>
    <n v="24990"/>
    <n v="0"/>
    <s v="Centralización recaudaciones febrero 2026 #2679 - #2679"/>
    <n v="24990"/>
    <s v="Activo"/>
    <n v="24990"/>
    <x v="2"/>
  </r>
  <r>
    <n v="2026"/>
    <n v="2"/>
    <s v="03-02-2026"/>
    <n v="10861"/>
    <s v="1101-04"/>
    <n v="30000"/>
    <n v="0"/>
    <s v="Centralización recaudaciones febrero 2026 #2690 - #2690"/>
    <n v="30000"/>
    <s v="Activo"/>
    <n v="30000"/>
    <x v="2"/>
  </r>
  <r>
    <n v="2026"/>
    <n v="2"/>
    <s v="03-02-2026"/>
    <n v="10872"/>
    <s v="1101-04"/>
    <n v="24990"/>
    <n v="0"/>
    <s v="Centralización recaudaciones febrero 2026 #2701 - #2701"/>
    <n v="24990"/>
    <s v="Activo"/>
    <n v="24990"/>
    <x v="2"/>
  </r>
  <r>
    <n v="2026"/>
    <n v="2"/>
    <s v="03-02-2026"/>
    <n v="10874"/>
    <s v="1101-04"/>
    <n v="29990"/>
    <n v="0"/>
    <s v="Centralización recaudaciones febrero 2026 #2703 - #2703"/>
    <n v="29990"/>
    <s v="Activo"/>
    <n v="29990"/>
    <x v="2"/>
  </r>
  <r>
    <n v="2026"/>
    <n v="2"/>
    <s v="03-02-2026"/>
    <n v="10883"/>
    <s v="1101-04"/>
    <n v="84000"/>
    <n v="0"/>
    <s v="Centralización recaudaciones febrero 2026 #2712 - #2712"/>
    <n v="84000"/>
    <s v="Activo"/>
    <n v="84000"/>
    <x v="2"/>
  </r>
  <r>
    <n v="2026"/>
    <n v="2"/>
    <s v="03-02-2026"/>
    <n v="10990"/>
    <s v="1101-04"/>
    <n v="1070"/>
    <n v="0"/>
    <s v="Centralización recaudaciones febrero 2026 #2819 - #2819"/>
    <n v="1070"/>
    <s v="Activo"/>
    <n v="1070"/>
    <x v="2"/>
  </r>
  <r>
    <n v="2026"/>
    <n v="2"/>
    <s v="03-02-2026"/>
    <n v="10994"/>
    <s v="1101-04"/>
    <n v="34990"/>
    <n v="0"/>
    <s v="Centralización recaudaciones febrero 2026 #2823 - #2823"/>
    <n v="34990"/>
    <s v="Activo"/>
    <n v="34990"/>
    <x v="2"/>
  </r>
  <r>
    <n v="2026"/>
    <n v="2"/>
    <s v="03-02-2026"/>
    <n v="10997"/>
    <s v="1101-04"/>
    <n v="7490"/>
    <n v="0"/>
    <s v="Centralización recaudaciones febrero 2026 #2826 - #2826"/>
    <n v="7490"/>
    <s v="Activo"/>
    <n v="7490"/>
    <x v="2"/>
  </r>
  <r>
    <n v="2026"/>
    <n v="2"/>
    <s v="03-02-2026"/>
    <n v="11003"/>
    <s v="1101-04"/>
    <n v="24990"/>
    <n v="0"/>
    <s v="Centralización recaudaciones febrero 2026 #2832 - #2832"/>
    <n v="24990"/>
    <s v="Activo"/>
    <n v="24990"/>
    <x v="2"/>
  </r>
  <r>
    <n v="2026"/>
    <n v="2"/>
    <s v="03-02-2026"/>
    <n v="11017"/>
    <s v="1101-04"/>
    <n v="21990"/>
    <n v="0"/>
    <s v="Centralización recaudaciones febrero 2026 #2846 - #2846"/>
    <n v="21990"/>
    <s v="Activo"/>
    <n v="21990"/>
    <x v="2"/>
  </r>
  <r>
    <n v="2026"/>
    <n v="2"/>
    <s v="04-02-2026"/>
    <n v="7101"/>
    <s v="1101-04"/>
    <n v="0"/>
    <n v="7542"/>
    <s v="Pago f 7678508 banco itaú chile"/>
    <n v="-7542"/>
    <s v="Activo"/>
    <n v="-7542"/>
    <x v="2"/>
  </r>
  <r>
    <n v="2026"/>
    <n v="2"/>
    <s v="04-02-2026"/>
    <n v="7101"/>
    <s v="1101-04"/>
    <n v="0"/>
    <n v="1433"/>
    <s v="Pago f 7678508 banco itaú chile"/>
    <n v="-1433"/>
    <s v="Activo"/>
    <n v="-1433"/>
    <x v="2"/>
  </r>
  <r>
    <n v="2026"/>
    <n v="2"/>
    <s v="04-02-2026"/>
    <n v="10502"/>
    <s v="1101-04"/>
    <n v="39000"/>
    <n v="0"/>
    <s v="Centralización recaudaciones febrero 2026 #2331 - #2331"/>
    <n v="39000"/>
    <s v="Activo"/>
    <n v="39000"/>
    <x v="2"/>
  </r>
  <r>
    <n v="2026"/>
    <n v="2"/>
    <s v="04-02-2026"/>
    <n v="10509"/>
    <s v="1101-04"/>
    <n v="113503"/>
    <n v="0"/>
    <s v="Centralización recaudaciones febrero 2026 #2338 - #2338"/>
    <n v="113503"/>
    <s v="Activo"/>
    <n v="113503"/>
    <x v="2"/>
  </r>
  <r>
    <n v="2026"/>
    <n v="2"/>
    <s v="04-02-2026"/>
    <n v="10533"/>
    <s v="1101-04"/>
    <n v="40000"/>
    <n v="0"/>
    <s v="Centralización recaudaciones febrero 2026 #2362 - #2362"/>
    <n v="40000"/>
    <s v="Activo"/>
    <n v="40000"/>
    <x v="2"/>
  </r>
  <r>
    <n v="2026"/>
    <n v="2"/>
    <s v="04-02-2026"/>
    <n v="10555"/>
    <s v="1101-04"/>
    <n v="34990"/>
    <n v="0"/>
    <s v="Centralización recaudaciones febrero 2026 #2384 - #2384"/>
    <n v="34990"/>
    <s v="Activo"/>
    <n v="34990"/>
    <x v="2"/>
  </r>
  <r>
    <n v="2026"/>
    <n v="2"/>
    <s v="04-02-2026"/>
    <n v="10557"/>
    <s v="1101-04"/>
    <n v="30000"/>
    <n v="0"/>
    <s v="Centralización recaudaciones febrero 2026 #2386 - #2386"/>
    <n v="30000"/>
    <s v="Activo"/>
    <n v="30000"/>
    <x v="2"/>
  </r>
  <r>
    <n v="2026"/>
    <n v="2"/>
    <s v="04-02-2026"/>
    <n v="10606"/>
    <s v="1101-04"/>
    <n v="32000"/>
    <n v="0"/>
    <s v="Centralización recaudaciones febrero 2026 #2435 - #2435"/>
    <n v="32000"/>
    <s v="Activo"/>
    <n v="32000"/>
    <x v="2"/>
  </r>
  <r>
    <n v="2026"/>
    <n v="2"/>
    <s v="04-02-2026"/>
    <n v="10609"/>
    <s v="1101-04"/>
    <n v="30000"/>
    <n v="0"/>
    <s v="Centralización recaudaciones febrero 2026 #2438 - #2438"/>
    <n v="30000"/>
    <s v="Activo"/>
    <n v="30000"/>
    <x v="2"/>
  </r>
  <r>
    <n v="2026"/>
    <n v="2"/>
    <s v="04-02-2026"/>
    <n v="10705"/>
    <s v="1101-04"/>
    <n v="31990"/>
    <n v="0"/>
    <s v="Centralización recaudaciones febrero 2026 #2534 - #2534"/>
    <n v="31990"/>
    <s v="Activo"/>
    <n v="31990"/>
    <x v="2"/>
  </r>
  <r>
    <n v="2026"/>
    <n v="2"/>
    <s v="04-02-2026"/>
    <n v="10708"/>
    <s v="1101-04"/>
    <n v="1980"/>
    <n v="0"/>
    <s v="Centralización recaudaciones febrero 2026 #2537 - #2537"/>
    <n v="1980"/>
    <s v="Activo"/>
    <n v="1980"/>
    <x v="2"/>
  </r>
  <r>
    <n v="2026"/>
    <n v="2"/>
    <s v="04-02-2026"/>
    <n v="10720"/>
    <s v="1101-04"/>
    <n v="13335"/>
    <n v="0"/>
    <s v="Centralización recaudaciones febrero 2026 #2549 - #2549"/>
    <n v="13335"/>
    <s v="Activo"/>
    <n v="13335"/>
    <x v="2"/>
  </r>
  <r>
    <n v="2026"/>
    <n v="2"/>
    <s v="04-02-2026"/>
    <n v="10723"/>
    <s v="1101-04"/>
    <n v="29990"/>
    <n v="0"/>
    <s v="Centralización recaudaciones febrero 2026 #2552 - #2552"/>
    <n v="29990"/>
    <s v="Activo"/>
    <n v="29990"/>
    <x v="2"/>
  </r>
  <r>
    <n v="2026"/>
    <n v="2"/>
    <s v="04-02-2026"/>
    <n v="10734"/>
    <s v="1101-04"/>
    <n v="20"/>
    <n v="0"/>
    <s v="Centralización recaudaciones febrero 2026 #2563 - #2563"/>
    <n v="20"/>
    <s v="Activo"/>
    <n v="20"/>
    <x v="2"/>
  </r>
  <r>
    <n v="2026"/>
    <n v="2"/>
    <s v="04-02-2026"/>
    <n v="10745"/>
    <s v="1101-04"/>
    <n v="29990"/>
    <n v="0"/>
    <s v="Centralización recaudaciones febrero 2026 #2574 - #2574"/>
    <n v="29990"/>
    <s v="Activo"/>
    <n v="29990"/>
    <x v="2"/>
  </r>
  <r>
    <n v="2026"/>
    <n v="2"/>
    <s v="04-02-2026"/>
    <n v="10754"/>
    <s v="1101-04"/>
    <n v="29990"/>
    <n v="0"/>
    <s v="Centralización recaudaciones febrero 2026 #2583 - #2583"/>
    <n v="29990"/>
    <s v="Activo"/>
    <n v="29990"/>
    <x v="2"/>
  </r>
  <r>
    <n v="2026"/>
    <n v="2"/>
    <s v="04-02-2026"/>
    <n v="10773"/>
    <s v="1101-04"/>
    <n v="34990"/>
    <n v="0"/>
    <s v="Centralización recaudaciones febrero 2026 #2602 - #2602"/>
    <n v="34990"/>
    <s v="Activo"/>
    <n v="34990"/>
    <x v="2"/>
  </r>
  <r>
    <n v="2026"/>
    <n v="2"/>
    <s v="04-02-2026"/>
    <n v="10782"/>
    <s v="1101-04"/>
    <n v="174821"/>
    <n v="0"/>
    <s v="Centralización recaudaciones febrero 2026 #2611 - #2611"/>
    <n v="174821"/>
    <s v="Activo"/>
    <n v="174821"/>
    <x v="2"/>
  </r>
  <r>
    <n v="2026"/>
    <n v="2"/>
    <s v="04-02-2026"/>
    <n v="10798"/>
    <s v="1101-04"/>
    <n v="10000"/>
    <n v="0"/>
    <s v="Centralización recaudaciones febrero 2026 #2627 - #2627"/>
    <n v="10000"/>
    <s v="Activo"/>
    <n v="10000"/>
    <x v="2"/>
  </r>
  <r>
    <n v="2026"/>
    <n v="2"/>
    <s v="04-02-2026"/>
    <n v="10804"/>
    <s v="1101-04"/>
    <n v="62950"/>
    <n v="0"/>
    <s v="Centralización recaudaciones febrero 2026 #2633 - #2633"/>
    <n v="62950"/>
    <s v="Activo"/>
    <n v="62950"/>
    <x v="2"/>
  </r>
  <r>
    <n v="2026"/>
    <n v="2"/>
    <s v="04-02-2026"/>
    <n v="10820"/>
    <s v="1101-04"/>
    <n v="16990"/>
    <n v="0"/>
    <s v="Centralización recaudaciones febrero 2026 #2649 - #2649"/>
    <n v="16990"/>
    <s v="Activo"/>
    <n v="16990"/>
    <x v="2"/>
  </r>
  <r>
    <n v="2026"/>
    <n v="2"/>
    <s v="04-02-2026"/>
    <n v="10828"/>
    <s v="1101-04"/>
    <n v="18980"/>
    <n v="0"/>
    <s v="Centralización recaudaciones febrero 2026 #2657 - #2657"/>
    <n v="18980"/>
    <s v="Activo"/>
    <n v="18980"/>
    <x v="2"/>
  </r>
  <r>
    <n v="2026"/>
    <n v="2"/>
    <s v="04-02-2026"/>
    <n v="10858"/>
    <s v="1101-04"/>
    <n v="113503"/>
    <n v="0"/>
    <s v="Centralización recaudaciones febrero 2026 #2687 - #2687"/>
    <n v="113503"/>
    <s v="Activo"/>
    <n v="113503"/>
    <x v="2"/>
  </r>
  <r>
    <n v="2026"/>
    <n v="2"/>
    <s v="04-02-2026"/>
    <n v="10865"/>
    <s v="1101-04"/>
    <n v="50000"/>
    <n v="0"/>
    <s v="Centralización recaudaciones febrero 2026 #2694 - #2694"/>
    <n v="50000"/>
    <s v="Activo"/>
    <n v="50000"/>
    <x v="2"/>
  </r>
  <r>
    <n v="2026"/>
    <n v="2"/>
    <s v="04-02-2026"/>
    <n v="10866"/>
    <s v="1101-04"/>
    <n v="39990"/>
    <n v="0"/>
    <s v="Centralización recaudaciones febrero 2026 #2695 - #2695"/>
    <n v="39990"/>
    <s v="Activo"/>
    <n v="39990"/>
    <x v="2"/>
  </r>
  <r>
    <n v="2026"/>
    <n v="2"/>
    <s v="04-02-2026"/>
    <n v="10877"/>
    <s v="1101-04"/>
    <n v="60000"/>
    <n v="0"/>
    <s v="Centralización recaudaciones febrero 2026 #2706 - #2706"/>
    <n v="60000"/>
    <s v="Activo"/>
    <n v="60000"/>
    <x v="2"/>
  </r>
  <r>
    <n v="2026"/>
    <n v="2"/>
    <s v="04-02-2026"/>
    <n v="10890"/>
    <s v="1101-04"/>
    <n v="178970"/>
    <n v="0"/>
    <s v="Centralización recaudaciones febrero 2026 #2719 - #2719"/>
    <n v="178970"/>
    <s v="Activo"/>
    <n v="178970"/>
    <x v="2"/>
  </r>
  <r>
    <n v="2026"/>
    <n v="2"/>
    <s v="04-02-2026"/>
    <n v="10894"/>
    <s v="1101-04"/>
    <n v="32990"/>
    <n v="0"/>
    <s v="Centralización recaudaciones febrero 2026 #2723 - #2723"/>
    <n v="32990"/>
    <s v="Activo"/>
    <n v="32990"/>
    <x v="2"/>
  </r>
  <r>
    <n v="2026"/>
    <n v="2"/>
    <s v="04-02-2026"/>
    <n v="10896"/>
    <s v="1101-04"/>
    <n v="27990"/>
    <n v="0"/>
    <s v="Centralización recaudaciones febrero 2026 #2725 - #2725"/>
    <n v="27990"/>
    <s v="Activo"/>
    <n v="27990"/>
    <x v="2"/>
  </r>
  <r>
    <n v="2026"/>
    <n v="2"/>
    <s v="04-02-2026"/>
    <n v="10903"/>
    <s v="1101-04"/>
    <n v="26970"/>
    <n v="0"/>
    <s v="Centralización recaudaciones febrero 2026 #2732 - #2732"/>
    <n v="26970"/>
    <s v="Activo"/>
    <n v="26970"/>
    <x v="2"/>
  </r>
  <r>
    <n v="2026"/>
    <n v="2"/>
    <s v="04-02-2026"/>
    <n v="10920"/>
    <s v="1101-04"/>
    <n v="23255"/>
    <n v="0"/>
    <s v="Centralización recaudaciones febrero 2026 #2749 - #2749"/>
    <n v="23255"/>
    <s v="Activo"/>
    <n v="23255"/>
    <x v="2"/>
  </r>
  <r>
    <n v="2026"/>
    <n v="2"/>
    <s v="04-02-2026"/>
    <n v="10925"/>
    <s v="1101-04"/>
    <n v="35000"/>
    <n v="0"/>
    <s v="Centralización recaudaciones febrero 2026 #2754 - #2754"/>
    <n v="35000"/>
    <s v="Activo"/>
    <n v="35000"/>
    <x v="2"/>
  </r>
  <r>
    <n v="2026"/>
    <n v="2"/>
    <s v="05-02-2026"/>
    <n v="10503"/>
    <s v="1101-04"/>
    <n v="3970"/>
    <n v="0"/>
    <s v="Centralización recaudaciones febrero 2026 #2332 - #2332"/>
    <n v="3970"/>
    <s v="Activo"/>
    <n v="3970"/>
    <x v="2"/>
  </r>
  <r>
    <n v="2026"/>
    <n v="2"/>
    <s v="05-02-2026"/>
    <n v="10535"/>
    <s v="1101-04"/>
    <n v="32990"/>
    <n v="0"/>
    <s v="Centralización recaudaciones febrero 2026 #2364 - #2364"/>
    <n v="32990"/>
    <s v="Activo"/>
    <n v="32990"/>
    <x v="2"/>
  </r>
  <r>
    <n v="2026"/>
    <n v="2"/>
    <s v="05-02-2026"/>
    <n v="10549"/>
    <s v="1101-04"/>
    <n v="32990"/>
    <n v="0"/>
    <s v="Centralización recaudaciones febrero 2026 #2378 - #2378"/>
    <n v="32990"/>
    <s v="Activo"/>
    <n v="32990"/>
    <x v="2"/>
  </r>
  <r>
    <n v="2026"/>
    <n v="2"/>
    <s v="05-02-2026"/>
    <n v="10575"/>
    <s v="1101-04"/>
    <n v="29990"/>
    <n v="0"/>
    <s v="Centralización recaudaciones febrero 2026 #2404 - #2404"/>
    <n v="29990"/>
    <s v="Activo"/>
    <n v="29990"/>
    <x v="2"/>
  </r>
  <r>
    <n v="2026"/>
    <n v="2"/>
    <s v="05-02-2026"/>
    <n v="10580"/>
    <s v="1101-04"/>
    <n v="29990"/>
    <n v="0"/>
    <s v="Centralización recaudaciones febrero 2026 #2409 - #2409"/>
    <n v="29990"/>
    <s v="Activo"/>
    <n v="29990"/>
    <x v="2"/>
  </r>
  <r>
    <n v="2026"/>
    <n v="2"/>
    <s v="05-02-2026"/>
    <n v="10589"/>
    <s v="1101-04"/>
    <n v="5425"/>
    <n v="0"/>
    <s v="Centralización recaudaciones febrero 2026 #2418 - #2418"/>
    <n v="5425"/>
    <s v="Activo"/>
    <n v="5425"/>
    <x v="2"/>
  </r>
  <r>
    <n v="2026"/>
    <n v="2"/>
    <s v="05-02-2026"/>
    <n v="10621"/>
    <s v="1101-04"/>
    <n v="90000"/>
    <n v="0"/>
    <s v="Centralización recaudaciones febrero 2026 #2450 - #2450"/>
    <n v="90000"/>
    <s v="Activo"/>
    <n v="90000"/>
    <x v="2"/>
  </r>
  <r>
    <n v="2026"/>
    <n v="2"/>
    <s v="05-02-2026"/>
    <n v="10622"/>
    <s v="1101-04"/>
    <n v="14029"/>
    <n v="0"/>
    <s v="Centralización recaudaciones febrero 2026 #2451 - #2451"/>
    <n v="14029"/>
    <s v="Activo"/>
    <n v="14029"/>
    <x v="2"/>
  </r>
  <r>
    <n v="2026"/>
    <n v="2"/>
    <s v="05-02-2026"/>
    <n v="10663"/>
    <s v="1101-04"/>
    <n v="7000"/>
    <n v="0"/>
    <s v="Centralización recaudaciones febrero 2026 #2492 - #2492"/>
    <n v="7000"/>
    <s v="Activo"/>
    <n v="7000"/>
    <x v="2"/>
  </r>
  <r>
    <n v="2026"/>
    <n v="2"/>
    <s v="05-02-2026"/>
    <n v="10676"/>
    <s v="1101-04"/>
    <n v="30000"/>
    <n v="0"/>
    <s v="Centralización recaudaciones febrero 2026 #2505 - #2505"/>
    <n v="30000"/>
    <s v="Activo"/>
    <n v="30000"/>
    <x v="2"/>
  </r>
  <r>
    <n v="2026"/>
    <n v="2"/>
    <s v="05-02-2026"/>
    <n v="10694"/>
    <s v="1101-04"/>
    <n v="38990"/>
    <n v="0"/>
    <s v="Centralización recaudaciones febrero 2026 #2523 - #2523"/>
    <n v="38990"/>
    <s v="Activo"/>
    <n v="38990"/>
    <x v="2"/>
  </r>
  <r>
    <n v="2026"/>
    <n v="2"/>
    <s v="05-02-2026"/>
    <n v="10709"/>
    <s v="1101-04"/>
    <n v="23020"/>
    <n v="0"/>
    <s v="Centralización recaudaciones febrero 2026 #2538 - #2538"/>
    <n v="23020"/>
    <s v="Activo"/>
    <n v="23020"/>
    <x v="2"/>
  </r>
  <r>
    <n v="2026"/>
    <n v="2"/>
    <s v="05-02-2026"/>
    <n v="10710"/>
    <s v="1101-04"/>
    <n v="4000"/>
    <n v="0"/>
    <s v="Centralización recaudaciones febrero 2026 #2539 - #2539"/>
    <n v="4000"/>
    <s v="Activo"/>
    <n v="4000"/>
    <x v="2"/>
  </r>
  <r>
    <n v="2026"/>
    <n v="2"/>
    <s v="05-02-2026"/>
    <n v="10712"/>
    <s v="1101-04"/>
    <n v="25990"/>
    <n v="0"/>
    <s v="Centralización recaudaciones febrero 2026 #2541 - #2541"/>
    <n v="25990"/>
    <s v="Activo"/>
    <n v="25990"/>
    <x v="2"/>
  </r>
  <r>
    <n v="2026"/>
    <n v="2"/>
    <s v="05-02-2026"/>
    <n v="10721"/>
    <s v="1101-04"/>
    <n v="11655"/>
    <n v="0"/>
    <s v="Centralización recaudaciones febrero 2026 #2550 - #2550"/>
    <n v="11655"/>
    <s v="Activo"/>
    <n v="11655"/>
    <x v="2"/>
  </r>
  <r>
    <n v="2026"/>
    <n v="2"/>
    <s v="05-02-2026"/>
    <n v="10725"/>
    <s v="1101-04"/>
    <n v="7010"/>
    <n v="0"/>
    <s v="Centralización recaudaciones febrero 2026 #2554 - #2554"/>
    <n v="7010"/>
    <s v="Activo"/>
    <n v="7010"/>
    <x v="2"/>
  </r>
  <r>
    <n v="2026"/>
    <n v="2"/>
    <s v="05-02-2026"/>
    <n v="10730"/>
    <s v="1101-04"/>
    <n v="21990"/>
    <n v="0"/>
    <s v="Centralización recaudaciones febrero 2026 #2559 - #2559"/>
    <n v="21990"/>
    <s v="Activo"/>
    <n v="21990"/>
    <x v="2"/>
  </r>
  <r>
    <n v="2026"/>
    <n v="2"/>
    <s v="05-02-2026"/>
    <n v="10743"/>
    <s v="1101-04"/>
    <n v="28000"/>
    <n v="0"/>
    <s v="Centralización recaudaciones febrero 2026 #2572 - #2572"/>
    <n v="28000"/>
    <s v="Activo"/>
    <n v="28000"/>
    <x v="2"/>
  </r>
  <r>
    <n v="2026"/>
    <n v="2"/>
    <s v="05-02-2026"/>
    <n v="10752"/>
    <s v="1101-04"/>
    <n v="31990"/>
    <n v="0"/>
    <s v="Centralización recaudaciones febrero 2026 #2581 - #2581"/>
    <n v="31990"/>
    <s v="Activo"/>
    <n v="31990"/>
    <x v="2"/>
  </r>
  <r>
    <n v="2026"/>
    <n v="2"/>
    <s v="05-02-2026"/>
    <n v="10755"/>
    <s v="1101-04"/>
    <n v="35981"/>
    <n v="0"/>
    <s v="Centralización recaudaciones febrero 2026 #2584 - #2584"/>
    <n v="35981"/>
    <s v="Activo"/>
    <n v="35981"/>
    <x v="2"/>
  </r>
  <r>
    <n v="2026"/>
    <n v="2"/>
    <s v="05-02-2026"/>
    <n v="10760"/>
    <s v="1101-04"/>
    <n v="24990"/>
    <n v="0"/>
    <s v="Centralización recaudaciones febrero 2026 #2589 - #2589"/>
    <n v="24990"/>
    <s v="Activo"/>
    <n v="24990"/>
    <x v="2"/>
  </r>
  <r>
    <n v="2026"/>
    <n v="2"/>
    <s v="05-02-2026"/>
    <n v="10762"/>
    <s v="1101-04"/>
    <n v="52990"/>
    <n v="0"/>
    <s v="Centralización recaudaciones febrero 2026 #2591 - #2591"/>
    <n v="52990"/>
    <s v="Activo"/>
    <n v="52990"/>
    <x v="2"/>
  </r>
  <r>
    <n v="2026"/>
    <n v="2"/>
    <s v="05-02-2026"/>
    <n v="10763"/>
    <s v="1101-04"/>
    <n v="29990"/>
    <n v="0"/>
    <s v="Centralización recaudaciones febrero 2026 #2592 - #2592"/>
    <n v="29990"/>
    <s v="Activo"/>
    <n v="29990"/>
    <x v="2"/>
  </r>
  <r>
    <n v="2026"/>
    <n v="2"/>
    <s v="05-02-2026"/>
    <n v="10778"/>
    <s v="1101-04"/>
    <n v="24990"/>
    <n v="0"/>
    <s v="Centralización recaudaciones febrero 2026 #2607 - #2607"/>
    <n v="24990"/>
    <s v="Activo"/>
    <n v="24990"/>
    <x v="2"/>
  </r>
  <r>
    <n v="2026"/>
    <n v="2"/>
    <s v="05-02-2026"/>
    <n v="10781"/>
    <s v="1101-04"/>
    <n v="21990"/>
    <n v="0"/>
    <s v="Centralización recaudaciones febrero 2026 #2610 - #2610"/>
    <n v="21990"/>
    <s v="Activo"/>
    <n v="21990"/>
    <x v="2"/>
  </r>
  <r>
    <n v="2026"/>
    <n v="2"/>
    <s v="05-02-2026"/>
    <n v="10789"/>
    <s v="1101-04"/>
    <n v="57990"/>
    <n v="0"/>
    <s v="Centralización recaudaciones febrero 2026 #2618 - #2618"/>
    <n v="57990"/>
    <s v="Activo"/>
    <n v="57990"/>
    <x v="2"/>
  </r>
  <r>
    <n v="2026"/>
    <n v="2"/>
    <s v="05-02-2026"/>
    <n v="10802"/>
    <s v="1101-04"/>
    <n v="22980"/>
    <n v="0"/>
    <s v="Centralización recaudaciones febrero 2026 #2631 - #2631"/>
    <n v="22980"/>
    <s v="Activo"/>
    <n v="22980"/>
    <x v="2"/>
  </r>
  <r>
    <n v="2026"/>
    <n v="2"/>
    <s v="05-02-2026"/>
    <n v="10805"/>
    <s v="1101-04"/>
    <n v="9300"/>
    <n v="0"/>
    <s v="Centralización recaudaciones febrero 2026 #2634 - #2634"/>
    <n v="9300"/>
    <s v="Activo"/>
    <n v="9300"/>
    <x v="2"/>
  </r>
  <r>
    <n v="2026"/>
    <n v="2"/>
    <s v="05-02-2026"/>
    <n v="10818"/>
    <s v="1101-04"/>
    <n v="24990"/>
    <n v="0"/>
    <s v="Centralización recaudaciones febrero 2026 #2647 - #2647"/>
    <n v="24990"/>
    <s v="Activo"/>
    <n v="24990"/>
    <x v="2"/>
  </r>
  <r>
    <n v="2026"/>
    <n v="2"/>
    <s v="05-02-2026"/>
    <n v="10825"/>
    <s v="1101-04"/>
    <n v="42990"/>
    <n v="0"/>
    <s v="Centralización recaudaciones febrero 2026 #2654 - #2654"/>
    <n v="42990"/>
    <s v="Activo"/>
    <n v="42990"/>
    <x v="2"/>
  </r>
  <r>
    <n v="2026"/>
    <n v="2"/>
    <s v="05-02-2026"/>
    <n v="10834"/>
    <s v="1101-04"/>
    <n v="24990"/>
    <n v="0"/>
    <s v="Centralización recaudaciones febrero 2026 #2663 - #2663"/>
    <n v="24990"/>
    <s v="Activo"/>
    <n v="24990"/>
    <x v="2"/>
  </r>
  <r>
    <n v="2026"/>
    <n v="2"/>
    <s v="05-02-2026"/>
    <n v="10855"/>
    <s v="1101-04"/>
    <n v="44990"/>
    <n v="0"/>
    <s v="Centralización recaudaciones febrero 2026 #2684 - #2684"/>
    <n v="44990"/>
    <s v="Activo"/>
    <n v="44990"/>
    <x v="2"/>
  </r>
  <r>
    <n v="2026"/>
    <n v="2"/>
    <s v="05-02-2026"/>
    <n v="10862"/>
    <s v="1101-04"/>
    <n v="30000"/>
    <n v="0"/>
    <s v="Centralización recaudaciones febrero 2026 #2691 - #2691"/>
    <n v="30000"/>
    <s v="Activo"/>
    <n v="30000"/>
    <x v="2"/>
  </r>
  <r>
    <n v="2026"/>
    <n v="2"/>
    <s v="05-02-2026"/>
    <n v="10875"/>
    <s v="1101-04"/>
    <n v="24990"/>
    <n v="0"/>
    <s v="Centralización recaudaciones febrero 2026 #2704 - #2704"/>
    <n v="24990"/>
    <s v="Activo"/>
    <n v="24990"/>
    <x v="2"/>
  </r>
  <r>
    <n v="2026"/>
    <n v="2"/>
    <s v="05-02-2026"/>
    <n v="10881"/>
    <s v="1101-04"/>
    <n v="28990"/>
    <n v="0"/>
    <s v="Centralización recaudaciones febrero 2026 #2710 - #2710"/>
    <n v="28990"/>
    <s v="Activo"/>
    <n v="28990"/>
    <x v="2"/>
  </r>
  <r>
    <n v="2026"/>
    <n v="2"/>
    <s v="05-02-2026"/>
    <n v="10882"/>
    <s v="1101-04"/>
    <n v="803980"/>
    <n v="0"/>
    <s v="Centralización recaudaciones febrero 2026 #2711 - #2711"/>
    <n v="803980"/>
    <s v="Activo"/>
    <n v="803980"/>
    <x v="2"/>
  </r>
  <r>
    <n v="2026"/>
    <n v="2"/>
    <s v="05-02-2026"/>
    <n v="10907"/>
    <s v="1101-04"/>
    <n v="10"/>
    <n v="0"/>
    <s v="Centralización recaudaciones febrero 2026 #2736 - #2736"/>
    <n v="10"/>
    <s v="Activo"/>
    <n v="10"/>
    <x v="2"/>
  </r>
  <r>
    <n v="2026"/>
    <n v="2"/>
    <s v="05-02-2026"/>
    <n v="10940"/>
    <s v="1101-04"/>
    <n v="24990"/>
    <n v="0"/>
    <s v="Centralización recaudaciones febrero 2026 #2769 - #2769"/>
    <n v="24990"/>
    <s v="Activo"/>
    <n v="24990"/>
    <x v="2"/>
  </r>
  <r>
    <n v="2026"/>
    <n v="2"/>
    <s v="05-02-2026"/>
    <n v="10982"/>
    <s v="1101-04"/>
    <n v="21990"/>
    <n v="0"/>
    <s v="Centralización recaudaciones febrero 2026 #2811 - #2811"/>
    <n v="21990"/>
    <s v="Activo"/>
    <n v="21990"/>
    <x v="2"/>
  </r>
  <r>
    <n v="2026"/>
    <n v="2"/>
    <s v="05-02-2026"/>
    <n v="11009"/>
    <s v="1101-04"/>
    <n v="28990"/>
    <n v="0"/>
    <s v="Centralización recaudaciones febrero 2026 #2838 - #2838"/>
    <n v="28990"/>
    <s v="Activo"/>
    <n v="28990"/>
    <x v="2"/>
  </r>
  <r>
    <n v="2026"/>
    <n v="2"/>
    <s v="05-02-2026"/>
    <n v="11021"/>
    <s v="1101-04"/>
    <n v="35700"/>
    <n v="0"/>
    <s v="Centralización recaudaciones febrero 2026 #2850 - #2850"/>
    <n v="35700"/>
    <s v="Activo"/>
    <n v="35700"/>
    <x v="2"/>
  </r>
  <r>
    <n v="2026"/>
    <n v="2"/>
    <s v="05-02-2026"/>
    <n v="11043"/>
    <s v="1101-04"/>
    <n v="0"/>
    <n v="3000000"/>
    <s v="0765406986 transf. itau 0207015225"/>
    <n v="-3000000"/>
    <s v="Activo"/>
    <n v="-3000000"/>
    <x v="2"/>
  </r>
  <r>
    <n v="2026"/>
    <n v="2"/>
    <s v="06-02-2026"/>
    <n v="10522"/>
    <s v="1101-04"/>
    <n v="29990"/>
    <n v="0"/>
    <s v="Centralización recaudaciones febrero 2026 #2351 - #2351"/>
    <n v="29990"/>
    <s v="Activo"/>
    <n v="29990"/>
    <x v="2"/>
  </r>
  <r>
    <n v="2026"/>
    <n v="2"/>
    <s v="06-02-2026"/>
    <n v="10537"/>
    <s v="1101-04"/>
    <n v="40000"/>
    <n v="0"/>
    <s v="Centralización recaudaciones febrero 2026 #2366 - #2366"/>
    <n v="40000"/>
    <s v="Activo"/>
    <n v="40000"/>
    <x v="2"/>
  </r>
  <r>
    <n v="2026"/>
    <n v="2"/>
    <s v="06-02-2026"/>
    <n v="10630"/>
    <s v="1101-04"/>
    <n v="30000"/>
    <n v="0"/>
    <s v="Centralización recaudaciones febrero 2026 #2459 - #2459"/>
    <n v="30000"/>
    <s v="Activo"/>
    <n v="30000"/>
    <x v="2"/>
  </r>
  <r>
    <n v="2026"/>
    <n v="2"/>
    <s v="06-02-2026"/>
    <n v="10641"/>
    <s v="1101-04"/>
    <n v="59990"/>
    <n v="0"/>
    <s v="Centralización recaudaciones febrero 2026 #2470 - #2470"/>
    <n v="59990"/>
    <s v="Activo"/>
    <n v="59990"/>
    <x v="2"/>
  </r>
  <r>
    <n v="2026"/>
    <n v="2"/>
    <s v="06-02-2026"/>
    <n v="10664"/>
    <s v="1101-04"/>
    <n v="8490"/>
    <n v="0"/>
    <s v="Centralización recaudaciones febrero 2026 #2493 - #2493"/>
    <n v="8490"/>
    <s v="Activo"/>
    <n v="8490"/>
    <x v="2"/>
  </r>
  <r>
    <n v="2026"/>
    <n v="2"/>
    <s v="06-02-2026"/>
    <n v="10666"/>
    <s v="1101-04"/>
    <n v="2028337"/>
    <n v="0"/>
    <s v="Centralización recaudaciones febrero 2026 #2495 - #2495"/>
    <n v="2028337"/>
    <s v="Activo"/>
    <n v="2028337"/>
    <x v="2"/>
  </r>
  <r>
    <n v="2026"/>
    <n v="2"/>
    <s v="06-02-2026"/>
    <n v="10677"/>
    <s v="1101-04"/>
    <n v="6990"/>
    <n v="0"/>
    <s v="Centralización recaudaciones febrero 2026 #2506 - #2506"/>
    <n v="6990"/>
    <s v="Activo"/>
    <n v="6990"/>
    <x v="2"/>
  </r>
  <r>
    <n v="2026"/>
    <n v="2"/>
    <s v="06-02-2026"/>
    <n v="10784"/>
    <s v="1101-04"/>
    <n v="28990"/>
    <n v="0"/>
    <s v="Centralización recaudaciones febrero 2026 #2613 - #2613"/>
    <n v="28990"/>
    <s v="Activo"/>
    <n v="28990"/>
    <x v="2"/>
  </r>
  <r>
    <n v="2026"/>
    <n v="2"/>
    <s v="06-02-2026"/>
    <n v="10807"/>
    <s v="1101-04"/>
    <n v="40000"/>
    <n v="0"/>
    <s v="Centralización recaudaciones febrero 2026 #2636 - #2636"/>
    <n v="40000"/>
    <s v="Activo"/>
    <n v="40000"/>
    <x v="2"/>
  </r>
  <r>
    <n v="2026"/>
    <n v="2"/>
    <s v="06-02-2026"/>
    <n v="10811"/>
    <s v="1101-04"/>
    <n v="112729"/>
    <n v="0"/>
    <s v="Centralización recaudaciones febrero 2026 #2640 - #2640"/>
    <n v="112729"/>
    <s v="Activo"/>
    <n v="112729"/>
    <x v="2"/>
  </r>
  <r>
    <n v="2026"/>
    <n v="2"/>
    <s v="06-02-2026"/>
    <n v="10863"/>
    <s v="1101-04"/>
    <n v="940"/>
    <n v="0"/>
    <s v="Centralización recaudaciones febrero 2026 #2692 - #2692"/>
    <n v="940"/>
    <s v="Activo"/>
    <n v="940"/>
    <x v="2"/>
  </r>
  <r>
    <n v="2026"/>
    <n v="2"/>
    <s v="06-02-2026"/>
    <n v="10886"/>
    <s v="1101-04"/>
    <n v="51000"/>
    <n v="0"/>
    <s v="Centralización recaudaciones febrero 2026 #2715 - #2715"/>
    <n v="51000"/>
    <s v="Activo"/>
    <n v="51000"/>
    <x v="2"/>
  </r>
  <r>
    <n v="2026"/>
    <n v="2"/>
    <s v="06-02-2026"/>
    <n v="10892"/>
    <s v="1101-04"/>
    <n v="4010"/>
    <n v="0"/>
    <s v="Centralización recaudaciones febrero 2026 #2721 - #2721"/>
    <n v="4010"/>
    <s v="Activo"/>
    <n v="4010"/>
    <x v="2"/>
  </r>
  <r>
    <n v="2026"/>
    <n v="2"/>
    <s v="06-02-2026"/>
    <n v="10901"/>
    <s v="1101-04"/>
    <n v="29990"/>
    <n v="0"/>
    <s v="Centralización recaudaciones febrero 2026 #2730 - #2730"/>
    <n v="29990"/>
    <s v="Activo"/>
    <n v="29990"/>
    <x v="2"/>
  </r>
  <r>
    <n v="2026"/>
    <n v="2"/>
    <s v="06-02-2026"/>
    <n v="10970"/>
    <s v="1101-04"/>
    <n v="28990"/>
    <n v="0"/>
    <s v="Centralización recaudaciones febrero 2026 #2799 - #2799"/>
    <n v="28990"/>
    <s v="Activo"/>
    <n v="28990"/>
    <x v="2"/>
  </r>
  <r>
    <n v="2026"/>
    <n v="2"/>
    <s v="06-02-2026"/>
    <n v="10974"/>
    <s v="1101-04"/>
    <n v="31010"/>
    <n v="0"/>
    <s v="Centralización recaudaciones febrero 2026 #2803 - #2803"/>
    <n v="31010"/>
    <s v="Activo"/>
    <n v="31010"/>
    <x v="2"/>
  </r>
  <r>
    <n v="2026"/>
    <n v="2"/>
    <s v="06-02-2026"/>
    <n v="11012"/>
    <s v="1101-04"/>
    <n v="30000"/>
    <n v="0"/>
    <s v="Centralización recaudaciones febrero 2026 #2841 - #2841"/>
    <n v="30000"/>
    <s v="Activo"/>
    <n v="30000"/>
    <x v="2"/>
  </r>
  <r>
    <n v="2026"/>
    <n v="2"/>
    <s v="09-02-2026"/>
    <n v="10496"/>
    <s v="1101-04"/>
    <n v="24990"/>
    <n v="0"/>
    <s v="Centralización recaudaciones febrero 2026 #2325 - #2325"/>
    <n v="24990"/>
    <s v="Activo"/>
    <n v="24990"/>
    <x v="2"/>
  </r>
  <r>
    <n v="2026"/>
    <n v="2"/>
    <s v="09-02-2026"/>
    <n v="10505"/>
    <s v="1101-04"/>
    <n v="244900"/>
    <n v="0"/>
    <s v="Centralización recaudaciones febrero 2026 #2334 - #2334"/>
    <n v="244900"/>
    <s v="Activo"/>
    <n v="244900"/>
    <x v="2"/>
  </r>
  <r>
    <n v="2026"/>
    <n v="2"/>
    <s v="09-02-2026"/>
    <n v="10548"/>
    <s v="1101-04"/>
    <n v="28990"/>
    <n v="0"/>
    <s v="Centralización recaudaciones febrero 2026 #2377 - #2377"/>
    <n v="28990"/>
    <s v="Activo"/>
    <n v="28990"/>
    <x v="2"/>
  </r>
  <r>
    <n v="2026"/>
    <n v="2"/>
    <s v="09-02-2026"/>
    <n v="10564"/>
    <s v="1101-04"/>
    <n v="6020"/>
    <n v="0"/>
    <s v="Centralización recaudaciones febrero 2026 #2393 - #2393"/>
    <n v="6020"/>
    <s v="Activo"/>
    <n v="6020"/>
    <x v="2"/>
  </r>
  <r>
    <n v="2026"/>
    <n v="2"/>
    <s v="09-02-2026"/>
    <n v="10576"/>
    <s v="1101-04"/>
    <n v="497196"/>
    <n v="0"/>
    <s v="Centralización recaudaciones febrero 2026 #2405 - #2405"/>
    <n v="497196"/>
    <s v="Activo"/>
    <n v="497196"/>
    <x v="2"/>
  </r>
  <r>
    <n v="2026"/>
    <n v="2"/>
    <s v="09-02-2026"/>
    <n v="10590"/>
    <s v="1101-04"/>
    <n v="26565"/>
    <n v="0"/>
    <s v="Centralización recaudaciones febrero 2026 #2419 - #2419"/>
    <n v="26565"/>
    <s v="Activo"/>
    <n v="26565"/>
    <x v="2"/>
  </r>
  <r>
    <n v="2026"/>
    <n v="2"/>
    <s v="09-02-2026"/>
    <n v="10597"/>
    <s v="1101-04"/>
    <n v="5010"/>
    <n v="0"/>
    <s v="Centralización recaudaciones febrero 2026 #2426 - #2426"/>
    <n v="5010"/>
    <s v="Activo"/>
    <n v="5010"/>
    <x v="2"/>
  </r>
  <r>
    <n v="2026"/>
    <n v="2"/>
    <s v="09-02-2026"/>
    <n v="10631"/>
    <s v="1101-04"/>
    <n v="34000"/>
    <n v="0"/>
    <s v="Centralización recaudaciones febrero 2026 #2460 - #2460"/>
    <n v="34000"/>
    <s v="Activo"/>
    <n v="34000"/>
    <x v="2"/>
  </r>
  <r>
    <n v="2026"/>
    <n v="2"/>
    <s v="09-02-2026"/>
    <n v="10665"/>
    <s v="1101-04"/>
    <n v="8520"/>
    <n v="0"/>
    <s v="Centralización recaudaciones febrero 2026 #2494 - #2494"/>
    <n v="8520"/>
    <s v="Activo"/>
    <n v="8520"/>
    <x v="2"/>
  </r>
  <r>
    <n v="2026"/>
    <n v="2"/>
    <s v="09-02-2026"/>
    <n v="10684"/>
    <s v="1101-04"/>
    <n v="11010"/>
    <n v="0"/>
    <s v="Centralización recaudaciones febrero 2026 #2513 - #2513"/>
    <n v="11010"/>
    <s v="Activo"/>
    <n v="11010"/>
    <x v="2"/>
  </r>
  <r>
    <n v="2026"/>
    <n v="2"/>
    <s v="09-02-2026"/>
    <n v="10711"/>
    <s v="1101-04"/>
    <n v="21990"/>
    <n v="0"/>
    <s v="Centralización recaudaciones febrero 2026 #2540 - #2540"/>
    <n v="21990"/>
    <s v="Activo"/>
    <n v="21990"/>
    <x v="2"/>
  </r>
  <r>
    <n v="2026"/>
    <n v="2"/>
    <s v="09-02-2026"/>
    <n v="10748"/>
    <s v="1101-04"/>
    <n v="40958"/>
    <n v="0"/>
    <s v="Centralización recaudaciones febrero 2026 #2577 - #2577"/>
    <n v="40958"/>
    <s v="Activo"/>
    <n v="40958"/>
    <x v="2"/>
  </r>
  <r>
    <n v="2026"/>
    <n v="2"/>
    <s v="09-02-2026"/>
    <n v="10749"/>
    <s v="1101-04"/>
    <n v="29980"/>
    <n v="0"/>
    <s v="Centralización recaudaciones febrero 2026 #2578 - #2578"/>
    <n v="29980"/>
    <s v="Activo"/>
    <n v="29980"/>
    <x v="2"/>
  </r>
  <r>
    <n v="2026"/>
    <n v="2"/>
    <s v="09-02-2026"/>
    <n v="10799"/>
    <s v="1101-04"/>
    <n v="30000"/>
    <n v="0"/>
    <s v="Centralización recaudaciones febrero 2026 #2628 - #2628"/>
    <n v="30000"/>
    <s v="Activo"/>
    <n v="30000"/>
    <x v="2"/>
  </r>
  <r>
    <n v="2026"/>
    <n v="2"/>
    <s v="09-02-2026"/>
    <n v="10808"/>
    <s v="1101-04"/>
    <n v="3970"/>
    <n v="0"/>
    <s v="Centralización recaudaciones febrero 2026 #2637 - #2637"/>
    <n v="3970"/>
    <s v="Activo"/>
    <n v="3970"/>
    <x v="2"/>
  </r>
  <r>
    <n v="2026"/>
    <n v="2"/>
    <s v="09-02-2026"/>
    <n v="10812"/>
    <s v="1101-04"/>
    <n v="774"/>
    <n v="0"/>
    <s v="Centralización recaudaciones febrero 2026 #2641 - #2641"/>
    <n v="774"/>
    <s v="Activo"/>
    <n v="774"/>
    <x v="2"/>
  </r>
  <r>
    <n v="2026"/>
    <n v="2"/>
    <s v="09-02-2026"/>
    <n v="10814"/>
    <s v="1101-04"/>
    <n v="3263"/>
    <n v="0"/>
    <s v="Centralización recaudaciones febrero 2026 #2643 - #2643"/>
    <n v="3263"/>
    <s v="Activo"/>
    <n v="3263"/>
    <x v="2"/>
  </r>
  <r>
    <n v="2026"/>
    <n v="2"/>
    <s v="09-02-2026"/>
    <n v="10887"/>
    <s v="1101-04"/>
    <n v="19970"/>
    <n v="0"/>
    <s v="Centralización recaudaciones febrero 2026 #2716 - #2716"/>
    <n v="19970"/>
    <s v="Activo"/>
    <n v="19970"/>
    <x v="2"/>
  </r>
  <r>
    <n v="2026"/>
    <n v="2"/>
    <s v="09-02-2026"/>
    <n v="10946"/>
    <s v="1101-04"/>
    <n v="32990"/>
    <n v="0"/>
    <s v="Centralización recaudaciones febrero 2026 #2775 - #2775"/>
    <n v="32990"/>
    <s v="Activo"/>
    <n v="32990"/>
    <x v="2"/>
  </r>
  <r>
    <n v="2026"/>
    <n v="2"/>
    <s v="09-02-2026"/>
    <n v="10955"/>
    <s v="1101-04"/>
    <n v="39990"/>
    <n v="0"/>
    <s v="Centralización recaudaciones febrero 2026 #2784 - #2784"/>
    <n v="39990"/>
    <s v="Activo"/>
    <n v="39990"/>
    <x v="2"/>
  </r>
  <r>
    <n v="2026"/>
    <n v="2"/>
    <s v="09-02-2026"/>
    <n v="10972"/>
    <s v="1101-04"/>
    <n v="49960"/>
    <n v="0"/>
    <s v="Centralización recaudaciones febrero 2026 #2801 - #2801"/>
    <n v="49960"/>
    <s v="Activo"/>
    <n v="49960"/>
    <x v="2"/>
  </r>
  <r>
    <n v="2026"/>
    <n v="2"/>
    <s v="09-02-2026"/>
    <n v="10975"/>
    <s v="1101-04"/>
    <n v="1970"/>
    <n v="0"/>
    <s v="Centralización recaudaciones febrero 2026 #2804 - #2804"/>
    <n v="1970"/>
    <s v="Activo"/>
    <n v="1970"/>
    <x v="2"/>
  </r>
  <r>
    <n v="2026"/>
    <n v="2"/>
    <s v="09-02-2026"/>
    <n v="10984"/>
    <s v="1101-04"/>
    <n v="51980"/>
    <n v="0"/>
    <s v="Centralización recaudaciones febrero 2026 #2813 - #2813"/>
    <n v="51980"/>
    <s v="Activo"/>
    <n v="51980"/>
    <x v="2"/>
  </r>
  <r>
    <n v="2026"/>
    <n v="2"/>
    <s v="09-02-2026"/>
    <n v="11013"/>
    <s v="1101-04"/>
    <n v="1970"/>
    <n v="0"/>
    <s v="Centralización recaudaciones febrero 2026 #2842 - #2842"/>
    <n v="1970"/>
    <s v="Activo"/>
    <n v="1970"/>
    <x v="2"/>
  </r>
  <r>
    <n v="2026"/>
    <n v="2"/>
    <s v="09-02-2026"/>
    <n v="11019"/>
    <s v="1101-04"/>
    <n v="24990"/>
    <n v="0"/>
    <s v="Centralización recaudaciones febrero 2026 #2848 - #2848"/>
    <n v="24990"/>
    <s v="Activo"/>
    <n v="24990"/>
    <x v="2"/>
  </r>
  <r>
    <n v="2026"/>
    <n v="2"/>
    <s v="10-02-2026"/>
    <n v="10526"/>
    <s v="1101-04"/>
    <n v="3590"/>
    <n v="0"/>
    <s v="Centralización recaudaciones febrero 2026 #2355 - #2355"/>
    <n v="3590"/>
    <s v="Activo"/>
    <n v="3590"/>
    <x v="2"/>
  </r>
  <r>
    <n v="2026"/>
    <n v="2"/>
    <s v="10-02-2026"/>
    <n v="10584"/>
    <s v="1101-04"/>
    <n v="21990"/>
    <n v="0"/>
    <s v="Centralización recaudaciones febrero 2026 #2413 - #2413"/>
    <n v="21990"/>
    <s v="Activo"/>
    <n v="21990"/>
    <x v="2"/>
  </r>
  <r>
    <n v="2026"/>
    <n v="2"/>
    <s v="10-02-2026"/>
    <n v="10598"/>
    <s v="1101-04"/>
    <n v="14420"/>
    <n v="0"/>
    <s v="Centralización recaudaciones febrero 2026 #2427 - #2427"/>
    <n v="14420"/>
    <s v="Activo"/>
    <n v="14420"/>
    <x v="2"/>
  </r>
  <r>
    <n v="2026"/>
    <n v="2"/>
    <s v="10-02-2026"/>
    <n v="10823"/>
    <s v="1101-04"/>
    <n v="24990"/>
    <n v="0"/>
    <s v="Centralización recaudaciones febrero 2026 #2652 - #2652"/>
    <n v="24990"/>
    <s v="Activo"/>
    <n v="24990"/>
    <x v="2"/>
  </r>
  <r>
    <n v="2026"/>
    <n v="2"/>
    <s v="10-02-2026"/>
    <n v="10904"/>
    <s v="1101-04"/>
    <n v="14990"/>
    <n v="0"/>
    <s v="Centralización recaudaciones febrero 2026 #2733 - #2733"/>
    <n v="14990"/>
    <s v="Activo"/>
    <n v="14990"/>
    <x v="2"/>
  </r>
  <r>
    <n v="2026"/>
    <n v="2"/>
    <s v="10-02-2026"/>
    <n v="10954"/>
    <s v="1101-04"/>
    <n v="89990"/>
    <n v="0"/>
    <s v="Centralización recaudaciones febrero 2026 #2783 - #2783"/>
    <n v="89990"/>
    <s v="Activo"/>
    <n v="89990"/>
    <x v="2"/>
  </r>
  <r>
    <n v="2026"/>
    <n v="2"/>
    <s v="11-02-2026"/>
    <n v="10497"/>
    <s v="1101-04"/>
    <n v="2000"/>
    <n v="0"/>
    <s v="Centralización recaudaciones febrero 2026 #2326 - #2326"/>
    <n v="2000"/>
    <s v="Activo"/>
    <n v="2000"/>
    <x v="2"/>
  </r>
  <r>
    <n v="2026"/>
    <n v="2"/>
    <s v="11-02-2026"/>
    <n v="10514"/>
    <s v="1101-04"/>
    <n v="29990"/>
    <n v="0"/>
    <s v="Centralización recaudaciones febrero 2026 #2343 - #2343"/>
    <n v="29990"/>
    <s v="Activo"/>
    <n v="29990"/>
    <x v="2"/>
  </r>
  <r>
    <n v="2026"/>
    <n v="2"/>
    <s v="11-02-2026"/>
    <n v="10527"/>
    <s v="1101-04"/>
    <n v="31410"/>
    <n v="0"/>
    <s v="Centralización recaudaciones febrero 2026 #2356 - #2356"/>
    <n v="31410"/>
    <s v="Activo"/>
    <n v="31410"/>
    <x v="2"/>
  </r>
  <r>
    <n v="2026"/>
    <n v="2"/>
    <s v="11-02-2026"/>
    <n v="10546"/>
    <s v="1101-04"/>
    <n v="5010"/>
    <n v="0"/>
    <s v="Centralización recaudaciones febrero 2026 #2375 - #2375"/>
    <n v="5010"/>
    <s v="Activo"/>
    <n v="5010"/>
    <x v="2"/>
  </r>
  <r>
    <n v="2026"/>
    <n v="2"/>
    <s v="11-02-2026"/>
    <n v="10558"/>
    <s v="1101-04"/>
    <n v="28000"/>
    <n v="0"/>
    <s v="Centralización recaudaciones febrero 2026 #2387 - #2387"/>
    <n v="28000"/>
    <s v="Activo"/>
    <n v="28000"/>
    <x v="2"/>
  </r>
  <r>
    <n v="2026"/>
    <n v="2"/>
    <s v="11-02-2026"/>
    <n v="10565"/>
    <s v="1101-04"/>
    <n v="1000"/>
    <n v="0"/>
    <s v="Centralización recaudaciones febrero 2026 #2394 - #2394"/>
    <n v="1000"/>
    <s v="Activo"/>
    <n v="1000"/>
    <x v="2"/>
  </r>
  <r>
    <n v="2026"/>
    <n v="2"/>
    <s v="11-02-2026"/>
    <n v="10573"/>
    <s v="1101-04"/>
    <n v="29990"/>
    <n v="0"/>
    <s v="Centralización recaudaciones febrero 2026 #2402 - #2402"/>
    <n v="29990"/>
    <s v="Activo"/>
    <n v="29990"/>
    <x v="2"/>
  </r>
  <r>
    <n v="2026"/>
    <n v="2"/>
    <s v="11-02-2026"/>
    <n v="10594"/>
    <s v="1101-04"/>
    <n v="35000"/>
    <n v="0"/>
    <s v="Centralización recaudaciones febrero 2026 #2423 - #2423"/>
    <n v="35000"/>
    <s v="Activo"/>
    <n v="35000"/>
    <x v="2"/>
  </r>
  <r>
    <n v="2026"/>
    <n v="2"/>
    <s v="11-02-2026"/>
    <n v="10605"/>
    <s v="1101-04"/>
    <n v="43980"/>
    <n v="0"/>
    <s v="Centralización recaudaciones febrero 2026 #2434 - #2434"/>
    <n v="43980"/>
    <s v="Activo"/>
    <n v="43980"/>
    <x v="2"/>
  </r>
  <r>
    <n v="2026"/>
    <n v="2"/>
    <s v="11-02-2026"/>
    <n v="10617"/>
    <s v="1101-04"/>
    <n v="29990"/>
    <n v="0"/>
    <s v="Centralización recaudaciones febrero 2026 #2446 - #2446"/>
    <n v="29990"/>
    <s v="Activo"/>
    <n v="29990"/>
    <x v="2"/>
  </r>
  <r>
    <n v="2026"/>
    <n v="2"/>
    <s v="11-02-2026"/>
    <n v="10623"/>
    <s v="1101-04"/>
    <n v="25951"/>
    <n v="0"/>
    <s v="Centralización recaudaciones febrero 2026 #2452 - #2452"/>
    <n v="25951"/>
    <s v="Activo"/>
    <n v="25951"/>
    <x v="2"/>
  </r>
  <r>
    <n v="2026"/>
    <n v="2"/>
    <s v="11-02-2026"/>
    <n v="10625"/>
    <s v="1101-04"/>
    <n v="30"/>
    <n v="0"/>
    <s v="Centralización recaudaciones febrero 2026 #2454 - #2454"/>
    <n v="30"/>
    <s v="Activo"/>
    <n v="30"/>
    <x v="2"/>
  </r>
  <r>
    <n v="2026"/>
    <n v="2"/>
    <s v="11-02-2026"/>
    <n v="10635"/>
    <s v="1101-04"/>
    <n v="59990"/>
    <n v="0"/>
    <s v="Centralización recaudaciones febrero 2026 #2464 - #2464"/>
    <n v="59990"/>
    <s v="Activo"/>
    <n v="59990"/>
    <x v="2"/>
  </r>
  <r>
    <n v="2026"/>
    <n v="2"/>
    <s v="11-02-2026"/>
    <n v="10651"/>
    <s v="1101-04"/>
    <n v="44970"/>
    <n v="0"/>
    <s v="Centralización recaudaciones febrero 2026 #2480 - #2480"/>
    <n v="44970"/>
    <s v="Activo"/>
    <n v="44970"/>
    <x v="2"/>
  </r>
  <r>
    <n v="2026"/>
    <n v="2"/>
    <s v="11-02-2026"/>
    <n v="10674"/>
    <s v="1101-04"/>
    <n v="39960"/>
    <n v="0"/>
    <s v="Centralización recaudaciones febrero 2026 #2503 - #2503"/>
    <n v="39960"/>
    <s v="Activo"/>
    <n v="39960"/>
    <x v="2"/>
  </r>
  <r>
    <n v="2026"/>
    <n v="2"/>
    <s v="11-02-2026"/>
    <n v="10686"/>
    <s v="1101-04"/>
    <n v="28990"/>
    <n v="0"/>
    <s v="Centralización recaudaciones febrero 2026 #2515 - #2515"/>
    <n v="28990"/>
    <s v="Activo"/>
    <n v="28990"/>
    <x v="2"/>
  </r>
  <r>
    <n v="2026"/>
    <n v="2"/>
    <s v="11-02-2026"/>
    <n v="10696"/>
    <s v="1101-04"/>
    <n v="30010"/>
    <n v="0"/>
    <s v="Centralización recaudaciones febrero 2026 #2525 - #2525"/>
    <n v="30010"/>
    <s v="Activo"/>
    <n v="30010"/>
    <x v="2"/>
  </r>
  <r>
    <n v="2026"/>
    <n v="2"/>
    <s v="11-02-2026"/>
    <n v="10706"/>
    <s v="1101-04"/>
    <n v="49970"/>
    <n v="0"/>
    <s v="Centralización recaudaciones febrero 2026 #2535 - #2535"/>
    <n v="49970"/>
    <s v="Activo"/>
    <n v="49970"/>
    <x v="2"/>
  </r>
  <r>
    <n v="2026"/>
    <n v="2"/>
    <s v="11-02-2026"/>
    <n v="10728"/>
    <s v="1101-04"/>
    <n v="10000"/>
    <n v="0"/>
    <s v="Centralización recaudaciones febrero 2026 #2557 - #2557"/>
    <n v="10000"/>
    <s v="Activo"/>
    <n v="10000"/>
    <x v="2"/>
  </r>
  <r>
    <n v="2026"/>
    <n v="2"/>
    <s v="11-02-2026"/>
    <n v="10769"/>
    <s v="1101-04"/>
    <n v="3039"/>
    <n v="0"/>
    <s v="Centralización recaudaciones febrero 2026 #2598 - #2598"/>
    <n v="3039"/>
    <s v="Activo"/>
    <n v="3039"/>
    <x v="2"/>
  </r>
  <r>
    <n v="2026"/>
    <n v="2"/>
    <s v="11-02-2026"/>
    <n v="10772"/>
    <s v="1101-04"/>
    <n v="29990"/>
    <n v="0"/>
    <s v="Centralización recaudaciones febrero 2026 #2601 - #2601"/>
    <n v="29990"/>
    <s v="Activo"/>
    <n v="29990"/>
    <x v="2"/>
  </r>
  <r>
    <n v="2026"/>
    <n v="2"/>
    <s v="11-02-2026"/>
    <n v="10774"/>
    <s v="1101-04"/>
    <n v="37990"/>
    <n v="0"/>
    <s v="Centralización recaudaciones febrero 2026 #2603 - #2603"/>
    <n v="37990"/>
    <s v="Activo"/>
    <n v="37990"/>
    <x v="2"/>
  </r>
  <r>
    <n v="2026"/>
    <n v="2"/>
    <s v="11-02-2026"/>
    <n v="10815"/>
    <s v="1101-04"/>
    <n v="21727"/>
    <n v="0"/>
    <s v="Centralización recaudaciones febrero 2026 #2644 - #2644"/>
    <n v="21727"/>
    <s v="Activo"/>
    <n v="21727"/>
    <x v="2"/>
  </r>
  <r>
    <n v="2026"/>
    <n v="2"/>
    <s v="11-02-2026"/>
    <n v="10824"/>
    <s v="1101-04"/>
    <n v="24990"/>
    <n v="0"/>
    <s v="Centralización recaudaciones febrero 2026 #2653 - #2653"/>
    <n v="24990"/>
    <s v="Activo"/>
    <n v="24990"/>
    <x v="2"/>
  </r>
  <r>
    <n v="2026"/>
    <n v="2"/>
    <s v="11-02-2026"/>
    <n v="10826"/>
    <s v="1101-04"/>
    <n v="32989"/>
    <n v="0"/>
    <s v="Centralización recaudaciones febrero 2026 #2655 - #2655"/>
    <n v="32989"/>
    <s v="Activo"/>
    <n v="32989"/>
    <x v="2"/>
  </r>
  <r>
    <n v="2026"/>
    <n v="2"/>
    <s v="11-02-2026"/>
    <n v="10830"/>
    <s v="1101-04"/>
    <n v="21990"/>
    <n v="0"/>
    <s v="Centralización recaudaciones febrero 2026 #2659 - #2659"/>
    <n v="21990"/>
    <s v="Activo"/>
    <n v="21990"/>
    <x v="2"/>
  </r>
  <r>
    <n v="2026"/>
    <n v="2"/>
    <s v="11-02-2026"/>
    <n v="10831"/>
    <s v="1101-04"/>
    <n v="3283"/>
    <n v="0"/>
    <s v="Centralización recaudaciones febrero 2026 #2660 - #2660"/>
    <n v="3283"/>
    <s v="Activo"/>
    <n v="3283"/>
    <x v="2"/>
  </r>
  <r>
    <n v="2026"/>
    <n v="2"/>
    <s v="11-02-2026"/>
    <n v="10836"/>
    <s v="1101-04"/>
    <n v="22990"/>
    <n v="0"/>
    <s v="Centralización recaudaciones febrero 2026 #2665 - #2665"/>
    <n v="22990"/>
    <s v="Activo"/>
    <n v="22990"/>
    <x v="2"/>
  </r>
  <r>
    <n v="2026"/>
    <n v="2"/>
    <s v="11-02-2026"/>
    <n v="10839"/>
    <s v="1101-04"/>
    <n v="9990"/>
    <n v="0"/>
    <s v="Centralización recaudaciones febrero 2026 #2668 - #2668"/>
    <n v="9990"/>
    <s v="Activo"/>
    <n v="9990"/>
    <x v="2"/>
  </r>
  <r>
    <n v="2026"/>
    <n v="2"/>
    <s v="11-02-2026"/>
    <n v="10884"/>
    <s v="1101-04"/>
    <n v="1554071"/>
    <n v="0"/>
    <s v="Centralización recaudaciones febrero 2026 #2713 - #2713"/>
    <n v="1554071"/>
    <s v="Activo"/>
    <n v="1554071"/>
    <x v="2"/>
  </r>
  <r>
    <n v="2026"/>
    <n v="2"/>
    <s v="11-02-2026"/>
    <n v="10893"/>
    <s v="1101-04"/>
    <n v="20980"/>
    <n v="0"/>
    <s v="Centralización recaudaciones febrero 2026 #2722 - #2722"/>
    <n v="20980"/>
    <s v="Activo"/>
    <n v="20980"/>
    <x v="2"/>
  </r>
  <r>
    <n v="2026"/>
    <n v="2"/>
    <s v="11-02-2026"/>
    <n v="10897"/>
    <s v="1101-04"/>
    <n v="3040"/>
    <n v="0"/>
    <s v="Centralización recaudaciones febrero 2026 #2726 - #2726"/>
    <n v="3040"/>
    <s v="Activo"/>
    <n v="3040"/>
    <x v="2"/>
  </r>
  <r>
    <n v="2026"/>
    <n v="2"/>
    <s v="11-02-2026"/>
    <n v="10900"/>
    <s v="1101-04"/>
    <n v="50000"/>
    <n v="0"/>
    <s v="Centralización recaudaciones febrero 2026 #2729 - #2729"/>
    <n v="50000"/>
    <s v="Activo"/>
    <n v="50000"/>
    <x v="2"/>
  </r>
  <r>
    <n v="2026"/>
    <n v="2"/>
    <s v="11-02-2026"/>
    <n v="10905"/>
    <s v="1101-04"/>
    <n v="4678"/>
    <n v="0"/>
    <s v="Centralización recaudaciones febrero 2026 #2734 - #2734"/>
    <n v="4678"/>
    <s v="Activo"/>
    <n v="4678"/>
    <x v="2"/>
  </r>
  <r>
    <n v="2026"/>
    <n v="2"/>
    <s v="11-02-2026"/>
    <n v="10908"/>
    <s v="1101-04"/>
    <n v="2010"/>
    <n v="0"/>
    <s v="Centralización recaudaciones febrero 2026 #2737 - #2737"/>
    <n v="2010"/>
    <s v="Activo"/>
    <n v="2010"/>
    <x v="2"/>
  </r>
  <r>
    <n v="2026"/>
    <n v="2"/>
    <s v="11-02-2026"/>
    <n v="10911"/>
    <s v="1101-04"/>
    <n v="10"/>
    <n v="0"/>
    <s v="Centralización recaudaciones febrero 2026 #2740 - #2740"/>
    <n v="10"/>
    <s v="Activo"/>
    <n v="10"/>
    <x v="2"/>
  </r>
  <r>
    <n v="2026"/>
    <n v="2"/>
    <s v="11-02-2026"/>
    <n v="10915"/>
    <s v="1101-04"/>
    <n v="3124"/>
    <n v="0"/>
    <s v="Centralización recaudaciones febrero 2026 #2744 - #2744"/>
    <n v="3124"/>
    <s v="Activo"/>
    <n v="3124"/>
    <x v="2"/>
  </r>
  <r>
    <n v="2026"/>
    <n v="2"/>
    <s v="11-02-2026"/>
    <n v="10926"/>
    <s v="1101-04"/>
    <n v="32990"/>
    <n v="0"/>
    <s v="Centralización recaudaciones febrero 2026 #2755 - #2755"/>
    <n v="32990"/>
    <s v="Activo"/>
    <n v="32990"/>
    <x v="2"/>
  </r>
  <r>
    <n v="2026"/>
    <n v="2"/>
    <s v="11-02-2026"/>
    <n v="10939"/>
    <s v="1101-04"/>
    <n v="24990"/>
    <n v="0"/>
    <s v="Centralización recaudaciones febrero 2026 #2768 - #2768"/>
    <n v="24990"/>
    <s v="Activo"/>
    <n v="24990"/>
    <x v="2"/>
  </r>
  <r>
    <n v="2026"/>
    <n v="2"/>
    <s v="11-02-2026"/>
    <n v="10942"/>
    <s v="1101-04"/>
    <n v="30000"/>
    <n v="0"/>
    <s v="Centralización recaudaciones febrero 2026 #2771 - #2771"/>
    <n v="30000"/>
    <s v="Activo"/>
    <n v="30000"/>
    <x v="2"/>
  </r>
  <r>
    <n v="2026"/>
    <n v="2"/>
    <s v="11-02-2026"/>
    <n v="10962"/>
    <s v="1101-04"/>
    <n v="25490"/>
    <n v="0"/>
    <s v="Centralización recaudaciones febrero 2026 #2791 - #2791"/>
    <n v="25490"/>
    <s v="Activo"/>
    <n v="25490"/>
    <x v="2"/>
  </r>
  <r>
    <n v="2026"/>
    <n v="2"/>
    <s v="11-02-2026"/>
    <n v="10965"/>
    <s v="1101-04"/>
    <n v="29738"/>
    <n v="0"/>
    <s v="Centralización recaudaciones febrero 2026 #2794 - #2794"/>
    <n v="29738"/>
    <s v="Activo"/>
    <n v="29738"/>
    <x v="2"/>
  </r>
  <r>
    <n v="2026"/>
    <n v="2"/>
    <s v="11-02-2026"/>
    <n v="10980"/>
    <s v="1101-04"/>
    <n v="4960"/>
    <n v="0"/>
    <s v="Centralización recaudaciones febrero 2026 #2809 - #2809"/>
    <n v="4960"/>
    <s v="Activo"/>
    <n v="4960"/>
    <x v="2"/>
  </r>
  <r>
    <n v="2026"/>
    <n v="2"/>
    <s v="11-02-2026"/>
    <n v="10985"/>
    <s v="1101-04"/>
    <n v="24990"/>
    <n v="0"/>
    <s v="Centralización recaudaciones febrero 2026 #2814 - #2814"/>
    <n v="24990"/>
    <s v="Activo"/>
    <n v="24990"/>
    <x v="2"/>
  </r>
  <r>
    <n v="2026"/>
    <n v="2"/>
    <s v="11-02-2026"/>
    <n v="10995"/>
    <s v="1101-04"/>
    <n v="20000"/>
    <n v="0"/>
    <s v="Centralización recaudaciones febrero 2026 #2824 - #2824"/>
    <n v="20000"/>
    <s v="Activo"/>
    <n v="20000"/>
    <x v="2"/>
  </r>
  <r>
    <n v="2026"/>
    <n v="2"/>
    <s v="11-02-2026"/>
    <n v="11004"/>
    <s v="1101-04"/>
    <n v="1990"/>
    <n v="0"/>
    <s v="Centralización recaudaciones febrero 2026 #2833 - #2833"/>
    <n v="1990"/>
    <s v="Activo"/>
    <n v="1990"/>
    <x v="2"/>
  </r>
  <r>
    <n v="2026"/>
    <n v="2"/>
    <s v="11-02-2026"/>
    <n v="11010"/>
    <s v="1101-04"/>
    <n v="24990"/>
    <n v="0"/>
    <s v="Centralización recaudaciones febrero 2026 #2839 - #2839"/>
    <n v="24990"/>
    <s v="Activo"/>
    <n v="24990"/>
    <x v="2"/>
  </r>
  <r>
    <n v="2026"/>
    <n v="2"/>
    <s v="11-02-2026"/>
    <n v="11051"/>
    <s v="1101-04"/>
    <n v="0"/>
    <n v="3000000"/>
    <s v="0765406986 transf. itau 0207015225"/>
    <n v="-3000000"/>
    <s v="Activo"/>
    <n v="-3000000"/>
    <x v="2"/>
  </r>
  <r>
    <n v="2026"/>
    <n v="2"/>
    <s v="11-02-2026"/>
    <n v="11053"/>
    <s v="1101-04"/>
    <n v="0"/>
    <n v="1155462"/>
    <s v="0765406986 transf. itau 0207015225"/>
    <n v="-1155462"/>
    <s v="Activo"/>
    <n v="-1155462"/>
    <x v="2"/>
  </r>
  <r>
    <n v="2026"/>
    <n v="2"/>
    <s v="11-02-2026"/>
    <n v="10595"/>
    <s v="1101-04"/>
    <n v="0"/>
    <n v="3000000"/>
    <s v="Traspaso banco estado cta. cte. 35500021347"/>
    <n v="-3000000"/>
    <s v="Activo"/>
    <n v="-3000000"/>
    <x v="2"/>
  </r>
  <r>
    <n v="2026"/>
    <n v="2"/>
    <s v="12-02-2026"/>
    <n v="10568"/>
    <s v="1101-04"/>
    <n v="21990"/>
    <n v="0"/>
    <s v="Centralización recaudaciones febrero 2026 #2397 - #2397"/>
    <n v="21990"/>
    <s v="Activo"/>
    <n v="21990"/>
    <x v="2"/>
  </r>
  <r>
    <n v="2026"/>
    <n v="2"/>
    <s v="12-02-2026"/>
    <n v="10613"/>
    <s v="1101-04"/>
    <n v="38068"/>
    <n v="0"/>
    <s v="Centralización recaudaciones febrero 2026 #2442 - #2442"/>
    <n v="38068"/>
    <s v="Activo"/>
    <n v="38068"/>
    <x v="2"/>
  </r>
  <r>
    <n v="2026"/>
    <n v="2"/>
    <s v="12-02-2026"/>
    <n v="10650"/>
    <s v="1101-04"/>
    <n v="21990"/>
    <n v="0"/>
    <s v="Centralización recaudaciones febrero 2026 #2479 - #2479"/>
    <n v="21990"/>
    <s v="Activo"/>
    <n v="21990"/>
    <x v="2"/>
  </r>
  <r>
    <n v="2026"/>
    <n v="2"/>
    <s v="12-02-2026"/>
    <n v="10652"/>
    <s v="1101-04"/>
    <n v="23010"/>
    <n v="0"/>
    <s v="Centralización recaudaciones febrero 2026 #2481 - #2481"/>
    <n v="23010"/>
    <s v="Activo"/>
    <n v="23010"/>
    <x v="2"/>
  </r>
  <r>
    <n v="2026"/>
    <n v="2"/>
    <s v="12-02-2026"/>
    <n v="10690"/>
    <s v="1101-04"/>
    <n v="8010"/>
    <n v="0"/>
    <s v="Centralización recaudaciones febrero 2026 #2519 - #2519"/>
    <n v="8010"/>
    <s v="Activo"/>
    <n v="8010"/>
    <x v="2"/>
  </r>
  <r>
    <n v="2026"/>
    <n v="2"/>
    <s v="12-02-2026"/>
    <n v="10697"/>
    <s v="1101-04"/>
    <n v="6980"/>
    <n v="0"/>
    <s v="Centralización recaudaciones febrero 2026 #2526 - #2526"/>
    <n v="6980"/>
    <s v="Activo"/>
    <n v="6980"/>
    <x v="2"/>
  </r>
  <r>
    <n v="2026"/>
    <n v="2"/>
    <s v="12-02-2026"/>
    <n v="10703"/>
    <s v="1101-04"/>
    <n v="21990"/>
    <n v="0"/>
    <s v="Centralización recaudaciones febrero 2026 #2532 - #2532"/>
    <n v="21990"/>
    <s v="Activo"/>
    <n v="21990"/>
    <x v="2"/>
  </r>
  <r>
    <n v="2026"/>
    <n v="2"/>
    <s v="12-02-2026"/>
    <n v="10714"/>
    <s v="1101-04"/>
    <n v="21990"/>
    <n v="0"/>
    <s v="Centralización recaudaciones febrero 2026 #2543 - #2543"/>
    <n v="21990"/>
    <s v="Activo"/>
    <n v="21990"/>
    <x v="2"/>
  </r>
  <r>
    <n v="2026"/>
    <n v="2"/>
    <s v="12-02-2026"/>
    <n v="10724"/>
    <s v="1101-04"/>
    <n v="35980"/>
    <n v="0"/>
    <s v="Centralización recaudaciones febrero 2026 #2553 - #2553"/>
    <n v="35980"/>
    <s v="Activo"/>
    <n v="35980"/>
    <x v="2"/>
  </r>
  <r>
    <n v="2026"/>
    <n v="2"/>
    <s v="12-02-2026"/>
    <n v="10726"/>
    <s v="1101-04"/>
    <n v="36310"/>
    <n v="0"/>
    <s v="Centralización recaudaciones febrero 2026 #2555 - #2555"/>
    <n v="36310"/>
    <s v="Activo"/>
    <n v="36310"/>
    <x v="2"/>
  </r>
  <r>
    <n v="2026"/>
    <n v="2"/>
    <s v="12-02-2026"/>
    <n v="10791"/>
    <s v="1101-04"/>
    <n v="6263"/>
    <n v="0"/>
    <s v="Centralización recaudaciones febrero 2026 #2620 - #2620"/>
    <n v="6263"/>
    <s v="Activo"/>
    <n v="6263"/>
    <x v="2"/>
  </r>
  <r>
    <n v="2026"/>
    <n v="2"/>
    <s v="12-02-2026"/>
    <n v="10794"/>
    <s v="1101-04"/>
    <n v="28154"/>
    <n v="0"/>
    <s v="Centralización recaudaciones febrero 2026 #2623 - #2623"/>
    <n v="28154"/>
    <s v="Activo"/>
    <n v="28154"/>
    <x v="2"/>
  </r>
  <r>
    <n v="2026"/>
    <n v="2"/>
    <s v="12-02-2026"/>
    <n v="10806"/>
    <s v="1101-04"/>
    <n v="20690"/>
    <n v="0"/>
    <s v="Centralización recaudaciones febrero 2026 #2635 - #2635"/>
    <n v="20690"/>
    <s v="Activo"/>
    <n v="20690"/>
    <x v="2"/>
  </r>
  <r>
    <n v="2026"/>
    <n v="2"/>
    <s v="12-02-2026"/>
    <n v="10816"/>
    <s v="1101-04"/>
    <n v="21990"/>
    <n v="0"/>
    <s v="Centralización recaudaciones febrero 2026 #2645 - #2645"/>
    <n v="21990"/>
    <s v="Activo"/>
    <n v="21990"/>
    <x v="2"/>
  </r>
  <r>
    <n v="2026"/>
    <n v="2"/>
    <s v="12-02-2026"/>
    <n v="10832"/>
    <s v="1101-04"/>
    <n v="21707"/>
    <n v="0"/>
    <s v="Centralización recaudaciones febrero 2026 #2661 - #2661"/>
    <n v="21707"/>
    <s v="Activo"/>
    <n v="21707"/>
    <x v="2"/>
  </r>
  <r>
    <n v="2026"/>
    <n v="2"/>
    <s v="12-02-2026"/>
    <n v="10909"/>
    <s v="1101-04"/>
    <n v="27718"/>
    <n v="0"/>
    <s v="Centralización recaudaciones febrero 2026 #2738 - #2738"/>
    <n v="27718"/>
    <s v="Activo"/>
    <n v="27718"/>
    <x v="2"/>
  </r>
  <r>
    <n v="2026"/>
    <n v="2"/>
    <s v="12-02-2026"/>
    <n v="10912"/>
    <s v="1101-04"/>
    <n v="7877"/>
    <n v="0"/>
    <s v="Centralización recaudaciones febrero 2026 #2741 - #2741"/>
    <n v="7877"/>
    <s v="Activo"/>
    <n v="7877"/>
    <x v="2"/>
  </r>
  <r>
    <n v="2026"/>
    <n v="2"/>
    <s v="12-02-2026"/>
    <n v="10943"/>
    <s v="1101-04"/>
    <n v="9980"/>
    <n v="0"/>
    <s v="Centralización recaudaciones febrero 2026 #2772 - #2772"/>
    <n v="9980"/>
    <s v="Activo"/>
    <n v="9980"/>
    <x v="2"/>
  </r>
  <r>
    <n v="2026"/>
    <n v="2"/>
    <s v="12-02-2026"/>
    <n v="10963"/>
    <s v="1101-04"/>
    <n v="3500"/>
    <n v="0"/>
    <s v="Centralización recaudaciones febrero 2026 #2792 - #2792"/>
    <n v="3500"/>
    <s v="Activo"/>
    <n v="3500"/>
    <x v="2"/>
  </r>
  <r>
    <n v="2026"/>
    <n v="2"/>
    <s v="12-02-2026"/>
    <n v="10971"/>
    <s v="1101-04"/>
    <n v="59980"/>
    <n v="0"/>
    <s v="Centralización recaudaciones febrero 2026 #2800 - #2800"/>
    <n v="59980"/>
    <s v="Activo"/>
    <n v="59980"/>
    <x v="2"/>
  </r>
  <r>
    <n v="2026"/>
    <n v="2"/>
    <s v="12-02-2026"/>
    <n v="10976"/>
    <s v="1101-04"/>
    <n v="24990"/>
    <n v="0"/>
    <s v="Centralización recaudaciones febrero 2026 #2805 - #2805"/>
    <n v="24990"/>
    <s v="Activo"/>
    <n v="24990"/>
    <x v="2"/>
  </r>
  <r>
    <n v="2026"/>
    <n v="2"/>
    <s v="12-02-2026"/>
    <n v="10981"/>
    <s v="1101-04"/>
    <n v="17030"/>
    <n v="0"/>
    <s v="Centralización recaudaciones febrero 2026 #2810 - #2810"/>
    <n v="17030"/>
    <s v="Activo"/>
    <n v="17030"/>
    <x v="2"/>
  </r>
  <r>
    <n v="2026"/>
    <n v="2"/>
    <s v="12-02-2026"/>
    <n v="11005"/>
    <s v="1101-04"/>
    <n v="975"/>
    <n v="0"/>
    <s v="Centralización recaudaciones febrero 2026 #2834 - #2834"/>
    <n v="975"/>
    <s v="Activo"/>
    <n v="975"/>
    <x v="2"/>
  </r>
  <r>
    <n v="2026"/>
    <n v="2"/>
    <s v="12-02-2026"/>
    <n v="11025"/>
    <s v="1101-04"/>
    <n v="201663"/>
    <n v="0"/>
    <s v="Centralización recaudaciones febrero 2026 #2854 - #2854"/>
    <n v="201663"/>
    <s v="Activo"/>
    <n v="201663"/>
    <x v="2"/>
  </r>
  <r>
    <n v="2026"/>
    <n v="2"/>
    <s v="12-02-2026"/>
    <n v="11057"/>
    <s v="1101-04"/>
    <n v="0"/>
    <n v="500000"/>
    <s v="0765406986 transf. itau 0207015225"/>
    <n v="-500000"/>
    <s v="Activo"/>
    <n v="-500000"/>
    <x v="2"/>
  </r>
  <r>
    <n v="2026"/>
    <n v="2"/>
    <s v="13-02-2026"/>
    <n v="7104"/>
    <s v="1101-04"/>
    <n v="2000000"/>
    <n v="0"/>
    <s v="Transf. de tlink spa itau 230434690"/>
    <n v="2000000"/>
    <s v="Activo"/>
    <n v="2000000"/>
    <x v="2"/>
  </r>
  <r>
    <n v="2026"/>
    <n v="2"/>
    <s v="13-02-2026"/>
    <n v="7104"/>
    <s v="1101-04"/>
    <n v="2000000"/>
    <n v="0"/>
    <s v="Transf. de tlink spa itau 230434690"/>
    <n v="2000000"/>
    <s v="Activo"/>
    <n v="2000000"/>
    <x v="2"/>
  </r>
  <r>
    <n v="2026"/>
    <n v="2"/>
    <s v="13-02-2026"/>
    <n v="10547"/>
    <s v="1101-04"/>
    <n v="34990"/>
    <n v="0"/>
    <s v="Centralización recaudaciones febrero 2026 #2376 - #2376"/>
    <n v="34990"/>
    <s v="Activo"/>
    <n v="34990"/>
    <x v="2"/>
  </r>
  <r>
    <n v="2026"/>
    <n v="2"/>
    <s v="13-02-2026"/>
    <n v="10603"/>
    <s v="1101-04"/>
    <n v="38990"/>
    <n v="0"/>
    <s v="Centralización recaudaciones febrero 2026 #2432 - #2432"/>
    <n v="38990"/>
    <s v="Activo"/>
    <n v="38990"/>
    <x v="2"/>
  </r>
  <r>
    <n v="2026"/>
    <n v="2"/>
    <s v="13-02-2026"/>
    <n v="10610"/>
    <s v="1101-04"/>
    <n v="25000"/>
    <n v="0"/>
    <s v="Centralización recaudaciones febrero 2026 #2439 - #2439"/>
    <n v="25000"/>
    <s v="Activo"/>
    <n v="25000"/>
    <x v="2"/>
  </r>
  <r>
    <n v="2026"/>
    <n v="2"/>
    <s v="13-02-2026"/>
    <n v="10682"/>
    <s v="1101-04"/>
    <n v="5010"/>
    <n v="0"/>
    <s v="Centralización recaudaciones febrero 2026 #2511 - #2511"/>
    <n v="5010"/>
    <s v="Activo"/>
    <n v="5010"/>
    <x v="2"/>
  </r>
  <r>
    <n v="2026"/>
    <n v="2"/>
    <s v="13-02-2026"/>
    <n v="10988"/>
    <s v="1101-04"/>
    <n v="520000"/>
    <n v="0"/>
    <s v="Centralización recaudaciones febrero 2026 #2817 - #2817"/>
    <n v="520000"/>
    <s v="Activo"/>
    <n v="520000"/>
    <x v="2"/>
  </r>
  <r>
    <n v="2026"/>
    <n v="2"/>
    <s v="13-02-2026"/>
    <n v="10989"/>
    <s v="1101-04"/>
    <n v="520000"/>
    <n v="0"/>
    <s v="Centralización recaudaciones febrero 2026 #2818 - #2818"/>
    <n v="520000"/>
    <s v="Activo"/>
    <n v="520000"/>
    <x v="2"/>
  </r>
  <r>
    <n v="2026"/>
    <n v="2"/>
    <s v="13-02-2026"/>
    <n v="10998"/>
    <s v="1101-04"/>
    <n v="520000"/>
    <n v="0"/>
    <s v="Centralización recaudaciones febrero 2026 #2827 - #2827"/>
    <n v="520000"/>
    <s v="Activo"/>
    <n v="520000"/>
    <x v="2"/>
  </r>
  <r>
    <n v="2026"/>
    <n v="2"/>
    <s v="13-02-2026"/>
    <n v="11059"/>
    <s v="1101-04"/>
    <n v="0"/>
    <n v="5000000"/>
    <s v="0765406986 transf. itau 0207015225"/>
    <n v="-5000000"/>
    <s v="Activo"/>
    <n v="-5000000"/>
    <x v="2"/>
  </r>
  <r>
    <n v="2026"/>
    <n v="2"/>
    <s v="16-02-2026"/>
    <n v="7105"/>
    <s v="1101-04"/>
    <n v="0"/>
    <n v="4550776"/>
    <s v="Pago previred enero"/>
    <n v="-4550776"/>
    <s v="Activo"/>
    <n v="-4550776"/>
    <x v="2"/>
  </r>
  <r>
    <n v="2026"/>
    <n v="2"/>
    <s v="16-02-2026"/>
    <n v="7105"/>
    <s v="1101-04"/>
    <n v="0"/>
    <n v="3725329"/>
    <s v="Pago previred enero"/>
    <n v="-3725329"/>
    <s v="Activo"/>
    <n v="-3725329"/>
    <x v="2"/>
  </r>
  <r>
    <n v="2026"/>
    <n v="2"/>
    <s v="16-02-2026"/>
    <n v="7105"/>
    <s v="1101-04"/>
    <n v="0"/>
    <n v="4387230"/>
    <s v="Pago previred enero"/>
    <n v="-4387230"/>
    <s v="Activo"/>
    <n v="-4387230"/>
    <x v="2"/>
  </r>
  <r>
    <n v="2026"/>
    <n v="2"/>
    <s v="16-02-2026"/>
    <n v="7105"/>
    <s v="1101-04"/>
    <n v="0"/>
    <n v="2425598"/>
    <s v="Pago previred enero"/>
    <n v="-2425598"/>
    <s v="Activo"/>
    <n v="-2425598"/>
    <x v="2"/>
  </r>
  <r>
    <n v="2026"/>
    <n v="2"/>
    <s v="16-02-2026"/>
    <n v="7105"/>
    <s v="1101-04"/>
    <n v="0"/>
    <n v="1316494"/>
    <s v="Pago previred enero"/>
    <n v="-1316494"/>
    <s v="Activo"/>
    <n v="-1316494"/>
    <x v="2"/>
  </r>
  <r>
    <n v="2026"/>
    <n v="2"/>
    <s v="16-02-2026"/>
    <n v="7206"/>
    <s v="1101-04"/>
    <n v="5000000"/>
    <n v="0"/>
    <s v="0765406986 transf. itau 0207015225"/>
    <n v="5000000"/>
    <s v="Activo"/>
    <n v="5000000"/>
    <x v="2"/>
  </r>
  <r>
    <n v="2026"/>
    <n v="2"/>
    <s v="16-02-2026"/>
    <n v="7207"/>
    <s v="1101-04"/>
    <n v="5000000"/>
    <n v="0"/>
    <s v="0765406986 transf. itau 0207015225"/>
    <n v="5000000"/>
    <s v="Activo"/>
    <n v="5000000"/>
    <x v="2"/>
  </r>
  <r>
    <n v="2026"/>
    <n v="2"/>
    <s v="16-02-2026"/>
    <n v="7208"/>
    <s v="1101-04"/>
    <n v="5000000"/>
    <n v="0"/>
    <s v="0765406986 transf. itau 0207015225"/>
    <n v="5000000"/>
    <s v="Activo"/>
    <n v="5000000"/>
    <x v="2"/>
  </r>
  <r>
    <n v="2026"/>
    <n v="2"/>
    <s v="16-02-2026"/>
    <n v="10498"/>
    <s v="1101-04"/>
    <n v="27990"/>
    <n v="0"/>
    <s v="Centralización recaudaciones febrero 2026 #2327 - #2327"/>
    <n v="27990"/>
    <s v="Activo"/>
    <n v="27990"/>
    <x v="2"/>
  </r>
  <r>
    <n v="2026"/>
    <n v="2"/>
    <s v="16-02-2026"/>
    <n v="10508"/>
    <s v="1101-04"/>
    <n v="39990"/>
    <n v="0"/>
    <s v="Centralización recaudaciones febrero 2026 #2337 - #2337"/>
    <n v="39990"/>
    <s v="Activo"/>
    <n v="39990"/>
    <x v="2"/>
  </r>
  <r>
    <n v="2026"/>
    <n v="2"/>
    <s v="16-02-2026"/>
    <n v="10562"/>
    <s v="1101-04"/>
    <n v="72000"/>
    <n v="0"/>
    <s v="Centralización recaudaciones febrero 2026 #2391 - #2391"/>
    <n v="72000"/>
    <s v="Activo"/>
    <n v="72000"/>
    <x v="2"/>
  </r>
  <r>
    <n v="2026"/>
    <n v="2"/>
    <s v="16-02-2026"/>
    <n v="10600"/>
    <s v="1101-04"/>
    <n v="134351"/>
    <n v="0"/>
    <s v="Centralización recaudaciones febrero 2026 #2429 - #2429"/>
    <n v="134351"/>
    <s v="Activo"/>
    <n v="134351"/>
    <x v="2"/>
  </r>
  <r>
    <n v="2026"/>
    <n v="2"/>
    <s v="16-02-2026"/>
    <n v="10632"/>
    <s v="1101-04"/>
    <n v="30586"/>
    <n v="0"/>
    <s v="Centralización recaudaciones febrero 2026 #2461 - #2461"/>
    <n v="30586"/>
    <s v="Activo"/>
    <n v="30586"/>
    <x v="2"/>
  </r>
  <r>
    <n v="2026"/>
    <n v="2"/>
    <s v="16-02-2026"/>
    <n v="10642"/>
    <s v="1101-04"/>
    <n v="31000"/>
    <n v="0"/>
    <s v="Centralización recaudaciones febrero 2026 #2471 - #2471"/>
    <n v="31000"/>
    <s v="Activo"/>
    <n v="31000"/>
    <x v="2"/>
  </r>
  <r>
    <n v="2026"/>
    <n v="2"/>
    <s v="16-02-2026"/>
    <n v="10661"/>
    <s v="1101-04"/>
    <n v="143000"/>
    <n v="0"/>
    <s v="Centralización recaudaciones febrero 2026 #2490 - #2490"/>
    <n v="143000"/>
    <s v="Activo"/>
    <n v="143000"/>
    <x v="2"/>
  </r>
  <r>
    <n v="2026"/>
    <n v="2"/>
    <s v="16-02-2026"/>
    <n v="10683"/>
    <s v="1101-04"/>
    <n v="16980"/>
    <n v="0"/>
    <s v="Centralización recaudaciones febrero 2026 #2512 - #2512"/>
    <n v="16980"/>
    <s v="Activo"/>
    <n v="16980"/>
    <x v="2"/>
  </r>
  <r>
    <n v="2026"/>
    <n v="2"/>
    <s v="16-02-2026"/>
    <n v="10695"/>
    <s v="1101-04"/>
    <n v="17990"/>
    <n v="0"/>
    <s v="Centralización recaudaciones febrero 2026 #2524 - #2524"/>
    <n v="17990"/>
    <s v="Activo"/>
    <n v="17990"/>
    <x v="2"/>
  </r>
  <r>
    <n v="2026"/>
    <n v="2"/>
    <s v="16-02-2026"/>
    <n v="10727"/>
    <s v="1101-04"/>
    <n v="660"/>
    <n v="0"/>
    <s v="Centralización recaudaciones febrero 2026 #2556 - #2556"/>
    <n v="660"/>
    <s v="Activo"/>
    <n v="660"/>
    <x v="2"/>
  </r>
  <r>
    <n v="2026"/>
    <n v="2"/>
    <s v="16-02-2026"/>
    <n v="10729"/>
    <s v="1101-04"/>
    <n v="18990"/>
    <n v="0"/>
    <s v="Centralización recaudaciones febrero 2026 #2558 - #2558"/>
    <n v="18990"/>
    <s v="Activo"/>
    <n v="18990"/>
    <x v="2"/>
  </r>
  <r>
    <n v="2026"/>
    <n v="2"/>
    <s v="16-02-2026"/>
    <n v="10735"/>
    <s v="1101-04"/>
    <n v="21970"/>
    <n v="0"/>
    <s v="Centralización recaudaciones febrero 2026 #2564 - #2564"/>
    <n v="21970"/>
    <s v="Activo"/>
    <n v="21970"/>
    <x v="2"/>
  </r>
  <r>
    <n v="2026"/>
    <n v="2"/>
    <s v="16-02-2026"/>
    <n v="10747"/>
    <s v="1101-04"/>
    <n v="29990"/>
    <n v="0"/>
    <s v="Centralización recaudaciones febrero 2026 #2576 - #2576"/>
    <n v="29990"/>
    <s v="Activo"/>
    <n v="29990"/>
    <x v="2"/>
  </r>
  <r>
    <n v="2026"/>
    <n v="2"/>
    <s v="16-02-2026"/>
    <n v="10792"/>
    <s v="1101-04"/>
    <n v="18727"/>
    <n v="0"/>
    <s v="Centralización recaudaciones febrero 2026 #2621 - #2621"/>
    <n v="18727"/>
    <s v="Activo"/>
    <n v="18727"/>
    <x v="2"/>
  </r>
  <r>
    <n v="2026"/>
    <n v="2"/>
    <s v="16-02-2026"/>
    <n v="10795"/>
    <s v="1101-04"/>
    <n v="6836"/>
    <n v="0"/>
    <s v="Centralización recaudaciones febrero 2026 #2624 - #2624"/>
    <n v="6836"/>
    <s v="Activo"/>
    <n v="6836"/>
    <x v="2"/>
  </r>
  <r>
    <n v="2026"/>
    <n v="2"/>
    <s v="16-02-2026"/>
    <n v="10840"/>
    <s v="1101-04"/>
    <n v="18981"/>
    <n v="0"/>
    <s v="Centralización recaudaciones febrero 2026 #2669 - #2669"/>
    <n v="18981"/>
    <s v="Activo"/>
    <n v="18981"/>
    <x v="2"/>
  </r>
  <r>
    <n v="2026"/>
    <n v="2"/>
    <s v="16-02-2026"/>
    <n v="10843"/>
    <s v="1101-04"/>
    <n v="34990"/>
    <n v="0"/>
    <s v="Centralización recaudaciones febrero 2026 #2672 - #2672"/>
    <n v="34990"/>
    <s v="Activo"/>
    <n v="34990"/>
    <x v="2"/>
  </r>
  <r>
    <n v="2026"/>
    <n v="2"/>
    <s v="16-02-2026"/>
    <n v="10853"/>
    <s v="1101-04"/>
    <n v="874631"/>
    <n v="0"/>
    <s v="Centralización recaudaciones febrero 2026 #2682 - #2682"/>
    <n v="874631"/>
    <s v="Activo"/>
    <n v="874631"/>
    <x v="2"/>
  </r>
  <r>
    <n v="2026"/>
    <n v="2"/>
    <s v="16-02-2026"/>
    <n v="10860"/>
    <s v="1101-04"/>
    <n v="69590"/>
    <n v="0"/>
    <s v="Centralización recaudaciones febrero 2026 #2689 - #2689"/>
    <n v="69590"/>
    <s v="Activo"/>
    <n v="69590"/>
    <x v="2"/>
  </r>
  <r>
    <n v="2026"/>
    <n v="2"/>
    <s v="16-02-2026"/>
    <n v="10864"/>
    <s v="1101-04"/>
    <n v="50000"/>
    <n v="0"/>
    <s v="Centralización recaudaciones febrero 2026 #2693 - #2693"/>
    <n v="50000"/>
    <s v="Activo"/>
    <n v="50000"/>
    <x v="2"/>
  </r>
  <r>
    <n v="2026"/>
    <n v="2"/>
    <s v="16-02-2026"/>
    <n v="10921"/>
    <s v="1101-04"/>
    <n v="21990"/>
    <n v="0"/>
    <s v="Centralización recaudaciones febrero 2026 #2750 - #2750"/>
    <n v="21990"/>
    <s v="Activo"/>
    <n v="21990"/>
    <x v="2"/>
  </r>
  <r>
    <n v="2026"/>
    <n v="2"/>
    <s v="16-02-2026"/>
    <n v="10928"/>
    <s v="1101-04"/>
    <n v="11050"/>
    <n v="0"/>
    <s v="Centralización recaudaciones febrero 2026 #2757 - #2757"/>
    <n v="11050"/>
    <s v="Activo"/>
    <n v="11050"/>
    <x v="2"/>
  </r>
  <r>
    <n v="2026"/>
    <n v="2"/>
    <s v="16-02-2026"/>
    <n v="10956"/>
    <s v="1101-04"/>
    <n v="26170"/>
    <n v="0"/>
    <s v="Centralización recaudaciones febrero 2026 #2785 - #2785"/>
    <n v="26170"/>
    <s v="Activo"/>
    <n v="26170"/>
    <x v="2"/>
  </r>
  <r>
    <n v="2026"/>
    <n v="2"/>
    <s v="16-02-2026"/>
    <n v="11006"/>
    <s v="1101-04"/>
    <n v="17990"/>
    <n v="0"/>
    <s v="Centralización recaudaciones febrero 2026 #2835 - #2835"/>
    <n v="17990"/>
    <s v="Activo"/>
    <n v="17990"/>
    <x v="2"/>
  </r>
  <r>
    <n v="2026"/>
    <n v="2"/>
    <s v="16-02-2026"/>
    <n v="11014"/>
    <s v="1101-04"/>
    <n v="25000"/>
    <n v="0"/>
    <s v="Centralización recaudaciones febrero 2026 #2843 - #2843"/>
    <n v="25000"/>
    <s v="Activo"/>
    <n v="25000"/>
    <x v="2"/>
  </r>
  <r>
    <n v="2026"/>
    <n v="2"/>
    <s v="16-02-2026"/>
    <n v="11061"/>
    <s v="1101-04"/>
    <n v="0"/>
    <n v="3500000"/>
    <s v="0765406986 transf. itau 0207015225"/>
    <n v="-3500000"/>
    <s v="Activo"/>
    <n v="-3500000"/>
    <x v="2"/>
  </r>
  <r>
    <n v="2026"/>
    <n v="2"/>
    <s v="16-02-2026"/>
    <n v="10588"/>
    <s v="1101-04"/>
    <n v="3500000"/>
    <n v="0"/>
    <s v="Transf. de tlink spa itau 230434690"/>
    <n v="3500000"/>
    <s v="Activo"/>
    <n v="3500000"/>
    <x v="2"/>
  </r>
  <r>
    <n v="2026"/>
    <n v="2"/>
    <s v="16-02-2026"/>
    <n v="10588"/>
    <s v="1101-04"/>
    <n v="5000000"/>
    <n v="0"/>
    <s v="Transf. de tlink spa itau 230434690"/>
    <n v="5000000"/>
    <s v="Activo"/>
    <n v="5000000"/>
    <x v="2"/>
  </r>
  <r>
    <n v="2026"/>
    <n v="2"/>
    <s v="16-02-2026"/>
    <n v="10588"/>
    <s v="1101-04"/>
    <n v="5000000"/>
    <n v="0"/>
    <s v="Transf. de tlink spa itau 230434690"/>
    <n v="5000000"/>
    <s v="Activo"/>
    <n v="5000000"/>
    <x v="2"/>
  </r>
  <r>
    <n v="2026"/>
    <n v="2"/>
    <s v="16-02-2026"/>
    <n v="10588"/>
    <s v="1101-04"/>
    <n v="5000000"/>
    <n v="0"/>
    <s v="Transf. de tlink spa itau 230434690"/>
    <n v="5000000"/>
    <s v="Activo"/>
    <n v="5000000"/>
    <x v="2"/>
  </r>
  <r>
    <n v="2026"/>
    <n v="2"/>
    <s v="16-02-2026"/>
    <n v="10596"/>
    <s v="1101-04"/>
    <n v="0"/>
    <n v="5000000"/>
    <s v="Traspaso itau 230434690"/>
    <n v="-5000000"/>
    <s v="Activo"/>
    <n v="-5000000"/>
    <x v="2"/>
  </r>
  <r>
    <n v="2026"/>
    <n v="2"/>
    <s v="16-02-2026"/>
    <n v="10596"/>
    <s v="1101-04"/>
    <n v="0"/>
    <n v="5000000"/>
    <s v="Traspaso itau 230434690"/>
    <n v="-5000000"/>
    <s v="Activo"/>
    <n v="-5000000"/>
    <x v="2"/>
  </r>
  <r>
    <n v="2026"/>
    <n v="2"/>
    <s v="16-02-2026"/>
    <n v="10596"/>
    <s v="1101-04"/>
    <n v="0"/>
    <n v="5000000"/>
    <s v="Traspaso itau 230434690"/>
    <n v="-5000000"/>
    <s v="Activo"/>
    <n v="-5000000"/>
    <x v="2"/>
  </r>
  <r>
    <n v="2026"/>
    <n v="2"/>
    <s v="17-02-2026"/>
    <n v="10566"/>
    <s v="1101-04"/>
    <n v="22970"/>
    <n v="0"/>
    <s v="Centralización recaudaciones febrero 2026 #2395 - #2395"/>
    <n v="22970"/>
    <s v="Activo"/>
    <n v="22970"/>
    <x v="2"/>
  </r>
  <r>
    <n v="2026"/>
    <n v="2"/>
    <s v="17-02-2026"/>
    <n v="10646"/>
    <s v="1101-04"/>
    <n v="24980"/>
    <n v="0"/>
    <s v="Centralización recaudaciones febrero 2026 #2475 - #2475"/>
    <n v="24980"/>
    <s v="Activo"/>
    <n v="24980"/>
    <x v="2"/>
  </r>
  <r>
    <n v="2026"/>
    <n v="2"/>
    <s v="17-02-2026"/>
    <n v="10649"/>
    <s v="1101-04"/>
    <n v="271337"/>
    <n v="0"/>
    <s v="Centralización recaudaciones febrero 2026 #2478 - #2478"/>
    <n v="271337"/>
    <s v="Activo"/>
    <n v="271337"/>
    <x v="2"/>
  </r>
  <r>
    <n v="2026"/>
    <n v="2"/>
    <s v="17-02-2026"/>
    <n v="10691"/>
    <s v="1101-04"/>
    <n v="22980"/>
    <n v="0"/>
    <s v="Centralización recaudaciones febrero 2026 #2520 - #2520"/>
    <n v="22980"/>
    <s v="Activo"/>
    <n v="22980"/>
    <x v="2"/>
  </r>
  <r>
    <n v="2026"/>
    <n v="2"/>
    <s v="17-02-2026"/>
    <n v="10713"/>
    <s v="1101-04"/>
    <n v="38990"/>
    <n v="0"/>
    <s v="Centralización recaudaciones febrero 2026 #2542 - #2542"/>
    <n v="38990"/>
    <s v="Activo"/>
    <n v="38990"/>
    <x v="2"/>
  </r>
  <r>
    <n v="2026"/>
    <n v="2"/>
    <s v="17-02-2026"/>
    <n v="10768"/>
    <s v="1101-04"/>
    <n v="54990"/>
    <n v="0"/>
    <s v="Centralización recaudaciones febrero 2026 #2597 - #2597"/>
    <n v="54990"/>
    <s v="Activo"/>
    <n v="54990"/>
    <x v="2"/>
  </r>
  <r>
    <n v="2026"/>
    <n v="2"/>
    <s v="17-02-2026"/>
    <n v="10913"/>
    <s v="1101-04"/>
    <n v="32103"/>
    <n v="0"/>
    <s v="Centralización recaudaciones febrero 2026 #2742 - #2742"/>
    <n v="32103"/>
    <s v="Activo"/>
    <n v="32103"/>
    <x v="2"/>
  </r>
  <r>
    <n v="2026"/>
    <n v="2"/>
    <s v="17-02-2026"/>
    <n v="10929"/>
    <s v="1101-04"/>
    <n v="10940"/>
    <n v="0"/>
    <s v="Centralización recaudaciones febrero 2026 #2758 - #2758"/>
    <n v="10940"/>
    <s v="Activo"/>
    <n v="10940"/>
    <x v="2"/>
  </r>
  <r>
    <n v="2026"/>
    <n v="2"/>
    <s v="17-02-2026"/>
    <n v="10936"/>
    <s v="1101-04"/>
    <n v="23790"/>
    <n v="0"/>
    <s v="Centralización recaudaciones febrero 2026 #2765 - #2765"/>
    <n v="23790"/>
    <s v="Activo"/>
    <n v="23790"/>
    <x v="2"/>
  </r>
  <r>
    <n v="2026"/>
    <n v="2"/>
    <s v="17-02-2026"/>
    <n v="10964"/>
    <s v="1101-04"/>
    <n v="160967"/>
    <n v="0"/>
    <s v="Centralización recaudaciones febrero 2026 #2793 - #2793"/>
    <n v="160967"/>
    <s v="Activo"/>
    <n v="160967"/>
    <x v="2"/>
  </r>
  <r>
    <n v="2026"/>
    <n v="2"/>
    <s v="17-02-2026"/>
    <n v="11007"/>
    <s v="1101-04"/>
    <n v="4036"/>
    <n v="0"/>
    <s v="Centralización recaudaciones febrero 2026 #2836 - #2836"/>
    <n v="4036"/>
    <s v="Activo"/>
    <n v="4036"/>
    <x v="2"/>
  </r>
  <r>
    <n v="2026"/>
    <n v="2"/>
    <s v="17-02-2026"/>
    <n v="11032"/>
    <s v="1101-04"/>
    <n v="134"/>
    <n v="0"/>
    <s v="Centralización recaudaciones febrero 2026 #2861 - #2861"/>
    <n v="134"/>
    <s v="Activo"/>
    <n v="134"/>
    <x v="2"/>
  </r>
  <r>
    <n v="2026"/>
    <n v="2"/>
    <s v="18-02-2026"/>
    <n v="10516"/>
    <s v="1101-04"/>
    <n v="120000"/>
    <n v="0"/>
    <s v="Centralización recaudaciones febrero 2026 #2345 - #2345"/>
    <n v="120000"/>
    <s v="Activo"/>
    <n v="120000"/>
    <x v="2"/>
  </r>
  <r>
    <n v="2026"/>
    <n v="2"/>
    <s v="18-02-2026"/>
    <n v="10541"/>
    <s v="1101-04"/>
    <n v="26372"/>
    <n v="0"/>
    <s v="Centralización recaudaciones febrero 2026 #2370 - #2370"/>
    <n v="26372"/>
    <s v="Activo"/>
    <n v="26372"/>
    <x v="2"/>
  </r>
  <r>
    <n v="2026"/>
    <n v="2"/>
    <s v="18-02-2026"/>
    <n v="10581"/>
    <s v="1101-04"/>
    <n v="6990"/>
    <n v="0"/>
    <s v="Centralización recaudaciones febrero 2026 #2410 - #2410"/>
    <n v="6990"/>
    <s v="Activo"/>
    <n v="6990"/>
    <x v="2"/>
  </r>
  <r>
    <n v="2026"/>
    <n v="2"/>
    <s v="18-02-2026"/>
    <n v="10611"/>
    <s v="1101-04"/>
    <n v="31928"/>
    <n v="0"/>
    <s v="Centralización recaudaciones febrero 2026 #2440 - #2440"/>
    <n v="31928"/>
    <s v="Activo"/>
    <n v="31928"/>
    <x v="2"/>
  </r>
  <r>
    <n v="2026"/>
    <n v="2"/>
    <s v="18-02-2026"/>
    <n v="10656"/>
    <s v="1101-04"/>
    <n v="5000"/>
    <n v="0"/>
    <s v="Centralización recaudaciones febrero 2026 #2485 - #2485"/>
    <n v="5000"/>
    <s v="Activo"/>
    <n v="5000"/>
    <x v="2"/>
  </r>
  <r>
    <n v="2026"/>
    <n v="2"/>
    <s v="18-02-2026"/>
    <n v="10797"/>
    <s v="1101-04"/>
    <n v="24990"/>
    <n v="0"/>
    <s v="Centralización recaudaciones febrero 2026 #2626 - #2626"/>
    <n v="24990"/>
    <s v="Activo"/>
    <n v="24990"/>
    <x v="2"/>
  </r>
  <r>
    <n v="2026"/>
    <n v="2"/>
    <s v="18-02-2026"/>
    <n v="10847"/>
    <s v="1101-04"/>
    <n v="472930"/>
    <n v="0"/>
    <s v="Centralización recaudaciones febrero 2026 #2676 - #2676"/>
    <n v="472930"/>
    <s v="Activo"/>
    <n v="472930"/>
    <x v="2"/>
  </r>
  <r>
    <n v="2026"/>
    <n v="2"/>
    <s v="18-02-2026"/>
    <n v="10895"/>
    <s v="1101-04"/>
    <n v="674102"/>
    <n v="0"/>
    <s v="Centralización recaudaciones febrero 2026 #2724 - #2724"/>
    <n v="674102"/>
    <s v="Activo"/>
    <n v="674102"/>
    <x v="2"/>
  </r>
  <r>
    <n v="2026"/>
    <n v="2"/>
    <s v="18-02-2026"/>
    <n v="10898"/>
    <s v="1101-04"/>
    <n v="28458"/>
    <n v="0"/>
    <s v="Centralización recaudaciones febrero 2026 #2727 - #2727"/>
    <n v="28458"/>
    <s v="Activo"/>
    <n v="28458"/>
    <x v="2"/>
  </r>
  <r>
    <n v="2026"/>
    <n v="2"/>
    <s v="18-02-2026"/>
    <n v="10918"/>
    <s v="1101-04"/>
    <n v="65438"/>
    <n v="0"/>
    <s v="Centralización recaudaciones febrero 2026 #2747 - #2747"/>
    <n v="65438"/>
    <s v="Activo"/>
    <n v="65438"/>
    <x v="2"/>
  </r>
  <r>
    <n v="2026"/>
    <n v="2"/>
    <s v="18-02-2026"/>
    <n v="10933"/>
    <s v="1101-04"/>
    <n v="24990"/>
    <n v="0"/>
    <s v="Centralización recaudaciones febrero 2026 #2762 - #2762"/>
    <n v="24990"/>
    <s v="Activo"/>
    <n v="24990"/>
    <x v="2"/>
  </r>
  <r>
    <n v="2026"/>
    <n v="2"/>
    <s v="18-02-2026"/>
    <n v="10934"/>
    <s v="1101-04"/>
    <n v="94000"/>
    <n v="0"/>
    <s v="Centralización recaudaciones febrero 2026 #2763 - #2763"/>
    <n v="94000"/>
    <s v="Activo"/>
    <n v="94000"/>
    <x v="2"/>
  </r>
  <r>
    <n v="2026"/>
    <n v="2"/>
    <s v="18-02-2026"/>
    <n v="10950"/>
    <s v="1101-04"/>
    <n v="9160"/>
    <n v="0"/>
    <s v="Centralización recaudaciones febrero 2026 #2779 - #2779"/>
    <n v="9160"/>
    <s v="Activo"/>
    <n v="9160"/>
    <x v="2"/>
  </r>
  <r>
    <n v="2026"/>
    <n v="2"/>
    <s v="18-02-2026"/>
    <n v="10966"/>
    <s v="1101-04"/>
    <n v="24990"/>
    <n v="0"/>
    <s v="Centralización recaudaciones febrero 2026 #2795 - #2795"/>
    <n v="24990"/>
    <s v="Activo"/>
    <n v="24990"/>
    <x v="2"/>
  </r>
  <r>
    <n v="2026"/>
    <n v="2"/>
    <s v="18-02-2026"/>
    <n v="10991"/>
    <s v="1101-04"/>
    <n v="8072"/>
    <n v="0"/>
    <s v="Centralización recaudaciones febrero 2026 #2820 - #2820"/>
    <n v="8072"/>
    <s v="Activo"/>
    <n v="8072"/>
    <x v="2"/>
  </r>
  <r>
    <n v="2026"/>
    <n v="2"/>
    <s v="18-02-2026"/>
    <n v="11026"/>
    <s v="1101-04"/>
    <n v="567630"/>
    <n v="0"/>
    <s v="Centralización recaudaciones febrero 2026 #2855 - #2855"/>
    <n v="567630"/>
    <s v="Activo"/>
    <n v="567630"/>
    <x v="2"/>
  </r>
  <r>
    <n v="2026"/>
    <n v="2"/>
    <s v="19-02-2026"/>
    <n v="7106"/>
    <s v="1101-04"/>
    <n v="0"/>
    <n v="126845"/>
    <s v="Garantia licitacion"/>
    <n v="-126845"/>
    <s v="Activo"/>
    <n v="-126845"/>
    <x v="2"/>
  </r>
  <r>
    <n v="2026"/>
    <n v="2"/>
    <s v="19-02-2026"/>
    <n v="10608"/>
    <s v="1101-04"/>
    <n v="118232"/>
    <n v="0"/>
    <s v="Centralización recaudaciones febrero 2026 #2437 - #2437"/>
    <n v="118232"/>
    <s v="Activo"/>
    <n v="118232"/>
    <x v="2"/>
  </r>
  <r>
    <n v="2026"/>
    <n v="2"/>
    <s v="19-02-2026"/>
    <n v="10698"/>
    <s v="1101-04"/>
    <n v="31990"/>
    <n v="0"/>
    <s v="Centralización recaudaciones febrero 2026 #2527 - #2527"/>
    <n v="31990"/>
    <s v="Activo"/>
    <n v="31990"/>
    <x v="2"/>
  </r>
  <r>
    <n v="2026"/>
    <n v="2"/>
    <s v="19-02-2026"/>
    <n v="10906"/>
    <s v="1101-04"/>
    <n v="27360"/>
    <n v="0"/>
    <s v="Centralización recaudaciones febrero 2026 #2735 - #2735"/>
    <n v="27360"/>
    <s v="Activo"/>
    <n v="27360"/>
    <x v="2"/>
  </r>
  <r>
    <n v="2026"/>
    <n v="2"/>
    <s v="19-02-2026"/>
    <n v="10951"/>
    <s v="1101-04"/>
    <n v="650"/>
    <n v="0"/>
    <s v="Centralización recaudaciones febrero 2026 #2780 - #2780"/>
    <n v="650"/>
    <s v="Activo"/>
    <n v="650"/>
    <x v="2"/>
  </r>
  <r>
    <n v="2026"/>
    <n v="2"/>
    <s v="19-02-2026"/>
    <n v="11068"/>
    <s v="1101-04"/>
    <n v="0"/>
    <n v="5000000"/>
    <s v="0765406986 transf. itau 0207015225"/>
    <n v="-5000000"/>
    <s v="Activo"/>
    <n v="-5000000"/>
    <x v="2"/>
  </r>
  <r>
    <n v="2026"/>
    <n v="2"/>
    <s v="19-02-2026"/>
    <n v="11069"/>
    <s v="1101-04"/>
    <n v="0"/>
    <n v="5000000"/>
    <s v="0765406986 transf. itau 0207015225"/>
    <n v="-5000000"/>
    <s v="Activo"/>
    <n v="-5000000"/>
    <x v="2"/>
  </r>
  <r>
    <n v="2026"/>
    <n v="2"/>
    <s v="19-02-2026"/>
    <n v="11071"/>
    <s v="1101-04"/>
    <n v="0"/>
    <n v="3000000"/>
    <s v="0765406986 transf. itau 0207015225"/>
    <n v="-3000000"/>
    <s v="Activo"/>
    <n v="-3000000"/>
    <x v="2"/>
  </r>
  <r>
    <n v="2026"/>
    <n v="2"/>
    <s v="19-02-2026"/>
    <n v="10589"/>
    <s v="1101-04"/>
    <n v="5000000"/>
    <n v="0"/>
    <s v="Transf. de tlink spa itau 230434690"/>
    <n v="5000000"/>
    <s v="Activo"/>
    <n v="5000000"/>
    <x v="2"/>
  </r>
  <r>
    <n v="2026"/>
    <n v="2"/>
    <s v="19-02-2026"/>
    <n v="10589"/>
    <s v="1101-04"/>
    <n v="3000000"/>
    <n v="0"/>
    <s v="Transf. de tlink spa itau 230434690"/>
    <n v="3000000"/>
    <s v="Activo"/>
    <n v="3000000"/>
    <x v="2"/>
  </r>
  <r>
    <n v="2026"/>
    <n v="2"/>
    <s v="20-02-2026"/>
    <n v="10506"/>
    <s v="1101-04"/>
    <n v="153747"/>
    <n v="0"/>
    <s v="Centralización recaudaciones febrero 2026 #2335 - #2335"/>
    <n v="153747"/>
    <s v="Activo"/>
    <n v="153747"/>
    <x v="2"/>
  </r>
  <r>
    <n v="2026"/>
    <n v="2"/>
    <s v="20-02-2026"/>
    <n v="10531"/>
    <s v="1101-04"/>
    <n v="70052"/>
    <n v="0"/>
    <s v="Centralización recaudaciones febrero 2026 #2360 - #2360"/>
    <n v="70052"/>
    <s v="Activo"/>
    <n v="70052"/>
    <x v="2"/>
  </r>
  <r>
    <n v="2026"/>
    <n v="2"/>
    <s v="20-02-2026"/>
    <n v="10615"/>
    <s v="1101-04"/>
    <n v="30000"/>
    <n v="0"/>
    <s v="Centralización recaudaciones febrero 2026 #2444 - #2444"/>
    <n v="30000"/>
    <s v="Activo"/>
    <n v="30000"/>
    <x v="2"/>
  </r>
  <r>
    <n v="2026"/>
    <n v="2"/>
    <s v="20-02-2026"/>
    <n v="10672"/>
    <s v="1101-04"/>
    <n v="2670865"/>
    <n v="0"/>
    <s v="Centralización recaudaciones febrero 2026 #2501 - #2501"/>
    <n v="2670865"/>
    <s v="Activo"/>
    <n v="2670865"/>
    <x v="2"/>
  </r>
  <r>
    <n v="2026"/>
    <n v="2"/>
    <s v="20-02-2026"/>
    <n v="10869"/>
    <s v="1101-04"/>
    <n v="21990"/>
    <n v="0"/>
    <s v="Centralización recaudaciones febrero 2026 #2698 - #2698"/>
    <n v="21990"/>
    <s v="Activo"/>
    <n v="21990"/>
    <x v="2"/>
  </r>
  <r>
    <n v="2026"/>
    <n v="2"/>
    <s v="20-02-2026"/>
    <n v="10952"/>
    <s v="1101-04"/>
    <n v="14990"/>
    <n v="0"/>
    <s v="Centralización recaudaciones febrero 2026 #2781 - #2781"/>
    <n v="14990"/>
    <s v="Activo"/>
    <n v="14990"/>
    <x v="2"/>
  </r>
  <r>
    <n v="2026"/>
    <n v="2"/>
    <s v="20-02-2026"/>
    <n v="11001"/>
    <s v="1101-04"/>
    <n v="331051"/>
    <n v="0"/>
    <s v="Centralización recaudaciones febrero 2026 #2830 - #2830"/>
    <n v="331051"/>
    <s v="Activo"/>
    <n v="331051"/>
    <x v="2"/>
  </r>
  <r>
    <n v="2026"/>
    <n v="2"/>
    <s v="20-02-2026"/>
    <n v="11015"/>
    <s v="1101-04"/>
    <n v="89250"/>
    <n v="0"/>
    <s v="Centralización recaudaciones febrero 2026 #2844 - #2844"/>
    <n v="89250"/>
    <s v="Activo"/>
    <n v="89250"/>
    <x v="2"/>
  </r>
  <r>
    <n v="2026"/>
    <n v="2"/>
    <s v="20-02-2026"/>
    <n v="10594"/>
    <s v="1101-04"/>
    <n v="97729343"/>
    <n v="0"/>
    <s v="Prestamo credito itau 60630876 "/>
    <n v="97729343"/>
    <s v="Activo"/>
    <n v="97729343"/>
    <x v="2"/>
  </r>
  <r>
    <n v="2026"/>
    <n v="2"/>
    <s v="23-02-2026"/>
    <n v="7103"/>
    <s v="1101-04"/>
    <n v="0"/>
    <n v="5000000"/>
    <s v="Transferencia estado 35500021347"/>
    <n v="-5000000"/>
    <s v="Activo"/>
    <n v="-5000000"/>
    <x v="2"/>
  </r>
  <r>
    <n v="2026"/>
    <n v="2"/>
    <s v="23-02-2026"/>
    <n v="7103"/>
    <s v="1101-04"/>
    <n v="0"/>
    <n v="5000000"/>
    <s v="Transferencia estado 35500021347"/>
    <n v="-5000000"/>
    <s v="Activo"/>
    <n v="-5000000"/>
    <x v="2"/>
  </r>
  <r>
    <n v="2026"/>
    <n v="2"/>
    <s v="23-02-2026"/>
    <n v="7103"/>
    <s v="1101-04"/>
    <n v="0"/>
    <n v="5000000"/>
    <s v="Transferencia estado 35500021347"/>
    <n v="-5000000"/>
    <s v="Activo"/>
    <n v="-5000000"/>
    <x v="2"/>
  </r>
  <r>
    <n v="2026"/>
    <n v="2"/>
    <s v="23-02-2026"/>
    <n v="7103"/>
    <s v="1101-04"/>
    <n v="0"/>
    <n v="5000000"/>
    <s v="Transferencia estado 35500021347"/>
    <n v="-5000000"/>
    <s v="Activo"/>
    <n v="-5000000"/>
    <x v="2"/>
  </r>
  <r>
    <n v="2026"/>
    <n v="2"/>
    <s v="23-02-2026"/>
    <n v="10500"/>
    <s v="1101-04"/>
    <n v="59990"/>
    <n v="0"/>
    <s v="Centralización recaudaciones febrero 2026 #2329 - #2329"/>
    <n v="59990"/>
    <s v="Activo"/>
    <n v="59990"/>
    <x v="2"/>
  </r>
  <r>
    <n v="2026"/>
    <n v="2"/>
    <s v="23-02-2026"/>
    <n v="10554"/>
    <s v="1101-04"/>
    <n v="32000"/>
    <n v="0"/>
    <s v="Centralización recaudaciones febrero 2026 #2383 - #2383"/>
    <n v="32000"/>
    <s v="Activo"/>
    <n v="32000"/>
    <x v="2"/>
  </r>
  <r>
    <n v="2026"/>
    <n v="2"/>
    <s v="23-02-2026"/>
    <n v="10582"/>
    <s v="1101-04"/>
    <n v="33010"/>
    <n v="0"/>
    <s v="Centralización recaudaciones febrero 2026 #2411 - #2411"/>
    <n v="33010"/>
    <s v="Activo"/>
    <n v="33010"/>
    <x v="2"/>
  </r>
  <r>
    <n v="2026"/>
    <n v="2"/>
    <s v="23-02-2026"/>
    <n v="10616"/>
    <s v="1101-04"/>
    <n v="10000"/>
    <n v="0"/>
    <s v="Centralización recaudaciones febrero 2026 #2445 - #2445"/>
    <n v="10000"/>
    <s v="Activo"/>
    <n v="10000"/>
    <x v="2"/>
  </r>
  <r>
    <n v="2026"/>
    <n v="2"/>
    <s v="23-02-2026"/>
    <n v="10667"/>
    <s v="1101-04"/>
    <n v="1546887"/>
    <n v="0"/>
    <s v="Centralización recaudaciones febrero 2026 #2496 - #2496"/>
    <n v="1546887"/>
    <s v="Activo"/>
    <n v="1546887"/>
    <x v="2"/>
  </r>
  <r>
    <n v="2026"/>
    <n v="2"/>
    <s v="23-02-2026"/>
    <n v="10673"/>
    <s v="1101-04"/>
    <n v="449282"/>
    <n v="0"/>
    <s v="Centralización recaudaciones febrero 2026 #2502 - #2502"/>
    <n v="449282"/>
    <s v="Activo"/>
    <n v="449282"/>
    <x v="2"/>
  </r>
  <r>
    <n v="2026"/>
    <n v="2"/>
    <s v="23-02-2026"/>
    <n v="10716"/>
    <s v="1101-04"/>
    <n v="30000"/>
    <n v="0"/>
    <s v="Centralización recaudaciones febrero 2026 #2545 - #2545"/>
    <n v="30000"/>
    <s v="Activo"/>
    <n v="30000"/>
    <x v="2"/>
  </r>
  <r>
    <n v="2026"/>
    <n v="2"/>
    <s v="23-02-2026"/>
    <n v="10777"/>
    <s v="1101-04"/>
    <n v="40960"/>
    <n v="0"/>
    <s v="Centralización recaudaciones febrero 2026 #2606 - #2606"/>
    <n v="40960"/>
    <s v="Activo"/>
    <n v="40960"/>
    <x v="2"/>
  </r>
  <r>
    <n v="2026"/>
    <n v="2"/>
    <s v="23-02-2026"/>
    <n v="10809"/>
    <s v="1101-04"/>
    <n v="32990"/>
    <n v="0"/>
    <s v="Centralización recaudaciones febrero 2026 #2638 - #2638"/>
    <n v="32990"/>
    <s v="Activo"/>
    <n v="32990"/>
    <x v="2"/>
  </r>
  <r>
    <n v="2026"/>
    <n v="2"/>
    <s v="23-02-2026"/>
    <n v="10851"/>
    <s v="1101-04"/>
    <n v="32990"/>
    <n v="0"/>
    <s v="Centralización recaudaciones febrero 2026 #2680 - #2680"/>
    <n v="32990"/>
    <s v="Activo"/>
    <n v="32990"/>
    <x v="2"/>
  </r>
  <r>
    <n v="2026"/>
    <n v="2"/>
    <s v="23-02-2026"/>
    <n v="10870"/>
    <s v="1101-04"/>
    <n v="18000"/>
    <n v="0"/>
    <s v="Centralización recaudaciones febrero 2026 #2699 - #2699"/>
    <n v="18000"/>
    <s v="Activo"/>
    <n v="18000"/>
    <x v="2"/>
  </r>
  <r>
    <n v="2026"/>
    <n v="2"/>
    <s v="23-02-2026"/>
    <n v="10871"/>
    <s v="1101-04"/>
    <n v="32980"/>
    <n v="0"/>
    <s v="Centralización recaudaciones febrero 2026 #2700 - #2700"/>
    <n v="32980"/>
    <s v="Activo"/>
    <n v="32980"/>
    <x v="2"/>
  </r>
  <r>
    <n v="2026"/>
    <n v="2"/>
    <s v="23-02-2026"/>
    <n v="10931"/>
    <s v="1101-04"/>
    <n v="86052"/>
    <n v="0"/>
    <s v="Centralización recaudaciones febrero 2026 #2760 - #2760"/>
    <n v="86052"/>
    <s v="Activo"/>
    <n v="86052"/>
    <x v="2"/>
  </r>
  <r>
    <n v="2026"/>
    <n v="2"/>
    <s v="23-02-2026"/>
    <n v="10953"/>
    <s v="1101-04"/>
    <n v="190"/>
    <n v="0"/>
    <s v="Centralización recaudaciones febrero 2026 #2782 - #2782"/>
    <n v="190"/>
    <s v="Activo"/>
    <n v="190"/>
    <x v="2"/>
  </r>
  <r>
    <n v="2026"/>
    <n v="2"/>
    <s v="23-02-2026"/>
    <n v="10993"/>
    <s v="1101-04"/>
    <n v="31813"/>
    <n v="0"/>
    <s v="Centralización recaudaciones febrero 2026 #2822 - #2822"/>
    <n v="31813"/>
    <s v="Activo"/>
    <n v="31813"/>
    <x v="2"/>
  </r>
  <r>
    <n v="2026"/>
    <n v="2"/>
    <s v="23-02-2026"/>
    <n v="11000"/>
    <s v="1101-04"/>
    <n v="24980"/>
    <n v="0"/>
    <s v="Centralización recaudaciones febrero 2026 #2829 - #2829"/>
    <n v="24980"/>
    <s v="Activo"/>
    <n v="24980"/>
    <x v="2"/>
  </r>
  <r>
    <n v="2026"/>
    <n v="2"/>
    <s v="23-02-2026"/>
    <n v="11077"/>
    <s v="1101-04"/>
    <n v="0"/>
    <n v="5000000"/>
    <s v="0765406986 transf. itau 0207015225"/>
    <n v="-5000000"/>
    <s v="Activo"/>
    <n v="-5000000"/>
    <x v="2"/>
  </r>
  <r>
    <n v="2026"/>
    <n v="2"/>
    <s v="23-02-2026"/>
    <n v="11080"/>
    <s v="1101-04"/>
    <n v="0"/>
    <n v="5000000"/>
    <s v="0765406986 transf. itau 0207015225"/>
    <n v="-5000000"/>
    <s v="Activo"/>
    <n v="-5000000"/>
    <x v="2"/>
  </r>
  <r>
    <n v="2026"/>
    <n v="2"/>
    <s v="23-02-2026"/>
    <n v="11081"/>
    <s v="1101-04"/>
    <n v="0"/>
    <n v="5000000"/>
    <s v="0765406986 transf. itau 0207015225"/>
    <n v="-5000000"/>
    <s v="Activo"/>
    <n v="-5000000"/>
    <x v="2"/>
  </r>
  <r>
    <n v="2026"/>
    <n v="2"/>
    <s v="23-02-2026"/>
    <n v="11082"/>
    <s v="1101-04"/>
    <n v="0"/>
    <n v="5000000"/>
    <s v="0765406986 transf. itau 0207015225"/>
    <n v="-5000000"/>
    <s v="Activo"/>
    <n v="-5000000"/>
    <x v="2"/>
  </r>
  <r>
    <n v="2026"/>
    <n v="2"/>
    <s v="23-02-2026"/>
    <n v="11083"/>
    <s v="1101-04"/>
    <n v="0"/>
    <n v="5000000"/>
    <s v="0765406986 transf. itau 0207015225"/>
    <n v="-5000000"/>
    <s v="Activo"/>
    <n v="-5000000"/>
    <x v="2"/>
  </r>
  <r>
    <n v="2026"/>
    <n v="2"/>
    <s v="23-02-2026"/>
    <n v="11084"/>
    <s v="1101-04"/>
    <n v="0"/>
    <n v="5000000"/>
    <s v="0765406986 transf. itau 0207015225"/>
    <n v="-5000000"/>
    <s v="Activo"/>
    <n v="-5000000"/>
    <x v="2"/>
  </r>
  <r>
    <n v="2026"/>
    <n v="2"/>
    <s v="23-02-2026"/>
    <n v="11085"/>
    <s v="1101-04"/>
    <n v="0"/>
    <n v="5000000"/>
    <s v="0765406986 transf. itau 0207015225"/>
    <n v="-5000000"/>
    <s v="Activo"/>
    <n v="-5000000"/>
    <x v="2"/>
  </r>
  <r>
    <n v="2026"/>
    <n v="2"/>
    <s v="23-02-2026"/>
    <n v="11086"/>
    <s v="1101-04"/>
    <n v="0"/>
    <n v="5000000"/>
    <s v="0765406986 transf. itau 0207015225"/>
    <n v="-5000000"/>
    <s v="Activo"/>
    <n v="-5000000"/>
    <x v="2"/>
  </r>
  <r>
    <n v="2026"/>
    <n v="2"/>
    <s v="23-02-2026"/>
    <n v="11087"/>
    <s v="1101-04"/>
    <n v="0"/>
    <n v="5000000"/>
    <s v="0765406986 transf. itau 0207015225"/>
    <n v="-5000000"/>
    <s v="Activo"/>
    <n v="-5000000"/>
    <x v="2"/>
  </r>
  <r>
    <n v="2026"/>
    <n v="2"/>
    <s v="23-02-2026"/>
    <n v="11088"/>
    <s v="1101-04"/>
    <n v="0"/>
    <n v="5000000"/>
    <s v="0765406986 transf. itau 0207015225"/>
    <n v="-5000000"/>
    <s v="Activo"/>
    <n v="-5000000"/>
    <x v="2"/>
  </r>
  <r>
    <n v="2026"/>
    <n v="2"/>
    <s v="23-02-2026"/>
    <n v="11089"/>
    <s v="1101-04"/>
    <n v="0"/>
    <n v="5000000"/>
    <s v="0765406986 transf. itau 0207015225"/>
    <n v="-5000000"/>
    <s v="Activo"/>
    <n v="-5000000"/>
    <x v="2"/>
  </r>
  <r>
    <n v="2026"/>
    <n v="2"/>
    <s v="23-02-2026"/>
    <n v="11090"/>
    <s v="1101-04"/>
    <n v="0"/>
    <n v="5000000"/>
    <s v="0765406986 transf. itau 0207015225"/>
    <n v="-5000000"/>
    <s v="Activo"/>
    <n v="-5000000"/>
    <x v="2"/>
  </r>
  <r>
    <n v="2026"/>
    <n v="2"/>
    <s v="23-02-2026"/>
    <n v="11091"/>
    <s v="1101-04"/>
    <n v="0"/>
    <n v="5000000"/>
    <s v="0765406986 transf. itau 0207015225"/>
    <n v="-5000000"/>
    <s v="Activo"/>
    <n v="-5000000"/>
    <x v="2"/>
  </r>
  <r>
    <n v="2026"/>
    <n v="2"/>
    <s v="23-02-2026"/>
    <n v="11092"/>
    <s v="1101-04"/>
    <n v="0"/>
    <n v="5000000"/>
    <s v="0765406986 transf. itau 0207015225"/>
    <n v="-5000000"/>
    <s v="Activo"/>
    <n v="-5000000"/>
    <x v="2"/>
  </r>
  <r>
    <n v="2026"/>
    <n v="2"/>
    <s v="23-02-2026"/>
    <n v="11093"/>
    <s v="1101-04"/>
    <n v="0"/>
    <n v="5000000"/>
    <s v="0765406986 transf. itau 0207015225"/>
    <n v="-5000000"/>
    <s v="Activo"/>
    <n v="-5000000"/>
    <x v="2"/>
  </r>
  <r>
    <n v="2026"/>
    <n v="2"/>
    <s v="23-02-2026"/>
    <n v="11094"/>
    <s v="1101-04"/>
    <n v="0"/>
    <n v="4000000"/>
    <s v="0765406986 transf. itau 0207015225"/>
    <n v="-4000000"/>
    <s v="Activo"/>
    <n v="-4000000"/>
    <x v="2"/>
  </r>
  <r>
    <n v="2026"/>
    <n v="2"/>
    <s v="23-02-2026"/>
    <n v="10592"/>
    <s v="1101-04"/>
    <n v="0"/>
    <n v="5000000"/>
    <s v="Traspaso itau 230434690"/>
    <n v="-5000000"/>
    <s v="Activo"/>
    <n v="-5000000"/>
    <x v="2"/>
  </r>
  <r>
    <n v="2026"/>
    <n v="2"/>
    <s v="24-02-2026"/>
    <n v="10494"/>
    <s v="1101-04"/>
    <n v="32990"/>
    <n v="0"/>
    <s v="Centralización recaudaciones febrero 2026 #2323 - #2323"/>
    <n v="32990"/>
    <s v="Activo"/>
    <n v="32990"/>
    <x v="2"/>
  </r>
  <r>
    <n v="2026"/>
    <n v="2"/>
    <s v="24-02-2026"/>
    <n v="10519"/>
    <s v="1101-04"/>
    <n v="59990"/>
    <n v="0"/>
    <s v="Centralización recaudaciones febrero 2026 #2348 - #2348"/>
    <n v="59990"/>
    <s v="Activo"/>
    <n v="59990"/>
    <x v="2"/>
  </r>
  <r>
    <n v="2026"/>
    <n v="2"/>
    <s v="24-02-2026"/>
    <n v="10570"/>
    <s v="1101-04"/>
    <n v="30032"/>
    <n v="0"/>
    <s v="Centralización recaudaciones febrero 2026 #2399 - #2399"/>
    <n v="30032"/>
    <s v="Activo"/>
    <n v="30032"/>
    <x v="2"/>
  </r>
  <r>
    <n v="2026"/>
    <n v="2"/>
    <s v="24-02-2026"/>
    <n v="10588"/>
    <s v="1101-04"/>
    <n v="53980"/>
    <n v="0"/>
    <s v="Centralización recaudaciones febrero 2026 #2417 - #2417"/>
    <n v="53980"/>
    <s v="Activo"/>
    <n v="53980"/>
    <x v="2"/>
  </r>
  <r>
    <n v="2026"/>
    <n v="2"/>
    <s v="24-02-2026"/>
    <n v="10620"/>
    <s v="1101-04"/>
    <n v="130400"/>
    <n v="0"/>
    <s v="Centralización recaudaciones febrero 2026 #2449 - #2449"/>
    <n v="130400"/>
    <s v="Activo"/>
    <n v="130400"/>
    <x v="2"/>
  </r>
  <r>
    <n v="2026"/>
    <n v="2"/>
    <s v="24-02-2026"/>
    <n v="10629"/>
    <s v="1101-04"/>
    <n v="33990"/>
    <n v="0"/>
    <s v="Centralización recaudaciones febrero 2026 #2458 - #2458"/>
    <n v="33990"/>
    <s v="Activo"/>
    <n v="33990"/>
    <x v="2"/>
  </r>
  <r>
    <n v="2026"/>
    <n v="2"/>
    <s v="24-02-2026"/>
    <n v="10715"/>
    <s v="1101-04"/>
    <n v="8990"/>
    <n v="0"/>
    <s v="Centralización recaudaciones febrero 2026 #2544 - #2544"/>
    <n v="8990"/>
    <s v="Activo"/>
    <n v="8990"/>
    <x v="2"/>
  </r>
  <r>
    <n v="2026"/>
    <n v="2"/>
    <s v="24-02-2026"/>
    <n v="10766"/>
    <s v="1101-04"/>
    <n v="11510"/>
    <n v="0"/>
    <s v="Centralización recaudaciones febrero 2026 #2595 - #2595"/>
    <n v="11510"/>
    <s v="Activo"/>
    <n v="11510"/>
    <x v="2"/>
  </r>
  <r>
    <n v="2026"/>
    <n v="2"/>
    <s v="24-02-2026"/>
    <n v="10917"/>
    <s v="1101-04"/>
    <n v="33990"/>
    <n v="0"/>
    <s v="Centralización recaudaciones febrero 2026 #2746 - #2746"/>
    <n v="33990"/>
    <s v="Activo"/>
    <n v="33990"/>
    <x v="2"/>
  </r>
  <r>
    <n v="2026"/>
    <n v="2"/>
    <s v="24-02-2026"/>
    <n v="10949"/>
    <s v="1101-04"/>
    <n v="118964"/>
    <n v="0"/>
    <s v="Centralización recaudaciones febrero 2026 #2778 - #2778"/>
    <n v="118964"/>
    <s v="Activo"/>
    <n v="118964"/>
    <x v="2"/>
  </r>
  <r>
    <n v="2026"/>
    <n v="2"/>
    <s v="24-02-2026"/>
    <n v="10960"/>
    <s v="1101-04"/>
    <n v="13500"/>
    <n v="0"/>
    <s v="Centralización recaudaciones febrero 2026 #2789 - #2789"/>
    <n v="13500"/>
    <s v="Activo"/>
    <n v="13500"/>
    <x v="2"/>
  </r>
  <r>
    <n v="2026"/>
    <n v="2"/>
    <s v="24-02-2026"/>
    <n v="10992"/>
    <s v="1101-04"/>
    <n v="696"/>
    <n v="0"/>
    <s v="Centralización recaudaciones febrero 2026 #2821 - #2821"/>
    <n v="696"/>
    <s v="Activo"/>
    <n v="696"/>
    <x v="2"/>
  </r>
  <r>
    <n v="2026"/>
    <n v="2"/>
    <s v="24-02-2026"/>
    <n v="10999"/>
    <s v="1101-04"/>
    <n v="10010"/>
    <n v="0"/>
    <s v="Centralización recaudaciones febrero 2026 #2828 - #2828"/>
    <n v="10010"/>
    <s v="Activo"/>
    <n v="10010"/>
    <x v="2"/>
  </r>
  <r>
    <n v="2026"/>
    <n v="2"/>
    <s v="25-02-2026"/>
    <n v="10569"/>
    <s v="1101-04"/>
    <n v="4958"/>
    <n v="0"/>
    <s v="Centralización recaudaciones febrero 2026 #2398 - #2398"/>
    <n v="4958"/>
    <s v="Activo"/>
    <n v="4958"/>
    <x v="2"/>
  </r>
  <r>
    <n v="2026"/>
    <n v="2"/>
    <s v="25-02-2026"/>
    <n v="10604"/>
    <s v="1101-04"/>
    <n v="118974"/>
    <n v="0"/>
    <s v="Centralización recaudaciones febrero 2026 #2433 - #2433"/>
    <n v="118974"/>
    <s v="Activo"/>
    <n v="118974"/>
    <x v="2"/>
  </r>
  <r>
    <n v="2026"/>
    <n v="2"/>
    <s v="25-02-2026"/>
    <n v="10628"/>
    <s v="1101-04"/>
    <n v="6000"/>
    <n v="0"/>
    <s v="Centralización recaudaciones febrero 2026 #2457 - #2457"/>
    <n v="6000"/>
    <s v="Activo"/>
    <n v="6000"/>
    <x v="2"/>
  </r>
  <r>
    <n v="2026"/>
    <n v="2"/>
    <s v="25-02-2026"/>
    <n v="10838"/>
    <s v="1101-04"/>
    <n v="39990"/>
    <n v="0"/>
    <s v="Centralización recaudaciones febrero 2026 #2667 - #2667"/>
    <n v="39990"/>
    <s v="Activo"/>
    <n v="39990"/>
    <x v="2"/>
  </r>
  <r>
    <n v="2026"/>
    <n v="2"/>
    <s v="25-02-2026"/>
    <n v="10873"/>
    <s v="1101-04"/>
    <n v="425636"/>
    <n v="0"/>
    <s v="Centralización recaudaciones febrero 2026 #2702 - #2702"/>
    <n v="425636"/>
    <s v="Activo"/>
    <n v="425636"/>
    <x v="2"/>
  </r>
  <r>
    <n v="2026"/>
    <n v="2"/>
    <s v="25-02-2026"/>
    <n v="10916"/>
    <s v="1101-04"/>
    <n v="2876"/>
    <n v="0"/>
    <s v="Centralización recaudaciones febrero 2026 #2745 - #2745"/>
    <n v="2876"/>
    <s v="Activo"/>
    <n v="2876"/>
    <x v="2"/>
  </r>
  <r>
    <n v="2026"/>
    <n v="2"/>
    <s v="25-02-2026"/>
    <n v="10922"/>
    <s v="1101-04"/>
    <n v="40000"/>
    <n v="0"/>
    <s v="Centralización recaudaciones febrero 2026 #2751 - #2751"/>
    <n v="40000"/>
    <s v="Activo"/>
    <n v="40000"/>
    <x v="2"/>
  </r>
  <r>
    <n v="2026"/>
    <n v="2"/>
    <s v="25-02-2026"/>
    <n v="10959"/>
    <s v="1101-04"/>
    <n v="26490"/>
    <n v="0"/>
    <s v="Centralización recaudaciones febrero 2026 #2788 - #2788"/>
    <n v="26490"/>
    <s v="Activo"/>
    <n v="26490"/>
    <x v="2"/>
  </r>
  <r>
    <n v="2026"/>
    <n v="2"/>
    <s v="25-02-2026"/>
    <n v="10986"/>
    <s v="1101-04"/>
    <n v="39990"/>
    <n v="0"/>
    <s v="Centralización recaudaciones febrero 2026 #2815 - #2815"/>
    <n v="39990"/>
    <s v="Activo"/>
    <n v="39990"/>
    <x v="2"/>
  </r>
  <r>
    <n v="2026"/>
    <n v="2"/>
    <s v="25-02-2026"/>
    <n v="11031"/>
    <s v="1101-04"/>
    <n v="1706000"/>
    <n v="0"/>
    <s v="Centralización recaudaciones febrero 2026 #2860 - #2860"/>
    <n v="1706000"/>
    <s v="Activo"/>
    <n v="1706000"/>
    <x v="2"/>
  </r>
  <r>
    <n v="2026"/>
    <n v="2"/>
    <s v="25-02-2026"/>
    <n v="11101"/>
    <s v="1101-04"/>
    <n v="0"/>
    <n v="5000000"/>
    <s v="0765406986 transf. itau 0207015225"/>
    <n v="-5000000"/>
    <s v="Activo"/>
    <n v="-5000000"/>
    <x v="2"/>
  </r>
  <r>
    <n v="2026"/>
    <n v="2"/>
    <s v="25-02-2026"/>
    <n v="11103"/>
    <s v="1101-04"/>
    <n v="0"/>
    <n v="2259306"/>
    <s v="0765406986 transf. itau 0207015225"/>
    <n v="-2259306"/>
    <s v="Activo"/>
    <n v="-2259306"/>
    <x v="2"/>
  </r>
  <r>
    <n v="2026"/>
    <n v="2"/>
    <s v="25-02-2026"/>
    <n v="11104"/>
    <s v="1101-04"/>
    <n v="0"/>
    <n v="2000000"/>
    <s v="0765406986 transf. itau 0207015225"/>
    <n v="-2000000"/>
    <s v="Activo"/>
    <n v="-2000000"/>
    <x v="2"/>
  </r>
  <r>
    <n v="2026"/>
    <n v="2"/>
    <s v="25-02-2026"/>
    <n v="10590"/>
    <s v="1101-04"/>
    <n v="1500000"/>
    <n v="0"/>
    <s v="Transf. de tlink spa itau 230434690"/>
    <n v="1500000"/>
    <s v="Activo"/>
    <n v="1500000"/>
    <x v="2"/>
  </r>
  <r>
    <n v="2026"/>
    <n v="2"/>
    <s v="25-02-2026"/>
    <n v="10590"/>
    <s v="1101-04"/>
    <n v="5000000"/>
    <n v="0"/>
    <s v="Transf. de tlink spa itau 230434690"/>
    <n v="5000000"/>
    <s v="Activo"/>
    <n v="5000000"/>
    <x v="2"/>
  </r>
  <r>
    <n v="2026"/>
    <n v="2"/>
    <s v="25-02-2026"/>
    <n v="10593"/>
    <s v="1101-04"/>
    <n v="0"/>
    <n v="11696"/>
    <s v="Dif comision corfo"/>
    <n v="-11696"/>
    <s v="Activo"/>
    <n v="-11696"/>
    <x v="2"/>
  </r>
  <r>
    <n v="2026"/>
    <n v="2"/>
    <s v="26-02-2026"/>
    <n v="10515"/>
    <s v="1101-04"/>
    <n v="50000"/>
    <n v="0"/>
    <s v="Centralización recaudaciones febrero 2026 #2344 - #2344"/>
    <n v="50000"/>
    <s v="Activo"/>
    <n v="50000"/>
    <x v="2"/>
  </r>
  <r>
    <n v="2026"/>
    <n v="2"/>
    <s v="26-02-2026"/>
    <n v="10520"/>
    <s v="1101-04"/>
    <n v="49990"/>
    <n v="0"/>
    <s v="Centralización recaudaciones febrero 2026 #2349 - #2349"/>
    <n v="49990"/>
    <s v="Activo"/>
    <n v="49990"/>
    <x v="2"/>
  </r>
  <r>
    <n v="2026"/>
    <n v="2"/>
    <s v="26-02-2026"/>
    <n v="10523"/>
    <s v="1101-04"/>
    <n v="40000"/>
    <n v="0"/>
    <s v="Centralización recaudaciones febrero 2026 #2352 - #2352"/>
    <n v="40000"/>
    <s v="Activo"/>
    <n v="40000"/>
    <x v="2"/>
  </r>
  <r>
    <n v="2026"/>
    <n v="2"/>
    <s v="26-02-2026"/>
    <n v="10529"/>
    <s v="1101-04"/>
    <n v="40000"/>
    <n v="0"/>
    <s v="Centralización recaudaciones febrero 2026 #2358 - #2358"/>
    <n v="40000"/>
    <s v="Activo"/>
    <n v="40000"/>
    <x v="2"/>
  </r>
  <r>
    <n v="2026"/>
    <n v="2"/>
    <s v="26-02-2026"/>
    <n v="10542"/>
    <s v="1101-04"/>
    <n v="50000"/>
    <n v="0"/>
    <s v="Centralización recaudaciones febrero 2026 #2371 - #2371"/>
    <n v="50000"/>
    <s v="Activo"/>
    <n v="50000"/>
    <x v="2"/>
  </r>
  <r>
    <n v="2026"/>
    <n v="2"/>
    <s v="26-02-2026"/>
    <n v="10551"/>
    <s v="1101-04"/>
    <n v="40000"/>
    <n v="0"/>
    <s v="Centralización recaudaciones febrero 2026 #2380 - #2380"/>
    <n v="40000"/>
    <s v="Activo"/>
    <n v="40000"/>
    <x v="2"/>
  </r>
  <r>
    <n v="2026"/>
    <n v="2"/>
    <s v="26-02-2026"/>
    <n v="10552"/>
    <s v="1101-04"/>
    <n v="42990"/>
    <n v="0"/>
    <s v="Centralización recaudaciones febrero 2026 #2381 - #2381"/>
    <n v="42990"/>
    <s v="Activo"/>
    <n v="42990"/>
    <x v="2"/>
  </r>
  <r>
    <n v="2026"/>
    <n v="2"/>
    <s v="26-02-2026"/>
    <n v="10574"/>
    <s v="1101-04"/>
    <n v="59980"/>
    <n v="0"/>
    <s v="Centralización recaudaciones febrero 2026 #2403 - #2403"/>
    <n v="59980"/>
    <s v="Activo"/>
    <n v="59980"/>
    <x v="2"/>
  </r>
  <r>
    <n v="2026"/>
    <n v="2"/>
    <s v="26-02-2026"/>
    <n v="10601"/>
    <s v="1101-04"/>
    <n v="50000"/>
    <n v="0"/>
    <s v="Centralización recaudaciones febrero 2026 #2430 - #2430"/>
    <n v="50000"/>
    <s v="Activo"/>
    <n v="50000"/>
    <x v="2"/>
  </r>
  <r>
    <n v="2026"/>
    <n v="2"/>
    <s v="26-02-2026"/>
    <n v="10640"/>
    <s v="1101-04"/>
    <n v="50000"/>
    <n v="0"/>
    <s v="Centralización recaudaciones febrero 2026 #2469 - #2469"/>
    <n v="50000"/>
    <s v="Activo"/>
    <n v="50000"/>
    <x v="2"/>
  </r>
  <r>
    <n v="2026"/>
    <n v="2"/>
    <s v="26-02-2026"/>
    <n v="10648"/>
    <s v="1101-04"/>
    <n v="15990"/>
    <n v="0"/>
    <s v="Centralización recaudaciones febrero 2026 #2477 - #2477"/>
    <n v="15990"/>
    <s v="Activo"/>
    <n v="15990"/>
    <x v="2"/>
  </r>
  <r>
    <n v="2026"/>
    <n v="2"/>
    <s v="26-02-2026"/>
    <n v="10653"/>
    <s v="1101-04"/>
    <n v="47960"/>
    <n v="0"/>
    <s v="Centralización recaudaciones febrero 2026 #2482 - #2482"/>
    <n v="47960"/>
    <s v="Activo"/>
    <n v="47960"/>
    <x v="2"/>
  </r>
  <r>
    <n v="2026"/>
    <n v="2"/>
    <s v="26-02-2026"/>
    <n v="10660"/>
    <s v="1101-04"/>
    <n v="50000"/>
    <n v="0"/>
    <s v="Centralización recaudaciones febrero 2026 #2489 - #2489"/>
    <n v="50000"/>
    <s v="Activo"/>
    <n v="50000"/>
    <x v="2"/>
  </r>
  <r>
    <n v="2026"/>
    <n v="2"/>
    <s v="26-02-2026"/>
    <n v="10669"/>
    <s v="1101-04"/>
    <n v="50000"/>
    <n v="0"/>
    <s v="Centralización recaudaciones febrero 2026 #2498 - #2498"/>
    <n v="50000"/>
    <s v="Activo"/>
    <n v="50000"/>
    <x v="2"/>
  </r>
  <r>
    <n v="2026"/>
    <n v="2"/>
    <s v="26-02-2026"/>
    <n v="10685"/>
    <s v="1101-04"/>
    <n v="50970"/>
    <n v="0"/>
    <s v="Centralización recaudaciones febrero 2026 #2514 - #2514"/>
    <n v="50970"/>
    <s v="Activo"/>
    <n v="50970"/>
    <x v="2"/>
  </r>
  <r>
    <n v="2026"/>
    <n v="2"/>
    <s v="26-02-2026"/>
    <n v="10756"/>
    <s v="1101-04"/>
    <n v="48000"/>
    <n v="0"/>
    <s v="Centralización recaudaciones febrero 2026 #2585 - #2585"/>
    <n v="48000"/>
    <s v="Activo"/>
    <n v="48000"/>
    <x v="2"/>
  </r>
  <r>
    <n v="2026"/>
    <n v="2"/>
    <s v="26-02-2026"/>
    <n v="10776"/>
    <s v="1101-04"/>
    <n v="1826805"/>
    <n v="0"/>
    <s v="Centralización recaudaciones febrero 2026 #2605 - #2605"/>
    <n v="1826805"/>
    <s v="Activo"/>
    <n v="1826805"/>
    <x v="2"/>
  </r>
  <r>
    <n v="2026"/>
    <n v="2"/>
    <s v="26-02-2026"/>
    <n v="10822"/>
    <s v="1101-04"/>
    <n v="43999"/>
    <n v="0"/>
    <s v="Centralización recaudaciones febrero 2026 #2651 - #2651"/>
    <n v="43999"/>
    <s v="Activo"/>
    <n v="43999"/>
    <x v="2"/>
  </r>
  <r>
    <n v="2026"/>
    <n v="2"/>
    <s v="26-02-2026"/>
    <n v="10837"/>
    <s v="1101-04"/>
    <n v="42990"/>
    <n v="0"/>
    <s v="Centralización recaudaciones febrero 2026 #2666 - #2666"/>
    <n v="42990"/>
    <s v="Activo"/>
    <n v="42990"/>
    <x v="2"/>
  </r>
  <r>
    <n v="2026"/>
    <n v="2"/>
    <s v="26-02-2026"/>
    <n v="10849"/>
    <s v="1101-04"/>
    <n v="47922"/>
    <n v="0"/>
    <s v="Centralización recaudaciones febrero 2026 #2678 - #2678"/>
    <n v="47922"/>
    <s v="Activo"/>
    <n v="47922"/>
    <x v="2"/>
  </r>
  <r>
    <n v="2026"/>
    <n v="2"/>
    <s v="26-02-2026"/>
    <n v="10867"/>
    <s v="1101-04"/>
    <n v="4283"/>
    <n v="0"/>
    <s v="Centralización recaudaciones febrero 2026 #2696 - #2696"/>
    <n v="4283"/>
    <s v="Activo"/>
    <n v="4283"/>
    <x v="2"/>
  </r>
  <r>
    <n v="2026"/>
    <n v="2"/>
    <s v="26-02-2026"/>
    <n v="10910"/>
    <s v="1101-04"/>
    <n v="44990"/>
    <n v="0"/>
    <s v="Centralización recaudaciones febrero 2026 #2739 - #2739"/>
    <n v="44990"/>
    <s v="Activo"/>
    <n v="44990"/>
    <x v="2"/>
  </r>
  <r>
    <n v="2026"/>
    <n v="2"/>
    <s v="26-02-2026"/>
    <n v="10914"/>
    <s v="1101-04"/>
    <n v="64990"/>
    <n v="0"/>
    <s v="Centralización recaudaciones febrero 2026 #2743 - #2743"/>
    <n v="64990"/>
    <s v="Activo"/>
    <n v="64990"/>
    <x v="2"/>
  </r>
  <r>
    <n v="2026"/>
    <n v="2"/>
    <s v="26-02-2026"/>
    <n v="10927"/>
    <s v="1101-04"/>
    <n v="41638"/>
    <n v="0"/>
    <s v="Centralización recaudaciones febrero 2026 #2756 - #2756"/>
    <n v="41638"/>
    <s v="Activo"/>
    <n v="41638"/>
    <x v="2"/>
  </r>
  <r>
    <n v="2026"/>
    <n v="2"/>
    <s v="26-02-2026"/>
    <n v="10938"/>
    <s v="1101-04"/>
    <n v="41638"/>
    <n v="0"/>
    <s v="Centralización recaudaciones febrero 2026 #2767 - #2767"/>
    <n v="41638"/>
    <s v="Activo"/>
    <n v="41638"/>
    <x v="2"/>
  </r>
  <r>
    <n v="2026"/>
    <n v="2"/>
    <s v="26-02-2026"/>
    <n v="10958"/>
    <s v="1101-04"/>
    <n v="38980"/>
    <n v="0"/>
    <s v="Centralización recaudaciones febrero 2026 #2787 - #2787"/>
    <n v="38980"/>
    <s v="Activo"/>
    <n v="38980"/>
    <x v="2"/>
  </r>
  <r>
    <n v="2026"/>
    <n v="2"/>
    <s v="26-02-2026"/>
    <n v="10969"/>
    <s v="1101-04"/>
    <n v="49980"/>
    <n v="0"/>
    <s v="Centralización recaudaciones febrero 2026 #2798 - #2798"/>
    <n v="49980"/>
    <s v="Activo"/>
    <n v="49980"/>
    <x v="2"/>
  </r>
  <r>
    <n v="2026"/>
    <n v="2"/>
    <s v="26-02-2026"/>
    <n v="11018"/>
    <s v="1101-04"/>
    <n v="54990"/>
    <n v="0"/>
    <s v="Centralización recaudaciones febrero 2026 #2847 - #2847"/>
    <n v="54990"/>
    <s v="Activo"/>
    <n v="54990"/>
    <x v="2"/>
  </r>
  <r>
    <n v="2026"/>
    <n v="2"/>
    <s v="26-02-2026"/>
    <n v="11030"/>
    <s v="1101-04"/>
    <n v="31471"/>
    <n v="0"/>
    <s v="Centralización recaudaciones febrero 2026 #2859 - #2859"/>
    <n v="31471"/>
    <s v="Activo"/>
    <n v="31471"/>
    <x v="2"/>
  </r>
  <r>
    <n v="2026"/>
    <n v="2"/>
    <s v="27-02-2026"/>
    <n v="10495"/>
    <s v="1101-04"/>
    <n v="7010"/>
    <n v="0"/>
    <s v="Centralización recaudaciones febrero 2026 #2324 - #2324"/>
    <n v="7010"/>
    <s v="Activo"/>
    <n v="7010"/>
    <x v="2"/>
  </r>
  <r>
    <n v="2026"/>
    <n v="2"/>
    <s v="27-02-2026"/>
    <n v="10507"/>
    <s v="1101-04"/>
    <n v="59930"/>
    <n v="0"/>
    <s v="Centralización recaudaciones febrero 2026 #2336 - #2336"/>
    <n v="59930"/>
    <s v="Activo"/>
    <n v="59930"/>
    <x v="2"/>
  </r>
  <r>
    <n v="2026"/>
    <n v="2"/>
    <s v="27-02-2026"/>
    <n v="10510"/>
    <s v="1101-04"/>
    <n v="66000"/>
    <n v="0"/>
    <s v="Centralización recaudaciones febrero 2026 #2339 - #2339"/>
    <n v="66000"/>
    <s v="Activo"/>
    <n v="66000"/>
    <x v="2"/>
  </r>
  <r>
    <n v="2026"/>
    <n v="2"/>
    <s v="27-02-2026"/>
    <n v="10512"/>
    <s v="1101-04"/>
    <n v="4392"/>
    <n v="0"/>
    <s v="Centralización recaudaciones febrero 2026 #2341 - #2341"/>
    <n v="4392"/>
    <s v="Activo"/>
    <n v="4392"/>
    <x v="2"/>
  </r>
  <r>
    <n v="2026"/>
    <n v="2"/>
    <s v="27-02-2026"/>
    <n v="10513"/>
    <s v="1101-04"/>
    <n v="30000"/>
    <n v="0"/>
    <s v="Centralización recaudaciones febrero 2026 #2342 - #2342"/>
    <n v="30000"/>
    <s v="Activo"/>
    <n v="30000"/>
    <x v="2"/>
  </r>
  <r>
    <n v="2026"/>
    <n v="2"/>
    <s v="27-02-2026"/>
    <n v="10521"/>
    <s v="1101-04"/>
    <n v="130100"/>
    <n v="0"/>
    <s v="Centralización recaudaciones febrero 2026 #2350 - #2350"/>
    <n v="130100"/>
    <s v="Activo"/>
    <n v="130100"/>
    <x v="2"/>
  </r>
  <r>
    <n v="2026"/>
    <n v="2"/>
    <s v="27-02-2026"/>
    <n v="10536"/>
    <s v="1101-04"/>
    <n v="32990"/>
    <n v="0"/>
    <s v="Centralización recaudaciones febrero 2026 #2365 - #2365"/>
    <n v="32990"/>
    <s v="Activo"/>
    <n v="32990"/>
    <x v="2"/>
  </r>
  <r>
    <n v="2026"/>
    <n v="2"/>
    <s v="27-02-2026"/>
    <n v="10539"/>
    <s v="1101-04"/>
    <n v="30000"/>
    <n v="0"/>
    <s v="Centralización recaudaciones febrero 2026 #2368 - #2368"/>
    <n v="30000"/>
    <s v="Activo"/>
    <n v="30000"/>
    <x v="2"/>
  </r>
  <r>
    <n v="2026"/>
    <n v="2"/>
    <s v="27-02-2026"/>
    <n v="10572"/>
    <s v="1101-04"/>
    <n v="30000"/>
    <n v="0"/>
    <s v="Centralización recaudaciones febrero 2026 #2401 - #2401"/>
    <n v="30000"/>
    <s v="Activo"/>
    <n v="30000"/>
    <x v="2"/>
  </r>
  <r>
    <n v="2026"/>
    <n v="2"/>
    <s v="27-02-2026"/>
    <n v="10586"/>
    <s v="1101-04"/>
    <n v="59991"/>
    <n v="0"/>
    <s v="Centralización recaudaciones febrero 2026 #2415 - #2415"/>
    <n v="59991"/>
    <s v="Activo"/>
    <n v="59991"/>
    <x v="2"/>
  </r>
  <r>
    <n v="2026"/>
    <n v="2"/>
    <s v="27-02-2026"/>
    <n v="10593"/>
    <s v="1101-04"/>
    <n v="59970"/>
    <n v="0"/>
    <s v="Centralización recaudaciones febrero 2026 #2422 - #2422"/>
    <n v="59970"/>
    <s v="Activo"/>
    <n v="59970"/>
    <x v="2"/>
  </r>
  <r>
    <n v="2026"/>
    <n v="2"/>
    <s v="27-02-2026"/>
    <n v="10626"/>
    <s v="1101-04"/>
    <n v="59950"/>
    <n v="0"/>
    <s v="Centralización recaudaciones febrero 2026 #2455 - #2455"/>
    <n v="59950"/>
    <s v="Activo"/>
    <n v="59950"/>
    <x v="2"/>
  </r>
  <r>
    <n v="2026"/>
    <n v="2"/>
    <s v="27-02-2026"/>
    <n v="10636"/>
    <s v="1101-04"/>
    <n v="50000"/>
    <n v="0"/>
    <s v="Centralización recaudaciones febrero 2026 #2465 - #2465"/>
    <n v="50000"/>
    <s v="Activo"/>
    <n v="50000"/>
    <x v="2"/>
  </r>
  <r>
    <n v="2026"/>
    <n v="2"/>
    <s v="27-02-2026"/>
    <n v="10644"/>
    <s v="1101-04"/>
    <n v="30000"/>
    <n v="0"/>
    <s v="Centralización recaudaciones febrero 2026 #2473 - #2473"/>
    <n v="30000"/>
    <s v="Activo"/>
    <n v="30000"/>
    <x v="2"/>
  </r>
  <r>
    <n v="2026"/>
    <n v="2"/>
    <s v="27-02-2026"/>
    <n v="10659"/>
    <s v="1101-04"/>
    <n v="30000"/>
    <n v="0"/>
    <s v="Centralización recaudaciones febrero 2026 #2488 - #2488"/>
    <n v="30000"/>
    <s v="Activo"/>
    <n v="30000"/>
    <x v="2"/>
  </r>
  <r>
    <n v="2026"/>
    <n v="2"/>
    <s v="27-02-2026"/>
    <n v="10678"/>
    <s v="1101-04"/>
    <n v="283758"/>
    <n v="0"/>
    <s v="Centralización recaudaciones febrero 2026 #2507 - #2507"/>
    <n v="283758"/>
    <s v="Activo"/>
    <n v="283758"/>
    <x v="2"/>
  </r>
  <r>
    <n v="2026"/>
    <n v="2"/>
    <s v="27-02-2026"/>
    <n v="10699"/>
    <s v="1101-04"/>
    <n v="30000"/>
    <n v="0"/>
    <s v="Centralización recaudaciones febrero 2026 #2528 - #2528"/>
    <n v="30000"/>
    <s v="Activo"/>
    <n v="30000"/>
    <x v="2"/>
  </r>
  <r>
    <n v="2026"/>
    <n v="2"/>
    <s v="27-02-2026"/>
    <n v="10717"/>
    <s v="1101-04"/>
    <n v="60980"/>
    <n v="0"/>
    <s v="Centralización recaudaciones febrero 2026 #2546 - #2546"/>
    <n v="60980"/>
    <s v="Activo"/>
    <n v="60980"/>
    <x v="2"/>
  </r>
  <r>
    <n v="2026"/>
    <n v="2"/>
    <s v="27-02-2026"/>
    <n v="10733"/>
    <s v="1101-04"/>
    <n v="169525"/>
    <n v="0"/>
    <s v="Centralización recaudaciones febrero 2026 #2562 - #2562"/>
    <n v="169525"/>
    <s v="Activo"/>
    <n v="169525"/>
    <x v="2"/>
  </r>
  <r>
    <n v="2026"/>
    <n v="2"/>
    <s v="27-02-2026"/>
    <n v="10736"/>
    <s v="1101-04"/>
    <n v="60980"/>
    <n v="0"/>
    <s v="Centralización recaudaciones febrero 2026 #2565 - #2565"/>
    <n v="60980"/>
    <s v="Activo"/>
    <n v="60980"/>
    <x v="2"/>
  </r>
  <r>
    <n v="2026"/>
    <n v="2"/>
    <s v="27-02-2026"/>
    <n v="10741"/>
    <s v="1101-04"/>
    <n v="15000"/>
    <n v="0"/>
    <s v="Centralización recaudaciones febrero 2026 #2570 - #2570"/>
    <n v="15000"/>
    <s v="Activo"/>
    <n v="15000"/>
    <x v="2"/>
  </r>
  <r>
    <n v="2026"/>
    <n v="2"/>
    <s v="27-02-2026"/>
    <n v="10767"/>
    <s v="1101-04"/>
    <n v="28480"/>
    <n v="0"/>
    <s v="Centralización recaudaciones febrero 2026 #2596 - #2596"/>
    <n v="28480"/>
    <s v="Activo"/>
    <n v="28480"/>
    <x v="2"/>
  </r>
  <r>
    <n v="2026"/>
    <n v="2"/>
    <s v="27-02-2026"/>
    <n v="10770"/>
    <s v="1101-04"/>
    <n v="71951"/>
    <n v="0"/>
    <s v="Centralización recaudaciones febrero 2026 #2599 - #2599"/>
    <n v="71951"/>
    <s v="Activo"/>
    <n v="71951"/>
    <x v="2"/>
  </r>
  <r>
    <n v="2026"/>
    <n v="2"/>
    <s v="27-02-2026"/>
    <n v="10775"/>
    <s v="1101-04"/>
    <n v="19990"/>
    <n v="0"/>
    <s v="Centralización recaudaciones febrero 2026 #2604 - #2604"/>
    <n v="19990"/>
    <s v="Activo"/>
    <n v="19990"/>
    <x v="2"/>
  </r>
  <r>
    <n v="2026"/>
    <n v="2"/>
    <s v="27-02-2026"/>
    <n v="10780"/>
    <s v="1101-04"/>
    <n v="21990"/>
    <n v="0"/>
    <s v="Centralización recaudaciones febrero 2026 #2609 - #2609"/>
    <n v="21990"/>
    <s v="Activo"/>
    <n v="21990"/>
    <x v="2"/>
  </r>
  <r>
    <n v="2026"/>
    <n v="2"/>
    <s v="27-02-2026"/>
    <n v="10821"/>
    <s v="1101-04"/>
    <n v="425637"/>
    <n v="0"/>
    <s v="Centralización recaudaciones febrero 2026 #2650 - #2650"/>
    <n v="425637"/>
    <s v="Activo"/>
    <n v="425637"/>
    <x v="2"/>
  </r>
  <r>
    <n v="2026"/>
    <n v="2"/>
    <s v="27-02-2026"/>
    <n v="10844"/>
    <s v="1101-04"/>
    <n v="1000"/>
    <n v="0"/>
    <s v="Centralización recaudaciones febrero 2026 #2673 - #2673"/>
    <n v="1000"/>
    <s v="Activo"/>
    <n v="1000"/>
    <x v="2"/>
  </r>
  <r>
    <n v="2026"/>
    <n v="2"/>
    <s v="27-02-2026"/>
    <n v="10848"/>
    <s v="1101-04"/>
    <n v="32058"/>
    <n v="0"/>
    <s v="Centralización recaudaciones febrero 2026 #2677 - #2677"/>
    <n v="32058"/>
    <s v="Activo"/>
    <n v="32058"/>
    <x v="2"/>
  </r>
  <r>
    <n v="2026"/>
    <n v="2"/>
    <s v="27-02-2026"/>
    <n v="10857"/>
    <s v="1101-04"/>
    <n v="33990"/>
    <n v="0"/>
    <s v="Centralización recaudaciones febrero 2026 #2686 - #2686"/>
    <n v="33990"/>
    <s v="Activo"/>
    <n v="33990"/>
    <x v="2"/>
  </r>
  <r>
    <n v="2026"/>
    <n v="2"/>
    <s v="27-02-2026"/>
    <n v="10868"/>
    <s v="1101-04"/>
    <n v="50707"/>
    <n v="0"/>
    <s v="Centralización recaudaciones febrero 2026 #2697 - #2697"/>
    <n v="50707"/>
    <s v="Activo"/>
    <n v="50707"/>
    <x v="2"/>
  </r>
  <r>
    <n v="2026"/>
    <n v="2"/>
    <s v="27-02-2026"/>
    <n v="10879"/>
    <s v="1101-04"/>
    <n v="200789"/>
    <n v="0"/>
    <s v="Centralización recaudaciones febrero 2026 #2708 - #2708"/>
    <n v="200789"/>
    <s v="Activo"/>
    <n v="200789"/>
    <x v="2"/>
  </r>
  <r>
    <n v="2026"/>
    <n v="2"/>
    <s v="27-02-2026"/>
    <n v="10902"/>
    <s v="1101-04"/>
    <n v="29990"/>
    <n v="0"/>
    <s v="Centralización recaudaciones febrero 2026 #2731 - #2731"/>
    <n v="29990"/>
    <s v="Activo"/>
    <n v="29990"/>
    <x v="2"/>
  </r>
  <r>
    <n v="2026"/>
    <n v="2"/>
    <s v="27-02-2026"/>
    <n v="10961"/>
    <s v="1101-04"/>
    <n v="33990"/>
    <n v="0"/>
    <s v="Centralización recaudaciones febrero 2026 #2790 - #2790"/>
    <n v="33990"/>
    <s v="Activo"/>
    <n v="33990"/>
    <x v="2"/>
  </r>
  <r>
    <n v="2026"/>
    <n v="2"/>
    <s v="27-02-2026"/>
    <n v="10973"/>
    <s v="1101-04"/>
    <n v="33990"/>
    <n v="0"/>
    <s v="Centralización recaudaciones febrero 2026 #2802 - #2802"/>
    <n v="33990"/>
    <s v="Activo"/>
    <n v="33990"/>
    <x v="2"/>
  </r>
  <r>
    <n v="2026"/>
    <n v="2"/>
    <s v="27-02-2026"/>
    <n v="10978"/>
    <s v="1101-04"/>
    <n v="65990"/>
    <n v="0"/>
    <s v="Centralización recaudaciones febrero 2026 #2807 - #2807"/>
    <n v="65990"/>
    <s v="Activo"/>
    <n v="65990"/>
    <x v="2"/>
  </r>
  <r>
    <n v="2026"/>
    <n v="2"/>
    <s v="27-02-2026"/>
    <n v="11011"/>
    <s v="1101-04"/>
    <n v="2478885"/>
    <n v="0"/>
    <s v="Centralización recaudaciones febrero 2026 #2840 - #2840"/>
    <n v="2478885"/>
    <s v="Activo"/>
    <n v="2478885"/>
    <x v="2"/>
  </r>
  <r>
    <n v="2026"/>
    <n v="2"/>
    <s v="27-02-2026"/>
    <n v="11027"/>
    <s v="1101-04"/>
    <n v="30000"/>
    <n v="0"/>
    <s v="Centralización recaudaciones febrero 2026 #2856 - #2856"/>
    <n v="30000"/>
    <s v="Activo"/>
    <n v="30000"/>
    <x v="2"/>
  </r>
  <r>
    <n v="2026"/>
    <n v="2"/>
    <s v="27-02-2026"/>
    <n v="11029"/>
    <s v="1101-04"/>
    <n v="8530"/>
    <n v="0"/>
    <s v="Centralización recaudaciones febrero 2026 #2858 - #2858"/>
    <n v="8530"/>
    <s v="Activo"/>
    <n v="8530"/>
    <x v="2"/>
  </r>
  <r>
    <n v="2026"/>
    <n v="2"/>
    <s v="27-02-2026"/>
    <n v="11109"/>
    <s v="1101-04"/>
    <n v="0"/>
    <n v="5000000"/>
    <s v="0765406986 transf. itau 0207015225"/>
    <n v="-5000000"/>
    <s v="Activo"/>
    <n v="-5000000"/>
    <x v="2"/>
  </r>
  <r>
    <n v="2026"/>
    <n v="2"/>
    <s v="27-02-2026"/>
    <n v="11110"/>
    <s v="1101-04"/>
    <n v="0"/>
    <n v="5000000"/>
    <s v="0765406986 transf. itau 0207015225"/>
    <n v="-5000000"/>
    <s v="Activo"/>
    <n v="-5000000"/>
    <x v="2"/>
  </r>
  <r>
    <n v="2026"/>
    <n v="2"/>
    <s v="27-02-2026"/>
    <n v="11111"/>
    <s v="1101-04"/>
    <n v="0"/>
    <n v="5000000"/>
    <s v="0765406986 transf. itau 0207015225"/>
    <n v="-5000000"/>
    <s v="Activo"/>
    <n v="-5000000"/>
    <x v="2"/>
  </r>
  <r>
    <n v="2026"/>
    <n v="2"/>
    <s v="27-02-2026"/>
    <n v="11112"/>
    <s v="1101-04"/>
    <n v="0"/>
    <n v="3530833"/>
    <s v="0765406986 transf. itau 0207015225"/>
    <n v="-3530833"/>
    <s v="Activo"/>
    <n v="-3530833"/>
    <x v="2"/>
  </r>
  <r>
    <n v="2026"/>
    <n v="2"/>
    <s v="27-02-2026"/>
    <n v="10591"/>
    <s v="1101-04"/>
    <n v="5000000"/>
    <n v="0"/>
    <s v="Transf. de tlink spa itau 230434690"/>
    <n v="5000000"/>
    <s v="Activo"/>
    <n v="5000000"/>
    <x v="2"/>
  </r>
  <r>
    <n v="2026"/>
    <n v="2"/>
    <s v="27-02-2026"/>
    <n v="10591"/>
    <s v="1101-04"/>
    <n v="5000000"/>
    <n v="0"/>
    <s v="Transf. de tlink spa itau 230434690"/>
    <n v="5000000"/>
    <s v="Activo"/>
    <n v="5000000"/>
    <x v="2"/>
  </r>
  <r>
    <n v="2026"/>
    <n v="2"/>
    <s v="27-02-2026"/>
    <n v="10591"/>
    <s v="1101-04"/>
    <n v="5000000"/>
    <n v="0"/>
    <s v="Transf. de tlink spa itau 230434690"/>
    <n v="5000000"/>
    <s v="Activo"/>
    <n v="5000000"/>
    <x v="2"/>
  </r>
  <r>
    <n v="2026"/>
    <n v="3"/>
    <s v="02-03-2026"/>
    <n v="11170"/>
    <s v="1101-04"/>
    <n v="40000"/>
    <n v="0"/>
    <s v="Centralización recaudaciones marzo 2026 #2862 - #2862"/>
    <n v="40000"/>
    <s v="Activo"/>
    <n v="40000"/>
    <x v="2"/>
  </r>
  <r>
    <n v="2026"/>
    <n v="3"/>
    <s v="02-03-2026"/>
    <n v="11173"/>
    <s v="1101-04"/>
    <n v="40000"/>
    <n v="0"/>
    <s v="Centralización recaudaciones marzo 2026 #2866 - #2866"/>
    <n v="40000"/>
    <s v="Activo"/>
    <n v="40000"/>
    <x v="2"/>
  </r>
  <r>
    <n v="2026"/>
    <n v="3"/>
    <s v="02-03-2026"/>
    <n v="11175"/>
    <s v="1101-04"/>
    <n v="14990"/>
    <n v="0"/>
    <s v="Centralización recaudaciones marzo 2026 #3489 - #3489"/>
    <n v="14990"/>
    <s v="Activo"/>
    <n v="14990"/>
    <x v="2"/>
  </r>
  <r>
    <n v="2026"/>
    <n v="3"/>
    <s v="02-03-2026"/>
    <n v="11183"/>
    <s v="1101-04"/>
    <n v="244900"/>
    <n v="0"/>
    <s v="Centralización recaudaciones marzo 2026 #2872 - #2872"/>
    <n v="244900"/>
    <s v="Activo"/>
    <n v="244900"/>
    <x v="2"/>
  </r>
  <r>
    <n v="2026"/>
    <n v="3"/>
    <s v="02-03-2026"/>
    <n v="11187"/>
    <s v="1101-04"/>
    <n v="69999"/>
    <n v="0"/>
    <s v="Centralización recaudaciones marzo 2026 #2876 - #2876"/>
    <n v="69999"/>
    <s v="Activo"/>
    <n v="69999"/>
    <x v="2"/>
  </r>
  <r>
    <n v="2026"/>
    <n v="3"/>
    <s v="02-03-2026"/>
    <n v="11188"/>
    <s v="1101-04"/>
    <n v="113503"/>
    <n v="0"/>
    <s v="Centralización recaudaciones marzo 2026 #2877 - #2877"/>
    <n v="113503"/>
    <s v="Activo"/>
    <n v="113503"/>
    <x v="2"/>
  </r>
  <r>
    <n v="2026"/>
    <n v="3"/>
    <s v="02-03-2026"/>
    <n v="11192"/>
    <s v="1101-04"/>
    <n v="30000"/>
    <n v="0"/>
    <s v="Centralización recaudaciones marzo 2026 #2881 - #2881"/>
    <n v="30000"/>
    <s v="Activo"/>
    <n v="30000"/>
    <x v="2"/>
  </r>
  <r>
    <n v="2026"/>
    <n v="3"/>
    <s v="02-03-2026"/>
    <n v="11196"/>
    <s v="1101-04"/>
    <n v="30000"/>
    <n v="0"/>
    <s v="Centralización recaudaciones marzo 2026 #2884 - #2884"/>
    <n v="30000"/>
    <s v="Activo"/>
    <n v="30000"/>
    <x v="2"/>
  </r>
  <r>
    <n v="2026"/>
    <n v="3"/>
    <s v="02-03-2026"/>
    <n v="11205"/>
    <s v="1101-04"/>
    <n v="30000"/>
    <n v="0"/>
    <s v="Centralización recaudaciones marzo 2026 #2893 - #2893"/>
    <n v="30000"/>
    <s v="Activo"/>
    <n v="30000"/>
    <x v="2"/>
  </r>
  <r>
    <n v="2026"/>
    <n v="3"/>
    <s v="02-03-2026"/>
    <n v="11207"/>
    <s v="1101-04"/>
    <n v="30000"/>
    <n v="0"/>
    <s v="Centralización recaudaciones marzo 2026 #2895 - #2895"/>
    <n v="30000"/>
    <s v="Activo"/>
    <n v="30000"/>
    <x v="2"/>
  </r>
  <r>
    <n v="2026"/>
    <n v="3"/>
    <s v="02-03-2026"/>
    <n v="11209"/>
    <s v="1101-04"/>
    <n v="386906"/>
    <n v="0"/>
    <s v="Centralización recaudaciones marzo 2026 #2897 - #2897"/>
    <n v="386906"/>
    <s v="Activo"/>
    <n v="386906"/>
    <x v="2"/>
  </r>
  <r>
    <n v="2026"/>
    <n v="3"/>
    <s v="02-03-2026"/>
    <n v="11215"/>
    <s v="1101-04"/>
    <n v="40000"/>
    <n v="0"/>
    <s v="Centralización recaudaciones marzo 2026 #2903 - #2903"/>
    <n v="40000"/>
    <s v="Activo"/>
    <n v="40000"/>
    <x v="2"/>
  </r>
  <r>
    <n v="2026"/>
    <n v="3"/>
    <s v="02-03-2026"/>
    <n v="11216"/>
    <s v="1101-04"/>
    <n v="30000"/>
    <n v="0"/>
    <s v="Centralización recaudaciones marzo 2026 #2904 - #2904"/>
    <n v="30000"/>
    <s v="Activo"/>
    <n v="30000"/>
    <x v="2"/>
  </r>
  <r>
    <n v="2026"/>
    <n v="3"/>
    <s v="02-03-2026"/>
    <n v="11217"/>
    <s v="1101-04"/>
    <n v="30000"/>
    <n v="0"/>
    <s v="Centralización recaudaciones marzo 2026 #2905 - #2905"/>
    <n v="30000"/>
    <s v="Activo"/>
    <n v="30000"/>
    <x v="2"/>
  </r>
  <r>
    <n v="2026"/>
    <n v="3"/>
    <s v="02-03-2026"/>
    <n v="11218"/>
    <s v="1101-04"/>
    <n v="30000"/>
    <n v="0"/>
    <s v="Centralización recaudaciones marzo 2026 #2906 - #2906"/>
    <n v="30000"/>
    <s v="Activo"/>
    <n v="30000"/>
    <x v="2"/>
  </r>
  <r>
    <n v="2026"/>
    <n v="3"/>
    <s v="02-03-2026"/>
    <n v="11220"/>
    <s v="1101-04"/>
    <n v="35000"/>
    <n v="0"/>
    <s v="Centralización recaudaciones marzo 2026 #2908 - #2908"/>
    <n v="35000"/>
    <s v="Activo"/>
    <n v="35000"/>
    <x v="2"/>
  </r>
  <r>
    <n v="2026"/>
    <n v="3"/>
    <s v="02-03-2026"/>
    <n v="11223"/>
    <s v="1101-04"/>
    <n v="40000"/>
    <n v="0"/>
    <s v="Centralización recaudaciones marzo 2026 #2911 - #2911"/>
    <n v="40000"/>
    <s v="Activo"/>
    <n v="40000"/>
    <x v="2"/>
  </r>
  <r>
    <n v="2026"/>
    <n v="3"/>
    <s v="02-03-2026"/>
    <n v="11226"/>
    <s v="1101-04"/>
    <n v="30000"/>
    <n v="0"/>
    <s v="Centralización recaudaciones marzo 2026 #2914 - #2914"/>
    <n v="30000"/>
    <s v="Activo"/>
    <n v="30000"/>
    <x v="2"/>
  </r>
  <r>
    <n v="2026"/>
    <n v="3"/>
    <s v="02-03-2026"/>
    <n v="11227"/>
    <s v="1101-04"/>
    <n v="30000"/>
    <n v="0"/>
    <s v="Centralización recaudaciones marzo 2026 #2915 - #2915"/>
    <n v="30000"/>
    <s v="Activo"/>
    <n v="30000"/>
    <x v="2"/>
  </r>
  <r>
    <n v="2026"/>
    <n v="3"/>
    <s v="02-03-2026"/>
    <n v="11228"/>
    <s v="1101-04"/>
    <n v="30000"/>
    <n v="0"/>
    <s v="Centralización recaudaciones marzo 2026 #2916 - #2916"/>
    <n v="30000"/>
    <s v="Activo"/>
    <n v="30000"/>
    <x v="2"/>
  </r>
  <r>
    <n v="2026"/>
    <n v="3"/>
    <s v="02-03-2026"/>
    <n v="11229"/>
    <s v="1101-04"/>
    <n v="30000"/>
    <n v="0"/>
    <s v="Centralización recaudaciones marzo 2026 #2917 - #2917"/>
    <n v="30000"/>
    <s v="Activo"/>
    <n v="30000"/>
    <x v="2"/>
  </r>
  <r>
    <n v="2026"/>
    <n v="3"/>
    <s v="02-03-2026"/>
    <n v="11230"/>
    <s v="1101-04"/>
    <n v="30000"/>
    <n v="0"/>
    <s v="Centralización recaudaciones marzo 2026 #2918 - #2918"/>
    <n v="30000"/>
    <s v="Activo"/>
    <n v="30000"/>
    <x v="2"/>
  </r>
  <r>
    <n v="2026"/>
    <n v="3"/>
    <s v="02-03-2026"/>
    <n v="11232"/>
    <s v="1101-04"/>
    <n v="104000"/>
    <n v="0"/>
    <s v="Centralización recaudaciones marzo 2026 #2920 - #2920"/>
    <n v="104000"/>
    <s v="Activo"/>
    <n v="104000"/>
    <x v="2"/>
  </r>
  <r>
    <n v="2026"/>
    <n v="3"/>
    <s v="02-03-2026"/>
    <n v="11233"/>
    <s v="1101-04"/>
    <n v="30000"/>
    <n v="0"/>
    <s v="Centralización recaudaciones marzo 2026 #2921 - #2921"/>
    <n v="30000"/>
    <s v="Activo"/>
    <n v="30000"/>
    <x v="2"/>
  </r>
  <r>
    <n v="2026"/>
    <n v="3"/>
    <s v="02-03-2026"/>
    <n v="11234"/>
    <s v="1101-04"/>
    <n v="40000"/>
    <n v="0"/>
    <s v="Centralización recaudaciones marzo 2026 #2923 - #2923"/>
    <n v="40000"/>
    <s v="Activo"/>
    <n v="40000"/>
    <x v="2"/>
  </r>
  <r>
    <n v="2026"/>
    <n v="3"/>
    <s v="02-03-2026"/>
    <n v="11235"/>
    <s v="1101-04"/>
    <n v="30000"/>
    <n v="0"/>
    <s v="Centralización recaudaciones marzo 2026 #2924 - #2924"/>
    <n v="30000"/>
    <s v="Activo"/>
    <n v="30000"/>
    <x v="2"/>
  </r>
  <r>
    <n v="2026"/>
    <n v="3"/>
    <s v="02-03-2026"/>
    <n v="11238"/>
    <s v="1101-04"/>
    <n v="30000"/>
    <n v="0"/>
    <s v="Centralización recaudaciones marzo 2026 #2927 - #2927"/>
    <n v="30000"/>
    <s v="Activo"/>
    <n v="30000"/>
    <x v="2"/>
  </r>
  <r>
    <n v="2026"/>
    <n v="3"/>
    <s v="02-03-2026"/>
    <n v="11240"/>
    <s v="1101-04"/>
    <n v="101990"/>
    <n v="0"/>
    <s v="Centralización recaudaciones marzo 2026 #2929 - #2929"/>
    <n v="101990"/>
    <s v="Activo"/>
    <n v="101990"/>
    <x v="2"/>
  </r>
  <r>
    <n v="2026"/>
    <n v="3"/>
    <s v="02-03-2026"/>
    <n v="11241"/>
    <s v="1101-04"/>
    <n v="19990"/>
    <n v="0"/>
    <s v="Centralización recaudaciones marzo 2026 #2930 - #2930"/>
    <n v="19990"/>
    <s v="Activo"/>
    <n v="19990"/>
    <x v="2"/>
  </r>
  <r>
    <n v="2026"/>
    <n v="3"/>
    <s v="02-03-2026"/>
    <n v="11243"/>
    <s v="1101-04"/>
    <n v="28990"/>
    <n v="0"/>
    <s v="Centralización recaudaciones marzo 2026 #2933 - #2933"/>
    <n v="28990"/>
    <s v="Activo"/>
    <n v="28990"/>
    <x v="2"/>
  </r>
  <r>
    <n v="2026"/>
    <n v="3"/>
    <s v="02-03-2026"/>
    <n v="11245"/>
    <s v="1101-04"/>
    <n v="34990"/>
    <n v="0"/>
    <s v="Centralización recaudaciones marzo 2026 #2935 - #2935"/>
    <n v="34990"/>
    <s v="Activo"/>
    <n v="34990"/>
    <x v="2"/>
  </r>
  <r>
    <n v="2026"/>
    <n v="3"/>
    <s v="02-03-2026"/>
    <n v="11251"/>
    <s v="1101-04"/>
    <n v="34990"/>
    <n v="0"/>
    <s v="Centralización recaudaciones marzo 2026 #2941 - #2941"/>
    <n v="34990"/>
    <s v="Activo"/>
    <n v="34990"/>
    <x v="2"/>
  </r>
  <r>
    <n v="2026"/>
    <n v="3"/>
    <s v="02-03-2026"/>
    <n v="11254"/>
    <s v="1101-04"/>
    <n v="58000"/>
    <n v="0"/>
    <s v="Centralización recaudaciones marzo 2026 #2944 - #2944"/>
    <n v="58000"/>
    <s v="Activo"/>
    <n v="58000"/>
    <x v="2"/>
  </r>
  <r>
    <n v="2026"/>
    <n v="3"/>
    <s v="02-03-2026"/>
    <n v="11256"/>
    <s v="1101-04"/>
    <n v="30000"/>
    <n v="0"/>
    <s v="Centralización recaudaciones marzo 2026 #2946 - #2946"/>
    <n v="30000"/>
    <s v="Activo"/>
    <n v="30000"/>
    <x v="2"/>
  </r>
  <r>
    <n v="2026"/>
    <n v="3"/>
    <s v="02-03-2026"/>
    <n v="11257"/>
    <s v="1101-04"/>
    <n v="296114"/>
    <n v="0"/>
    <s v="Centralización recaudaciones marzo 2026 #2947 - #2947"/>
    <n v="296114"/>
    <s v="Activo"/>
    <n v="296114"/>
    <x v="2"/>
  </r>
  <r>
    <n v="2026"/>
    <n v="3"/>
    <s v="02-03-2026"/>
    <n v="11258"/>
    <s v="1101-04"/>
    <n v="30000"/>
    <n v="0"/>
    <s v="Centralización recaudaciones marzo 2026 #2948 - #2948"/>
    <n v="30000"/>
    <s v="Activo"/>
    <n v="30000"/>
    <x v="2"/>
  </r>
  <r>
    <n v="2026"/>
    <n v="3"/>
    <s v="02-03-2026"/>
    <n v="11262"/>
    <s v="1101-04"/>
    <n v="30000"/>
    <n v="0"/>
    <s v="Centralización recaudaciones marzo 2026 #2952 - #2952"/>
    <n v="30000"/>
    <s v="Activo"/>
    <n v="30000"/>
    <x v="2"/>
  </r>
  <r>
    <n v="2026"/>
    <n v="3"/>
    <s v="02-03-2026"/>
    <n v="11267"/>
    <s v="1101-04"/>
    <n v="30000"/>
    <n v="0"/>
    <s v="Centralización recaudaciones marzo 2026 #2957 - #2957"/>
    <n v="30000"/>
    <s v="Activo"/>
    <n v="30000"/>
    <x v="2"/>
  </r>
  <r>
    <n v="2026"/>
    <n v="3"/>
    <s v="02-03-2026"/>
    <n v="11268"/>
    <s v="1101-04"/>
    <n v="30000"/>
    <n v="0"/>
    <s v="Centralización recaudaciones marzo 2026 #2958 - #2958"/>
    <n v="30000"/>
    <s v="Activo"/>
    <n v="30000"/>
    <x v="2"/>
  </r>
  <r>
    <n v="2026"/>
    <n v="3"/>
    <s v="02-03-2026"/>
    <n v="11270"/>
    <s v="1101-04"/>
    <n v="34000"/>
    <n v="0"/>
    <s v="Centralización recaudaciones marzo 2026 #2960 - #2960"/>
    <n v="34000"/>
    <s v="Activo"/>
    <n v="34000"/>
    <x v="2"/>
  </r>
  <r>
    <n v="2026"/>
    <n v="3"/>
    <s v="02-03-2026"/>
    <n v="11272"/>
    <s v="1101-04"/>
    <n v="40000"/>
    <n v="0"/>
    <s v="Centralización recaudaciones marzo 2026 #2962 - #2962"/>
    <n v="40000"/>
    <s v="Activo"/>
    <n v="40000"/>
    <x v="2"/>
  </r>
  <r>
    <n v="2026"/>
    <n v="3"/>
    <s v="02-03-2026"/>
    <n v="11275"/>
    <s v="1101-04"/>
    <n v="33990"/>
    <n v="0"/>
    <s v="Centralización recaudaciones marzo 2026 #2965 - #2965"/>
    <n v="33990"/>
    <s v="Activo"/>
    <n v="33990"/>
    <x v="2"/>
  </r>
  <r>
    <n v="2026"/>
    <n v="3"/>
    <s v="02-03-2026"/>
    <n v="11278"/>
    <s v="1101-04"/>
    <n v="30000"/>
    <n v="0"/>
    <s v="Centralización recaudaciones marzo 2026 #2968 - #2968"/>
    <n v="30000"/>
    <s v="Activo"/>
    <n v="30000"/>
    <x v="2"/>
  </r>
  <r>
    <n v="2026"/>
    <n v="3"/>
    <s v="02-03-2026"/>
    <n v="11281"/>
    <s v="1101-04"/>
    <n v="60000"/>
    <n v="0"/>
    <s v="Centralización recaudaciones marzo 2026 #2971 - #2971"/>
    <n v="60000"/>
    <s v="Activo"/>
    <n v="60000"/>
    <x v="2"/>
  </r>
  <r>
    <n v="2026"/>
    <n v="3"/>
    <s v="02-03-2026"/>
    <n v="11282"/>
    <s v="1101-04"/>
    <n v="30000"/>
    <n v="0"/>
    <s v="Centralización recaudaciones marzo 2026 #2972 - #2972"/>
    <n v="30000"/>
    <s v="Activo"/>
    <n v="30000"/>
    <x v="2"/>
  </r>
  <r>
    <n v="2026"/>
    <n v="3"/>
    <s v="02-03-2026"/>
    <n v="11283"/>
    <s v="1101-04"/>
    <n v="30000"/>
    <n v="0"/>
    <s v="Centralización recaudaciones marzo 2026 #2973 - #2973"/>
    <n v="30000"/>
    <s v="Activo"/>
    <n v="30000"/>
    <x v="2"/>
  </r>
  <r>
    <n v="2026"/>
    <n v="3"/>
    <s v="02-03-2026"/>
    <n v="11285"/>
    <s v="1101-04"/>
    <n v="40000"/>
    <n v="0"/>
    <s v="Centralización recaudaciones marzo 2026 #2975 - #2975"/>
    <n v="40000"/>
    <s v="Activo"/>
    <n v="40000"/>
    <x v="2"/>
  </r>
  <r>
    <n v="2026"/>
    <n v="3"/>
    <s v="02-03-2026"/>
    <n v="11289"/>
    <s v="1101-04"/>
    <n v="30000"/>
    <n v="0"/>
    <s v="Centralización recaudaciones marzo 2026 #2979 - #2979"/>
    <n v="30000"/>
    <s v="Activo"/>
    <n v="30000"/>
    <x v="2"/>
  </r>
  <r>
    <n v="2026"/>
    <n v="3"/>
    <s v="02-03-2026"/>
    <n v="11294"/>
    <s v="1101-04"/>
    <n v="20990"/>
    <n v="0"/>
    <s v="Centralización recaudaciones marzo 2026 #2984 - #2984"/>
    <n v="20990"/>
    <s v="Activo"/>
    <n v="20990"/>
    <x v="2"/>
  </r>
  <r>
    <n v="2026"/>
    <n v="3"/>
    <s v="02-03-2026"/>
    <n v="11312"/>
    <s v="1101-04"/>
    <n v="43980"/>
    <n v="0"/>
    <s v="Centralización recaudaciones marzo 2026 #3002 - #3002"/>
    <n v="43980"/>
    <s v="Activo"/>
    <n v="43980"/>
    <x v="2"/>
  </r>
  <r>
    <n v="2026"/>
    <n v="3"/>
    <s v="02-03-2026"/>
    <n v="11317"/>
    <s v="1101-04"/>
    <n v="30000"/>
    <n v="0"/>
    <s v="Centralización recaudaciones marzo 2026 #3007 - #3007"/>
    <n v="30000"/>
    <s v="Activo"/>
    <n v="30000"/>
    <x v="2"/>
  </r>
  <r>
    <n v="2026"/>
    <n v="3"/>
    <s v="02-03-2026"/>
    <n v="11320"/>
    <s v="1101-04"/>
    <n v="60000"/>
    <n v="0"/>
    <s v="Centralización recaudaciones marzo 2026 #3010 - #3010"/>
    <n v="60000"/>
    <s v="Activo"/>
    <n v="60000"/>
    <x v="2"/>
  </r>
  <r>
    <n v="2026"/>
    <n v="3"/>
    <s v="02-03-2026"/>
    <n v="11321"/>
    <s v="1101-04"/>
    <n v="23990"/>
    <n v="0"/>
    <s v="Centralización recaudaciones marzo 2026 #3011 - #3011"/>
    <n v="23990"/>
    <s v="Activo"/>
    <n v="23990"/>
    <x v="2"/>
  </r>
  <r>
    <n v="2026"/>
    <n v="3"/>
    <s v="02-03-2026"/>
    <n v="11324"/>
    <s v="1101-04"/>
    <n v="30000"/>
    <n v="0"/>
    <s v="Centralización recaudaciones marzo 2026 #3014 - #3014"/>
    <n v="30000"/>
    <s v="Activo"/>
    <n v="30000"/>
    <x v="2"/>
  </r>
  <r>
    <n v="2026"/>
    <n v="3"/>
    <s v="02-03-2026"/>
    <n v="11326"/>
    <s v="1101-04"/>
    <n v="30000"/>
    <n v="0"/>
    <s v="Centralización recaudaciones marzo 2026 #3016 - #3016"/>
    <n v="30000"/>
    <s v="Activo"/>
    <n v="30000"/>
    <x v="2"/>
  </r>
  <r>
    <n v="2026"/>
    <n v="3"/>
    <s v="02-03-2026"/>
    <n v="11327"/>
    <s v="1101-04"/>
    <n v="30000"/>
    <n v="0"/>
    <s v="Centralización recaudaciones marzo 2026 #3017 - #3017"/>
    <n v="30000"/>
    <s v="Activo"/>
    <n v="30000"/>
    <x v="2"/>
  </r>
  <r>
    <n v="2026"/>
    <n v="3"/>
    <s v="02-03-2026"/>
    <n v="11329"/>
    <s v="1101-04"/>
    <n v="90000"/>
    <n v="0"/>
    <s v="Centralización recaudaciones marzo 2026 #3019 - #3019"/>
    <n v="90000"/>
    <s v="Activo"/>
    <n v="90000"/>
    <x v="2"/>
  </r>
  <r>
    <n v="2026"/>
    <n v="3"/>
    <s v="02-03-2026"/>
    <n v="11336"/>
    <s v="1101-04"/>
    <n v="30000"/>
    <n v="0"/>
    <s v="Centralización recaudaciones marzo 2026 #3026 - #3026"/>
    <n v="30000"/>
    <s v="Activo"/>
    <n v="30000"/>
    <x v="2"/>
  </r>
  <r>
    <n v="2026"/>
    <n v="3"/>
    <s v="02-03-2026"/>
    <n v="11338"/>
    <s v="1101-04"/>
    <n v="33990"/>
    <n v="0"/>
    <s v="Centralización recaudaciones marzo 2026 #3028 - #3028"/>
    <n v="33990"/>
    <s v="Activo"/>
    <n v="33990"/>
    <x v="2"/>
  </r>
  <r>
    <n v="2026"/>
    <n v="3"/>
    <s v="02-03-2026"/>
    <n v="11344"/>
    <s v="1101-04"/>
    <n v="30000"/>
    <n v="0"/>
    <s v="Centralización recaudaciones marzo 2026 #3034 - #3034"/>
    <n v="30000"/>
    <s v="Activo"/>
    <n v="30000"/>
    <x v="2"/>
  </r>
  <r>
    <n v="2026"/>
    <n v="3"/>
    <s v="02-03-2026"/>
    <n v="11348"/>
    <s v="1101-04"/>
    <n v="30000"/>
    <n v="0"/>
    <s v="Centralización recaudaciones marzo 2026 #3038 - #3038"/>
    <n v="30000"/>
    <s v="Activo"/>
    <n v="30000"/>
    <x v="2"/>
  </r>
  <r>
    <n v="2026"/>
    <n v="3"/>
    <s v="02-03-2026"/>
    <n v="11355"/>
    <s v="1101-04"/>
    <n v="80000"/>
    <n v="0"/>
    <s v="Centralización recaudaciones marzo 2026 #3045 - #3045"/>
    <n v="80000"/>
    <s v="Activo"/>
    <n v="80000"/>
    <x v="2"/>
  </r>
  <r>
    <n v="2026"/>
    <n v="3"/>
    <s v="02-03-2026"/>
    <n v="11356"/>
    <s v="1101-04"/>
    <n v="271337"/>
    <n v="0"/>
    <s v="Centralización recaudaciones marzo 2026 #3046 - #3046"/>
    <n v="271337"/>
    <s v="Activo"/>
    <n v="271337"/>
    <x v="2"/>
  </r>
  <r>
    <n v="2026"/>
    <n v="3"/>
    <s v="02-03-2026"/>
    <n v="11360"/>
    <s v="1101-04"/>
    <n v="47960"/>
    <n v="0"/>
    <s v="Centralización recaudaciones marzo 2026 #3050 - #3050"/>
    <n v="47960"/>
    <s v="Activo"/>
    <n v="47960"/>
    <x v="2"/>
  </r>
  <r>
    <n v="2026"/>
    <n v="3"/>
    <s v="02-03-2026"/>
    <n v="11364"/>
    <s v="1101-04"/>
    <n v="38000"/>
    <n v="0"/>
    <s v="Centralización recaudaciones marzo 2026 #3054 - #3054"/>
    <n v="38000"/>
    <s v="Activo"/>
    <n v="38000"/>
    <x v="2"/>
  </r>
  <r>
    <n v="2026"/>
    <n v="3"/>
    <s v="02-03-2026"/>
    <n v="11366"/>
    <s v="1101-04"/>
    <n v="63999"/>
    <n v="0"/>
    <s v="Centralización recaudaciones marzo 2026 #3056 - #3056"/>
    <n v="63999"/>
    <s v="Activo"/>
    <n v="63999"/>
    <x v="2"/>
  </r>
  <r>
    <n v="2026"/>
    <n v="3"/>
    <s v="02-03-2026"/>
    <n v="11367"/>
    <s v="1101-04"/>
    <n v="30000"/>
    <n v="0"/>
    <s v="Centralización recaudaciones marzo 2026 #3057 - #3057"/>
    <n v="30000"/>
    <s v="Activo"/>
    <n v="30000"/>
    <x v="2"/>
  </r>
  <r>
    <n v="2026"/>
    <n v="3"/>
    <s v="02-03-2026"/>
    <n v="11368"/>
    <s v="1101-04"/>
    <n v="30000"/>
    <n v="0"/>
    <s v="Centralización recaudaciones marzo 2026 #3058 - #3058"/>
    <n v="30000"/>
    <s v="Activo"/>
    <n v="30000"/>
    <x v="2"/>
  </r>
  <r>
    <n v="2026"/>
    <n v="3"/>
    <s v="02-03-2026"/>
    <n v="11369"/>
    <s v="1101-04"/>
    <n v="29980"/>
    <n v="0"/>
    <s v="Centralización recaudaciones marzo 2026 #3059 - #3059"/>
    <n v="29980"/>
    <s v="Activo"/>
    <n v="29980"/>
    <x v="2"/>
  </r>
  <r>
    <n v="2026"/>
    <n v="3"/>
    <s v="02-03-2026"/>
    <n v="11370"/>
    <s v="1101-04"/>
    <n v="50000"/>
    <n v="0"/>
    <s v="Centralización recaudaciones marzo 2026 #3060 - #3060"/>
    <n v="50000"/>
    <s v="Activo"/>
    <n v="50000"/>
    <x v="2"/>
  </r>
  <r>
    <n v="2026"/>
    <n v="3"/>
    <s v="02-03-2026"/>
    <n v="11372"/>
    <s v="1101-04"/>
    <n v="33990"/>
    <n v="0"/>
    <s v="Centralización recaudaciones marzo 2026 #3062 - #3062"/>
    <n v="33990"/>
    <s v="Activo"/>
    <n v="33990"/>
    <x v="2"/>
  </r>
  <r>
    <n v="2026"/>
    <n v="3"/>
    <s v="02-03-2026"/>
    <n v="11379"/>
    <s v="1101-04"/>
    <n v="30000"/>
    <n v="0"/>
    <s v="Centralización recaudaciones marzo 2026 #3069 - #3069"/>
    <n v="30000"/>
    <s v="Activo"/>
    <n v="30000"/>
    <x v="2"/>
  </r>
  <r>
    <n v="2026"/>
    <n v="3"/>
    <s v="02-03-2026"/>
    <n v="11380"/>
    <s v="1101-04"/>
    <n v="30000"/>
    <n v="0"/>
    <s v="Centralización recaudaciones marzo 2026 #3070 - #3070"/>
    <n v="30000"/>
    <s v="Activo"/>
    <n v="30000"/>
    <x v="2"/>
  </r>
  <r>
    <n v="2026"/>
    <n v="3"/>
    <s v="02-03-2026"/>
    <n v="11381"/>
    <s v="1101-04"/>
    <n v="120000"/>
    <n v="0"/>
    <s v="Centralización recaudaciones marzo 2026 #3071 - #3071"/>
    <n v="120000"/>
    <s v="Activo"/>
    <n v="120000"/>
    <x v="2"/>
  </r>
  <r>
    <n v="2026"/>
    <n v="3"/>
    <s v="02-03-2026"/>
    <n v="11386"/>
    <s v="1101-04"/>
    <n v="30000"/>
    <n v="0"/>
    <s v="Centralización recaudaciones marzo 2026 #3076 - #3076"/>
    <n v="30000"/>
    <s v="Activo"/>
    <n v="30000"/>
    <x v="2"/>
  </r>
  <r>
    <n v="2026"/>
    <n v="3"/>
    <s v="02-03-2026"/>
    <n v="11390"/>
    <s v="1101-04"/>
    <n v="30000"/>
    <n v="0"/>
    <s v="Centralización recaudaciones marzo 2026 #3080 - #3080"/>
    <n v="30000"/>
    <s v="Activo"/>
    <n v="30000"/>
    <x v="2"/>
  </r>
  <r>
    <n v="2026"/>
    <n v="3"/>
    <s v="02-03-2026"/>
    <n v="11391"/>
    <s v="1101-04"/>
    <n v="36990"/>
    <n v="0"/>
    <s v="Centralización recaudaciones marzo 2026 #3081 - #3081"/>
    <n v="36990"/>
    <s v="Activo"/>
    <n v="36990"/>
    <x v="2"/>
  </r>
  <r>
    <n v="2026"/>
    <n v="3"/>
    <s v="02-03-2026"/>
    <n v="11398"/>
    <s v="1101-04"/>
    <n v="61979"/>
    <n v="0"/>
    <s v="Centralización recaudaciones marzo 2026 #3088 - #3088"/>
    <n v="61979"/>
    <s v="Activo"/>
    <n v="61979"/>
    <x v="2"/>
  </r>
  <r>
    <n v="2026"/>
    <n v="3"/>
    <s v="02-03-2026"/>
    <n v="11400"/>
    <s v="1101-04"/>
    <n v="34990"/>
    <n v="0"/>
    <s v="Centralización recaudaciones marzo 2026 #3090 - #3090"/>
    <n v="34990"/>
    <s v="Activo"/>
    <n v="34990"/>
    <x v="2"/>
  </r>
  <r>
    <n v="2026"/>
    <n v="3"/>
    <s v="02-03-2026"/>
    <n v="11401"/>
    <s v="1101-04"/>
    <n v="36990"/>
    <n v="0"/>
    <s v="Centralización recaudaciones marzo 2026 #3091 - #3091"/>
    <n v="36990"/>
    <s v="Activo"/>
    <n v="36990"/>
    <x v="2"/>
  </r>
  <r>
    <n v="2026"/>
    <n v="3"/>
    <s v="02-03-2026"/>
    <n v="11409"/>
    <s v="1101-04"/>
    <n v="36990"/>
    <n v="0"/>
    <s v="Centralización recaudaciones marzo 2026 #3099 - #3099"/>
    <n v="36990"/>
    <s v="Activo"/>
    <n v="36990"/>
    <x v="2"/>
  </r>
  <r>
    <n v="2026"/>
    <n v="3"/>
    <s v="02-03-2026"/>
    <n v="11413"/>
    <s v="1101-04"/>
    <n v="21990"/>
    <n v="0"/>
    <s v="Centralización recaudaciones marzo 2026 #3103 - #3103"/>
    <n v="21990"/>
    <s v="Activo"/>
    <n v="21990"/>
    <x v="2"/>
  </r>
  <r>
    <n v="2026"/>
    <n v="3"/>
    <s v="02-03-2026"/>
    <n v="11423"/>
    <s v="1101-04"/>
    <n v="25990"/>
    <n v="0"/>
    <s v="Centralización recaudaciones marzo 2026 #3113 - #3113"/>
    <n v="25990"/>
    <s v="Activo"/>
    <n v="25990"/>
    <x v="2"/>
  </r>
  <r>
    <n v="2026"/>
    <n v="3"/>
    <s v="02-03-2026"/>
    <n v="11424"/>
    <s v="1101-04"/>
    <n v="38990"/>
    <n v="0"/>
    <s v="Centralización recaudaciones marzo 2026 #3114 - #3114"/>
    <n v="38990"/>
    <s v="Activo"/>
    <n v="38990"/>
    <x v="2"/>
  </r>
  <r>
    <n v="2026"/>
    <n v="3"/>
    <s v="02-03-2026"/>
    <n v="11425"/>
    <s v="1101-04"/>
    <n v="40000"/>
    <n v="0"/>
    <s v="Centralización recaudaciones marzo 2026 #3115 - #3115"/>
    <n v="40000"/>
    <s v="Activo"/>
    <n v="40000"/>
    <x v="2"/>
  </r>
  <r>
    <n v="2026"/>
    <n v="3"/>
    <s v="02-03-2026"/>
    <n v="11434"/>
    <s v="1101-04"/>
    <n v="43980"/>
    <n v="0"/>
    <s v="Centralización recaudaciones marzo 2026 #3124 - #3124"/>
    <n v="43980"/>
    <s v="Activo"/>
    <n v="43980"/>
    <x v="2"/>
  </r>
  <r>
    <n v="2026"/>
    <n v="3"/>
    <s v="02-03-2026"/>
    <n v="11436"/>
    <s v="1101-04"/>
    <n v="14990"/>
    <n v="0"/>
    <s v="Centralización recaudaciones marzo 2026 #3126 - #3126"/>
    <n v="14990"/>
    <s v="Activo"/>
    <n v="14990"/>
    <x v="2"/>
  </r>
  <r>
    <n v="2026"/>
    <n v="3"/>
    <s v="02-03-2026"/>
    <n v="11444"/>
    <s v="1101-04"/>
    <n v="22990"/>
    <n v="0"/>
    <s v="Centralización recaudaciones marzo 2026 #3134 - #3134"/>
    <n v="22990"/>
    <s v="Activo"/>
    <n v="22990"/>
    <x v="2"/>
  </r>
  <r>
    <n v="2026"/>
    <n v="3"/>
    <s v="02-03-2026"/>
    <n v="11446"/>
    <s v="1101-04"/>
    <n v="141879"/>
    <n v="0"/>
    <s v="Centralización recaudaciones marzo 2026 #3136 - #3136"/>
    <n v="141879"/>
    <s v="Activo"/>
    <n v="141879"/>
    <x v="2"/>
  </r>
  <r>
    <n v="2026"/>
    <n v="3"/>
    <s v="02-03-2026"/>
    <n v="11449"/>
    <s v="1101-04"/>
    <n v="19990"/>
    <n v="0"/>
    <s v="Centralización recaudaciones marzo 2026 #3139 - #3139"/>
    <n v="19990"/>
    <s v="Activo"/>
    <n v="19990"/>
    <x v="2"/>
  </r>
  <r>
    <n v="2026"/>
    <n v="3"/>
    <s v="02-03-2026"/>
    <n v="11455"/>
    <s v="1101-04"/>
    <n v="19990"/>
    <n v="0"/>
    <s v="Centralización recaudaciones marzo 2026 #3145 - #3145"/>
    <n v="19990"/>
    <s v="Activo"/>
    <n v="19990"/>
    <x v="2"/>
  </r>
  <r>
    <n v="2026"/>
    <n v="3"/>
    <s v="02-03-2026"/>
    <n v="11471"/>
    <s v="1101-04"/>
    <n v="31990"/>
    <n v="0"/>
    <s v="Centralización recaudaciones marzo 2026 #3161 - #3161"/>
    <n v="31990"/>
    <s v="Activo"/>
    <n v="31990"/>
    <x v="2"/>
  </r>
  <r>
    <n v="2026"/>
    <n v="3"/>
    <s v="02-03-2026"/>
    <n v="11473"/>
    <s v="1101-04"/>
    <n v="29990"/>
    <n v="0"/>
    <s v="Centralización recaudaciones marzo 2026 #3163 - #3163"/>
    <n v="29990"/>
    <s v="Activo"/>
    <n v="29990"/>
    <x v="2"/>
  </r>
  <r>
    <n v="2026"/>
    <n v="3"/>
    <s v="02-03-2026"/>
    <n v="11479"/>
    <s v="1101-04"/>
    <n v="14990"/>
    <n v="0"/>
    <s v="Centralización recaudaciones marzo 2026 #3169 - #3169"/>
    <n v="14990"/>
    <s v="Activo"/>
    <n v="14990"/>
    <x v="2"/>
  </r>
  <r>
    <n v="2026"/>
    <n v="3"/>
    <s v="02-03-2026"/>
    <n v="11485"/>
    <s v="1101-04"/>
    <n v="52990"/>
    <n v="0"/>
    <s v="Centralización recaudaciones marzo 2026 #3175 - #3175"/>
    <n v="52990"/>
    <s v="Activo"/>
    <n v="52990"/>
    <x v="2"/>
  </r>
  <r>
    <n v="2026"/>
    <n v="3"/>
    <s v="02-03-2026"/>
    <n v="11494"/>
    <s v="1101-04"/>
    <n v="34990"/>
    <n v="0"/>
    <s v="Centralización recaudaciones marzo 2026 #3184 - #3184"/>
    <n v="34990"/>
    <s v="Activo"/>
    <n v="34990"/>
    <x v="2"/>
  </r>
  <r>
    <n v="2026"/>
    <n v="3"/>
    <s v="02-03-2026"/>
    <n v="11498"/>
    <s v="1101-04"/>
    <n v="34160"/>
    <n v="0"/>
    <s v="Centralización recaudaciones marzo 2026 #3188 - #3188"/>
    <n v="34160"/>
    <s v="Activo"/>
    <n v="34160"/>
    <x v="2"/>
  </r>
  <r>
    <n v="2026"/>
    <n v="3"/>
    <s v="02-03-2026"/>
    <n v="11508"/>
    <s v="1101-04"/>
    <n v="30000"/>
    <n v="0"/>
    <s v="Centralización recaudaciones marzo 2026 #3198 - #3198"/>
    <n v="30000"/>
    <s v="Activo"/>
    <n v="30000"/>
    <x v="2"/>
  </r>
  <r>
    <n v="2026"/>
    <n v="3"/>
    <s v="02-03-2026"/>
    <n v="11510"/>
    <s v="1101-04"/>
    <n v="60000"/>
    <n v="0"/>
    <s v="Centralización recaudaciones marzo 2026 #3200 - #3200"/>
    <n v="60000"/>
    <s v="Activo"/>
    <n v="60000"/>
    <x v="2"/>
  </r>
  <r>
    <n v="2026"/>
    <n v="3"/>
    <s v="02-03-2026"/>
    <n v="11520"/>
    <s v="1101-04"/>
    <n v="14990"/>
    <n v="0"/>
    <s v="Centralización recaudaciones marzo 2026 #3210 - #3210"/>
    <n v="14990"/>
    <s v="Activo"/>
    <n v="14990"/>
    <x v="2"/>
  </r>
  <r>
    <n v="2026"/>
    <n v="3"/>
    <s v="02-03-2026"/>
    <n v="11528"/>
    <s v="1101-04"/>
    <n v="22990"/>
    <n v="0"/>
    <s v="Centralización recaudaciones marzo 2026 #3218 - #3218"/>
    <n v="22990"/>
    <s v="Activo"/>
    <n v="22990"/>
    <x v="2"/>
  </r>
  <r>
    <n v="2026"/>
    <n v="3"/>
    <s v="02-03-2026"/>
    <n v="11533"/>
    <s v="1101-04"/>
    <n v="32990"/>
    <n v="0"/>
    <s v="Centralización recaudaciones marzo 2026 #3223 - #3223"/>
    <n v="32990"/>
    <s v="Activo"/>
    <n v="32990"/>
    <x v="2"/>
  </r>
  <r>
    <n v="2026"/>
    <n v="3"/>
    <s v="02-03-2026"/>
    <n v="11535"/>
    <s v="1101-04"/>
    <n v="14990"/>
    <n v="0"/>
    <s v="Centralización recaudaciones marzo 2026 #3225 - #3225"/>
    <n v="14990"/>
    <s v="Activo"/>
    <n v="14990"/>
    <x v="2"/>
  </r>
  <r>
    <n v="2026"/>
    <n v="3"/>
    <s v="02-03-2026"/>
    <n v="11548"/>
    <s v="1101-04"/>
    <n v="17990"/>
    <n v="0"/>
    <s v="Centralización recaudaciones marzo 2026 #3238 - #3238"/>
    <n v="17990"/>
    <s v="Activo"/>
    <n v="17990"/>
    <x v="2"/>
  </r>
  <r>
    <n v="2026"/>
    <n v="3"/>
    <s v="02-03-2026"/>
    <n v="11556"/>
    <s v="1101-04"/>
    <n v="14990"/>
    <n v="0"/>
    <s v="Centralización recaudaciones marzo 2026 #3246 - #3246"/>
    <n v="14990"/>
    <s v="Activo"/>
    <n v="14990"/>
    <x v="2"/>
  </r>
  <r>
    <n v="2026"/>
    <n v="3"/>
    <s v="02-03-2026"/>
    <n v="11560"/>
    <s v="1101-04"/>
    <n v="24990"/>
    <n v="0"/>
    <s v="Centralización recaudaciones marzo 2026 #3250 - #3250"/>
    <n v="24990"/>
    <s v="Activo"/>
    <n v="24990"/>
    <x v="2"/>
  </r>
  <r>
    <n v="2026"/>
    <n v="3"/>
    <s v="02-03-2026"/>
    <n v="11567"/>
    <s v="1101-04"/>
    <n v="51990"/>
    <n v="0"/>
    <s v="Centralización recaudaciones marzo 2026 #3257 - #3257"/>
    <n v="51990"/>
    <s v="Activo"/>
    <n v="51990"/>
    <x v="2"/>
  </r>
  <r>
    <n v="2026"/>
    <n v="3"/>
    <s v="02-03-2026"/>
    <n v="11569"/>
    <s v="1101-04"/>
    <n v="21990"/>
    <n v="0"/>
    <s v="Centralización recaudaciones marzo 2026 #3259 - #3259"/>
    <n v="21990"/>
    <s v="Activo"/>
    <n v="21990"/>
    <x v="2"/>
  </r>
  <r>
    <n v="2026"/>
    <n v="3"/>
    <s v="02-03-2026"/>
    <n v="11570"/>
    <s v="1101-04"/>
    <n v="48970"/>
    <n v="0"/>
    <s v="Centralización recaudaciones marzo 2026 #3260 - #3260"/>
    <n v="48970"/>
    <s v="Activo"/>
    <n v="48970"/>
    <x v="2"/>
  </r>
  <r>
    <n v="2026"/>
    <n v="3"/>
    <s v="02-03-2026"/>
    <n v="11575"/>
    <s v="1101-04"/>
    <n v="46990"/>
    <n v="0"/>
    <s v="Centralización recaudaciones marzo 2026 #3265 - #3265"/>
    <n v="46990"/>
    <s v="Activo"/>
    <n v="46990"/>
    <x v="2"/>
  </r>
  <r>
    <n v="2026"/>
    <n v="3"/>
    <s v="02-03-2026"/>
    <n v="11578"/>
    <s v="1101-04"/>
    <n v="36990"/>
    <n v="0"/>
    <s v="Centralización recaudaciones marzo 2026 #3268 - #3268"/>
    <n v="36990"/>
    <s v="Activo"/>
    <n v="36990"/>
    <x v="2"/>
  </r>
  <r>
    <n v="2026"/>
    <n v="3"/>
    <s v="02-03-2026"/>
    <n v="11588"/>
    <s v="1101-04"/>
    <n v="34990"/>
    <n v="0"/>
    <s v="Centralización recaudaciones marzo 2026 #3278 - #3278"/>
    <n v="34990"/>
    <s v="Activo"/>
    <n v="34990"/>
    <x v="2"/>
  </r>
  <r>
    <n v="2026"/>
    <n v="3"/>
    <s v="02-03-2026"/>
    <n v="11592"/>
    <s v="1101-04"/>
    <n v="19990"/>
    <n v="0"/>
    <s v="Centralización recaudaciones marzo 2026 #3282 - #3282"/>
    <n v="19990"/>
    <s v="Activo"/>
    <n v="19990"/>
    <x v="2"/>
  </r>
  <r>
    <n v="2026"/>
    <n v="3"/>
    <s v="02-03-2026"/>
    <n v="11594"/>
    <s v="1101-04"/>
    <n v="54990"/>
    <n v="0"/>
    <s v="Centralización recaudaciones marzo 2026 #3284 - #3284"/>
    <n v="54990"/>
    <s v="Activo"/>
    <n v="54990"/>
    <x v="2"/>
  </r>
  <r>
    <n v="2026"/>
    <n v="3"/>
    <s v="02-03-2026"/>
    <n v="11599"/>
    <s v="1101-04"/>
    <n v="33980"/>
    <n v="0"/>
    <s v="Centralización recaudaciones marzo 2026 #3289 - #3289"/>
    <n v="33980"/>
    <s v="Activo"/>
    <n v="33980"/>
    <x v="2"/>
  </r>
  <r>
    <n v="2026"/>
    <n v="3"/>
    <s v="02-03-2026"/>
    <n v="11600"/>
    <s v="1101-04"/>
    <n v="28990"/>
    <n v="0"/>
    <s v="Centralización recaudaciones marzo 2026 #3290 - #3290"/>
    <n v="28990"/>
    <s v="Activo"/>
    <n v="28990"/>
    <x v="2"/>
  </r>
  <r>
    <n v="2026"/>
    <n v="3"/>
    <s v="02-03-2026"/>
    <n v="11605"/>
    <s v="1101-04"/>
    <n v="29990"/>
    <n v="0"/>
    <s v="Centralización recaudaciones marzo 2026 #3295 - #3295"/>
    <n v="29990"/>
    <s v="Activo"/>
    <n v="29990"/>
    <x v="2"/>
  </r>
  <r>
    <n v="2026"/>
    <n v="3"/>
    <s v="02-03-2026"/>
    <n v="11609"/>
    <s v="1101-04"/>
    <n v="60000"/>
    <n v="0"/>
    <s v="Centralización recaudaciones marzo 2026 #3299 - #3299"/>
    <n v="60000"/>
    <s v="Activo"/>
    <n v="60000"/>
    <x v="2"/>
  </r>
  <r>
    <n v="2026"/>
    <n v="3"/>
    <s v="02-03-2026"/>
    <n v="11610"/>
    <s v="1101-04"/>
    <n v="33490"/>
    <n v="0"/>
    <s v="Centralización recaudaciones marzo 2026 #3300 - #3300"/>
    <n v="33490"/>
    <s v="Activo"/>
    <n v="33490"/>
    <x v="2"/>
  </r>
  <r>
    <n v="2026"/>
    <n v="3"/>
    <s v="02-03-2026"/>
    <n v="11615"/>
    <s v="1101-04"/>
    <n v="84000"/>
    <n v="0"/>
    <s v="Centralización recaudaciones marzo 2026 #3305 - #3305"/>
    <n v="84000"/>
    <s v="Activo"/>
    <n v="84000"/>
    <x v="2"/>
  </r>
  <r>
    <n v="2026"/>
    <n v="3"/>
    <s v="02-03-2026"/>
    <n v="11632"/>
    <s v="1101-04"/>
    <n v="50000"/>
    <n v="0"/>
    <s v="Centralización recaudaciones marzo 2026 #3322 - #3322"/>
    <n v="50000"/>
    <s v="Activo"/>
    <n v="50000"/>
    <x v="2"/>
  </r>
  <r>
    <n v="2026"/>
    <n v="3"/>
    <s v="02-03-2026"/>
    <n v="11638"/>
    <s v="1101-04"/>
    <n v="39990"/>
    <n v="0"/>
    <s v="Centralización recaudaciones marzo 2026 #3328 - #3328"/>
    <n v="39990"/>
    <s v="Activo"/>
    <n v="39990"/>
    <x v="2"/>
  </r>
  <r>
    <n v="2026"/>
    <n v="3"/>
    <s v="02-03-2026"/>
    <n v="11644"/>
    <s v="1101-04"/>
    <n v="70000"/>
    <n v="0"/>
    <s v="Centralización recaudaciones marzo 2026 #3334 - #3334"/>
    <n v="70000"/>
    <s v="Activo"/>
    <n v="70000"/>
    <x v="2"/>
  </r>
  <r>
    <n v="2026"/>
    <n v="3"/>
    <s v="02-03-2026"/>
    <n v="11646"/>
    <s v="1101-04"/>
    <n v="17990"/>
    <n v="0"/>
    <s v="Centralización recaudaciones marzo 2026 #3336 - #3336"/>
    <n v="17990"/>
    <s v="Activo"/>
    <n v="17990"/>
    <x v="2"/>
  </r>
  <r>
    <n v="2026"/>
    <n v="3"/>
    <s v="02-03-2026"/>
    <n v="11652"/>
    <s v="1101-04"/>
    <n v="21990"/>
    <n v="0"/>
    <s v="Centralización recaudaciones marzo 2026 #3342 - #3342"/>
    <n v="21990"/>
    <s v="Activo"/>
    <n v="21990"/>
    <x v="2"/>
  </r>
  <r>
    <n v="2026"/>
    <n v="3"/>
    <s v="02-03-2026"/>
    <n v="11655"/>
    <s v="1101-04"/>
    <n v="60000"/>
    <n v="0"/>
    <s v="Centralización recaudaciones marzo 2026 #3345 - #3345"/>
    <n v="60000"/>
    <s v="Activo"/>
    <n v="60000"/>
    <x v="2"/>
  </r>
  <r>
    <n v="2026"/>
    <n v="3"/>
    <s v="02-03-2026"/>
    <n v="11663"/>
    <s v="1101-04"/>
    <n v="30000"/>
    <n v="0"/>
    <s v="Centralización recaudaciones marzo 2026 #3353 - #3353"/>
    <n v="30000"/>
    <s v="Activo"/>
    <n v="30000"/>
    <x v="2"/>
  </r>
  <r>
    <n v="2026"/>
    <n v="3"/>
    <s v="02-03-2026"/>
    <n v="11665"/>
    <s v="1101-04"/>
    <n v="310000"/>
    <n v="0"/>
    <s v="Centralización recaudaciones marzo 2026 #3355 - #3355"/>
    <n v="310000"/>
    <s v="Activo"/>
    <n v="310000"/>
    <x v="2"/>
  </r>
  <r>
    <n v="2026"/>
    <n v="3"/>
    <s v="02-03-2026"/>
    <n v="11668"/>
    <s v="1101-04"/>
    <n v="53538"/>
    <n v="0"/>
    <s v="Centralización recaudaciones marzo 2026 #3358 - #3358"/>
    <n v="53538"/>
    <s v="Activo"/>
    <n v="53538"/>
    <x v="2"/>
  </r>
  <r>
    <n v="2026"/>
    <n v="3"/>
    <s v="02-03-2026"/>
    <n v="11673"/>
    <s v="1101-04"/>
    <n v="38000"/>
    <n v="0"/>
    <s v="Centralización recaudaciones marzo 2026 #3490 - #3490"/>
    <n v="38000"/>
    <s v="Activo"/>
    <n v="38000"/>
    <x v="2"/>
  </r>
  <r>
    <n v="2026"/>
    <n v="3"/>
    <s v="02-03-2026"/>
    <n v="11675"/>
    <s v="1101-04"/>
    <n v="14990"/>
    <n v="0"/>
    <s v="Centralización recaudaciones marzo 2026 #3364 - #3364"/>
    <n v="14990"/>
    <s v="Activo"/>
    <n v="14990"/>
    <x v="2"/>
  </r>
  <r>
    <n v="2026"/>
    <n v="3"/>
    <s v="02-03-2026"/>
    <n v="11679"/>
    <s v="1101-04"/>
    <n v="30000"/>
    <n v="0"/>
    <s v="Centralización recaudaciones marzo 2026 #3368 - #3368"/>
    <n v="30000"/>
    <s v="Activo"/>
    <n v="30000"/>
    <x v="2"/>
  </r>
  <r>
    <n v="2026"/>
    <n v="3"/>
    <s v="02-03-2026"/>
    <n v="11685"/>
    <s v="1101-04"/>
    <n v="32990"/>
    <n v="0"/>
    <s v="Centralización recaudaciones marzo 2026 #3374 - #3374"/>
    <n v="32990"/>
    <s v="Activo"/>
    <n v="32990"/>
    <x v="2"/>
  </r>
  <r>
    <n v="2026"/>
    <n v="3"/>
    <s v="02-03-2026"/>
    <n v="11692"/>
    <s v="1101-04"/>
    <n v="40000"/>
    <n v="0"/>
    <s v="Centralización recaudaciones marzo 2026 #3381 - #3381"/>
    <n v="40000"/>
    <s v="Activo"/>
    <n v="40000"/>
    <x v="2"/>
  </r>
  <r>
    <n v="2026"/>
    <n v="3"/>
    <s v="02-03-2026"/>
    <n v="11697"/>
    <s v="1101-04"/>
    <n v="30000"/>
    <n v="0"/>
    <s v="Centralización recaudaciones marzo 2026 #3386 - #3386"/>
    <n v="30000"/>
    <s v="Activo"/>
    <n v="30000"/>
    <x v="2"/>
  </r>
  <r>
    <n v="2026"/>
    <n v="3"/>
    <s v="02-03-2026"/>
    <n v="11699"/>
    <s v="1101-04"/>
    <n v="30000"/>
    <n v="0"/>
    <s v="Centralización recaudaciones marzo 2026 #3388 - #3388"/>
    <n v="30000"/>
    <s v="Activo"/>
    <n v="30000"/>
    <x v="2"/>
  </r>
  <r>
    <n v="2026"/>
    <n v="3"/>
    <s v="02-03-2026"/>
    <n v="11700"/>
    <s v="1101-04"/>
    <n v="28990"/>
    <n v="0"/>
    <s v="Centralización recaudaciones marzo 2026 #3389 - #3389"/>
    <n v="28990"/>
    <s v="Activo"/>
    <n v="28990"/>
    <x v="2"/>
  </r>
  <r>
    <n v="2026"/>
    <n v="3"/>
    <s v="02-03-2026"/>
    <n v="11709"/>
    <s v="1101-04"/>
    <n v="21990"/>
    <n v="0"/>
    <s v="Centralización recaudaciones marzo 2026 #3398 - #3398"/>
    <n v="21990"/>
    <s v="Activo"/>
    <n v="21990"/>
    <x v="2"/>
  </r>
  <r>
    <n v="2026"/>
    <n v="3"/>
    <s v="02-03-2026"/>
    <n v="11712"/>
    <s v="1101-04"/>
    <n v="40000"/>
    <n v="0"/>
    <s v="Centralización recaudaciones marzo 2026 #3401 - #3401"/>
    <n v="40000"/>
    <s v="Activo"/>
    <n v="40000"/>
    <x v="2"/>
  </r>
  <r>
    <n v="2026"/>
    <n v="3"/>
    <s v="02-03-2026"/>
    <n v="11721"/>
    <s v="1101-04"/>
    <n v="40000"/>
    <n v="0"/>
    <s v="Centralización recaudaciones marzo 2026 #3410 - #3410"/>
    <n v="40000"/>
    <s v="Activo"/>
    <n v="40000"/>
    <x v="2"/>
  </r>
  <r>
    <n v="2026"/>
    <n v="3"/>
    <s v="02-03-2026"/>
    <n v="11725"/>
    <s v="1101-04"/>
    <n v="14990"/>
    <n v="0"/>
    <s v="Centralización recaudaciones marzo 2026 #3414 - #3414"/>
    <n v="14990"/>
    <s v="Activo"/>
    <n v="14990"/>
    <x v="2"/>
  </r>
  <r>
    <n v="2026"/>
    <n v="3"/>
    <s v="02-03-2026"/>
    <n v="11727"/>
    <s v="1101-04"/>
    <n v="232731"/>
    <n v="0"/>
    <s v="Centralización recaudaciones marzo 2026 #3416 - #3416"/>
    <n v="232731"/>
    <s v="Activo"/>
    <n v="232731"/>
    <x v="2"/>
  </r>
  <r>
    <n v="2026"/>
    <n v="3"/>
    <s v="02-03-2026"/>
    <n v="11728"/>
    <s v="1101-04"/>
    <n v="36953"/>
    <n v="0"/>
    <s v="Centralización recaudaciones marzo 2026 #3417 - #3417"/>
    <n v="36953"/>
    <s v="Activo"/>
    <n v="36953"/>
    <x v="2"/>
  </r>
  <r>
    <n v="2026"/>
    <n v="3"/>
    <s v="02-03-2026"/>
    <n v="11730"/>
    <s v="1101-04"/>
    <n v="2012"/>
    <n v="0"/>
    <s v="Centralización recaudaciones marzo 2026 #3419 - #3419"/>
    <n v="2012"/>
    <s v="Activo"/>
    <n v="2012"/>
    <x v="2"/>
  </r>
  <r>
    <n v="2026"/>
    <n v="3"/>
    <s v="02-03-2026"/>
    <n v="11736"/>
    <s v="1101-04"/>
    <n v="34863"/>
    <n v="0"/>
    <s v="Centralización recaudaciones marzo 2026 #3425 - #3425"/>
    <n v="34863"/>
    <s v="Activo"/>
    <n v="34863"/>
    <x v="2"/>
  </r>
  <r>
    <n v="2026"/>
    <n v="3"/>
    <s v="02-03-2026"/>
    <n v="11741"/>
    <s v="1101-04"/>
    <n v="79961"/>
    <n v="0"/>
    <s v="Centralización recaudaciones marzo 2026 #3430 - #3430"/>
    <n v="79961"/>
    <s v="Activo"/>
    <n v="79961"/>
    <x v="2"/>
  </r>
  <r>
    <n v="2026"/>
    <n v="3"/>
    <s v="02-03-2026"/>
    <n v="11742"/>
    <s v="1101-04"/>
    <n v="30000"/>
    <n v="0"/>
    <s v="Centralización recaudaciones marzo 2026 #3431 - #3431"/>
    <n v="30000"/>
    <s v="Activo"/>
    <n v="30000"/>
    <x v="2"/>
  </r>
  <r>
    <n v="2026"/>
    <n v="3"/>
    <s v="02-03-2026"/>
    <n v="11744"/>
    <s v="1101-04"/>
    <n v="14990"/>
    <n v="0"/>
    <s v="Centralización recaudaciones marzo 2026 #3433 - #3433"/>
    <n v="14990"/>
    <s v="Activo"/>
    <n v="14990"/>
    <x v="2"/>
  </r>
  <r>
    <n v="2026"/>
    <n v="3"/>
    <s v="02-03-2026"/>
    <n v="11746"/>
    <s v="1101-04"/>
    <n v="34000"/>
    <n v="0"/>
    <s v="Centralización recaudaciones marzo 2026 #3435 - #3435"/>
    <n v="34000"/>
    <s v="Activo"/>
    <n v="34000"/>
    <x v="2"/>
  </r>
  <r>
    <n v="2026"/>
    <n v="3"/>
    <s v="02-03-2026"/>
    <n v="11751"/>
    <s v="1101-04"/>
    <n v="30000"/>
    <n v="0"/>
    <s v="Centralización recaudaciones marzo 2026 #3440 - #3440"/>
    <n v="30000"/>
    <s v="Activo"/>
    <n v="30000"/>
    <x v="2"/>
  </r>
  <r>
    <n v="2026"/>
    <n v="3"/>
    <s v="02-03-2026"/>
    <n v="11757"/>
    <s v="1101-04"/>
    <n v="28990"/>
    <n v="0"/>
    <s v="Centralización recaudaciones marzo 2026 #3446 - #3446"/>
    <n v="28990"/>
    <s v="Activo"/>
    <n v="28990"/>
    <x v="2"/>
  </r>
  <r>
    <n v="2026"/>
    <n v="3"/>
    <s v="02-03-2026"/>
    <n v="11761"/>
    <s v="1101-04"/>
    <n v="30000"/>
    <n v="0"/>
    <s v="Centralización recaudaciones marzo 2026 #3450 - #3450"/>
    <n v="30000"/>
    <s v="Activo"/>
    <n v="30000"/>
    <x v="2"/>
  </r>
  <r>
    <n v="2026"/>
    <n v="3"/>
    <s v="02-03-2026"/>
    <n v="11762"/>
    <s v="1101-04"/>
    <n v="60000"/>
    <n v="0"/>
    <s v="Centralización recaudaciones marzo 2026 #3451 - #3451"/>
    <n v="60000"/>
    <s v="Activo"/>
    <n v="60000"/>
    <x v="2"/>
  </r>
  <r>
    <n v="2026"/>
    <n v="3"/>
    <s v="02-03-2026"/>
    <n v="11763"/>
    <s v="1101-04"/>
    <n v="17990"/>
    <n v="0"/>
    <s v="Centralización recaudaciones marzo 2026 #3452 - #3452"/>
    <n v="17990"/>
    <s v="Activo"/>
    <n v="17990"/>
    <x v="2"/>
  </r>
  <r>
    <n v="2026"/>
    <n v="3"/>
    <s v="02-03-2026"/>
    <n v="11774"/>
    <s v="1101-04"/>
    <n v="40000"/>
    <n v="0"/>
    <s v="Centralización recaudaciones marzo 2026 #3463 - #3463"/>
    <n v="40000"/>
    <s v="Activo"/>
    <n v="40000"/>
    <x v="2"/>
  </r>
  <r>
    <n v="2026"/>
    <n v="3"/>
    <s v="02-03-2026"/>
    <n v="11780"/>
    <s v="1101-04"/>
    <n v="26000"/>
    <n v="0"/>
    <s v="Centralización recaudaciones marzo 2026 #3469 - #3469"/>
    <n v="26000"/>
    <s v="Activo"/>
    <n v="26000"/>
    <x v="2"/>
  </r>
  <r>
    <n v="2026"/>
    <n v="3"/>
    <s v="02-03-2026"/>
    <n v="11783"/>
    <s v="1101-04"/>
    <n v="189172"/>
    <n v="0"/>
    <s v="Centralización recaudaciones marzo 2026 #3472 - #3472"/>
    <n v="189172"/>
    <s v="Activo"/>
    <n v="189172"/>
    <x v="2"/>
  </r>
  <r>
    <n v="2026"/>
    <n v="3"/>
    <s v="02-03-2026"/>
    <n v="11787"/>
    <s v="1101-04"/>
    <n v="34990"/>
    <n v="0"/>
    <s v="Centralización recaudaciones marzo 2026 #3476 - #3476"/>
    <n v="34990"/>
    <s v="Activo"/>
    <n v="34990"/>
    <x v="2"/>
  </r>
  <r>
    <n v="2026"/>
    <n v="3"/>
    <s v="02-03-2026"/>
    <n v="11789"/>
    <s v="1101-04"/>
    <n v="14990"/>
    <n v="0"/>
    <s v="Centralización recaudaciones marzo 2026 #3478 - #3478"/>
    <n v="14990"/>
    <s v="Activo"/>
    <n v="14990"/>
    <x v="2"/>
  </r>
  <r>
    <n v="2026"/>
    <n v="3"/>
    <s v="02-03-2026"/>
    <n v="11790"/>
    <s v="1101-04"/>
    <n v="14990"/>
    <n v="0"/>
    <s v="Centralización recaudaciones marzo 2026 #3479 - #3479"/>
    <n v="14990"/>
    <s v="Activo"/>
    <n v="14990"/>
    <x v="2"/>
  </r>
  <r>
    <n v="2026"/>
    <n v="3"/>
    <s v="03-03-2026"/>
    <n v="7466"/>
    <s v="1101-04"/>
    <n v="0"/>
    <n v="5494703"/>
    <s v="Pago cuota 09-37 credito itau 60529874"/>
    <n v="-5494703"/>
    <s v="Activo"/>
    <n v="-5494703"/>
    <x v="2"/>
  </r>
  <r>
    <n v="2026"/>
    <n v="3"/>
    <s v="03-03-2026"/>
    <n v="11167"/>
    <s v="1101-04"/>
    <n v="348167"/>
    <n v="0"/>
    <s v="Centralización recaudaciones marzo 2026 #3485 - #3485"/>
    <n v="348167"/>
    <s v="Activo"/>
    <n v="348167"/>
    <x v="2"/>
  </r>
  <r>
    <n v="2026"/>
    <n v="3"/>
    <s v="03-03-2026"/>
    <n v="11179"/>
    <s v="1101-04"/>
    <n v="64980"/>
    <n v="0"/>
    <s v="Centralización recaudaciones marzo 2026 #2868 - #2868"/>
    <n v="64980"/>
    <s v="Activo"/>
    <n v="64980"/>
    <x v="2"/>
  </r>
  <r>
    <n v="2026"/>
    <n v="3"/>
    <s v="03-03-2026"/>
    <n v="11189"/>
    <s v="1101-04"/>
    <n v="64000"/>
    <n v="0"/>
    <s v="Centralización recaudaciones marzo 2026 #2878 - #2878"/>
    <n v="64000"/>
    <s v="Activo"/>
    <n v="64000"/>
    <x v="2"/>
  </r>
  <r>
    <n v="2026"/>
    <n v="3"/>
    <s v="03-03-2026"/>
    <n v="11197"/>
    <s v="1101-04"/>
    <n v="30000"/>
    <n v="0"/>
    <s v="Centralización recaudaciones marzo 2026 #2885 - #2885"/>
    <n v="30000"/>
    <s v="Activo"/>
    <n v="30000"/>
    <x v="2"/>
  </r>
  <r>
    <n v="2026"/>
    <n v="3"/>
    <s v="03-03-2026"/>
    <n v="11198"/>
    <s v="1101-04"/>
    <n v="52980"/>
    <n v="0"/>
    <s v="Centralización recaudaciones marzo 2026 #2886 - #2886"/>
    <n v="52980"/>
    <s v="Activo"/>
    <n v="52980"/>
    <x v="2"/>
  </r>
  <r>
    <n v="2026"/>
    <n v="3"/>
    <s v="03-03-2026"/>
    <n v="11202"/>
    <s v="1101-04"/>
    <n v="25990"/>
    <n v="0"/>
    <s v="Centralización recaudaciones marzo 2026 #2890 - #2890"/>
    <n v="25990"/>
    <s v="Activo"/>
    <n v="25990"/>
    <x v="2"/>
  </r>
  <r>
    <n v="2026"/>
    <n v="3"/>
    <s v="03-03-2026"/>
    <n v="11219"/>
    <s v="1101-04"/>
    <n v="30000"/>
    <n v="0"/>
    <s v="Centralización recaudaciones marzo 2026 #2907 - #2907"/>
    <n v="30000"/>
    <s v="Activo"/>
    <n v="30000"/>
    <x v="2"/>
  </r>
  <r>
    <n v="2026"/>
    <n v="3"/>
    <s v="03-03-2026"/>
    <n v="11225"/>
    <s v="1101-04"/>
    <n v="113503"/>
    <n v="0"/>
    <s v="Centralización recaudaciones marzo 2026 #2913 - #2913"/>
    <n v="113503"/>
    <s v="Activo"/>
    <n v="113503"/>
    <x v="2"/>
  </r>
  <r>
    <n v="2026"/>
    <n v="3"/>
    <s v="03-03-2026"/>
    <n v="11239"/>
    <s v="1101-04"/>
    <n v="30000"/>
    <n v="0"/>
    <s v="Centralización recaudaciones marzo 2026 #2928 - #2928"/>
    <n v="30000"/>
    <s v="Activo"/>
    <n v="30000"/>
    <x v="2"/>
  </r>
  <r>
    <n v="2026"/>
    <n v="3"/>
    <s v="03-03-2026"/>
    <n v="11260"/>
    <s v="1101-04"/>
    <n v="30000"/>
    <n v="0"/>
    <s v="Centralización recaudaciones marzo 2026 #2950 - #2950"/>
    <n v="30000"/>
    <s v="Activo"/>
    <n v="30000"/>
    <x v="2"/>
  </r>
  <r>
    <n v="2026"/>
    <n v="3"/>
    <s v="03-03-2026"/>
    <n v="11261"/>
    <s v="1101-04"/>
    <n v="30000"/>
    <n v="0"/>
    <s v="Centralización recaudaciones marzo 2026 #2951 - #2951"/>
    <n v="30000"/>
    <s v="Activo"/>
    <n v="30000"/>
    <x v="2"/>
  </r>
  <r>
    <n v="2026"/>
    <n v="3"/>
    <s v="03-03-2026"/>
    <n v="11265"/>
    <s v="1101-04"/>
    <n v="30000"/>
    <n v="0"/>
    <s v="Centralización recaudaciones marzo 2026 #2955 - #2955"/>
    <n v="30000"/>
    <s v="Activo"/>
    <n v="30000"/>
    <x v="2"/>
  </r>
  <r>
    <n v="2026"/>
    <n v="3"/>
    <s v="03-03-2026"/>
    <n v="11280"/>
    <s v="1101-04"/>
    <n v="30000"/>
    <n v="0"/>
    <s v="Centralización recaudaciones marzo 2026 #2970 - #2970"/>
    <n v="30000"/>
    <s v="Activo"/>
    <n v="30000"/>
    <x v="2"/>
  </r>
  <r>
    <n v="2026"/>
    <n v="3"/>
    <s v="03-03-2026"/>
    <n v="11291"/>
    <s v="1101-04"/>
    <n v="21990"/>
    <n v="0"/>
    <s v="Centralización recaudaciones marzo 2026 #2981 - #2981"/>
    <n v="21990"/>
    <s v="Activo"/>
    <n v="21990"/>
    <x v="2"/>
  </r>
  <r>
    <n v="2026"/>
    <n v="3"/>
    <s v="03-03-2026"/>
    <n v="11292"/>
    <s v="1101-04"/>
    <n v="33000"/>
    <n v="0"/>
    <s v="Centralización recaudaciones marzo 2026 #2982 - #2982"/>
    <n v="33000"/>
    <s v="Activo"/>
    <n v="33000"/>
    <x v="2"/>
  </r>
  <r>
    <n v="2026"/>
    <n v="3"/>
    <s v="03-03-2026"/>
    <n v="11296"/>
    <s v="1101-04"/>
    <n v="21990"/>
    <n v="0"/>
    <s v="Centralización recaudaciones marzo 2026 #2986 - #2986"/>
    <n v="21990"/>
    <s v="Activo"/>
    <n v="21990"/>
    <x v="2"/>
  </r>
  <r>
    <n v="2026"/>
    <n v="3"/>
    <s v="03-03-2026"/>
    <n v="11322"/>
    <s v="1101-04"/>
    <n v="40000"/>
    <n v="0"/>
    <s v="Centralización recaudaciones marzo 2026 #3012 - #3012"/>
    <n v="40000"/>
    <s v="Activo"/>
    <n v="40000"/>
    <x v="2"/>
  </r>
  <r>
    <n v="2026"/>
    <n v="3"/>
    <s v="03-03-2026"/>
    <n v="11328"/>
    <s v="1101-04"/>
    <n v="30000"/>
    <n v="0"/>
    <s v="Centralización recaudaciones marzo 2026 #3018 - #3018"/>
    <n v="30000"/>
    <s v="Activo"/>
    <n v="30000"/>
    <x v="2"/>
  </r>
  <r>
    <n v="2026"/>
    <n v="3"/>
    <s v="03-03-2026"/>
    <n v="11346"/>
    <s v="1101-04"/>
    <n v="21990"/>
    <n v="0"/>
    <s v="Centralización recaudaciones marzo 2026 #3036 - #3036"/>
    <n v="21990"/>
    <s v="Activo"/>
    <n v="21990"/>
    <x v="2"/>
  </r>
  <r>
    <n v="2026"/>
    <n v="3"/>
    <s v="03-03-2026"/>
    <n v="11365"/>
    <s v="1101-04"/>
    <n v="40000"/>
    <n v="0"/>
    <s v="Centralización recaudaciones marzo 2026 #3055 - #3055"/>
    <n v="40000"/>
    <s v="Activo"/>
    <n v="40000"/>
    <x v="2"/>
  </r>
  <r>
    <n v="2026"/>
    <n v="3"/>
    <s v="03-03-2026"/>
    <n v="11387"/>
    <s v="1101-04"/>
    <n v="1391975"/>
    <n v="0"/>
    <s v="Centralización recaudaciones marzo 2026 #3077 - #3077"/>
    <n v="1391975"/>
    <s v="Activo"/>
    <n v="1391975"/>
    <x v="2"/>
  </r>
  <r>
    <n v="2026"/>
    <n v="3"/>
    <s v="03-03-2026"/>
    <n v="11389"/>
    <s v="1101-04"/>
    <n v="30000"/>
    <n v="0"/>
    <s v="Centralización recaudaciones marzo 2026 #3079 - #3079"/>
    <n v="30000"/>
    <s v="Activo"/>
    <n v="30000"/>
    <x v="2"/>
  </r>
  <r>
    <n v="2026"/>
    <n v="3"/>
    <s v="03-03-2026"/>
    <n v="11406"/>
    <s v="1101-04"/>
    <n v="33490"/>
    <n v="0"/>
    <s v="Centralización recaudaciones marzo 2026 #3096 - #3096"/>
    <n v="33490"/>
    <s v="Activo"/>
    <n v="33490"/>
    <x v="2"/>
  </r>
  <r>
    <n v="2026"/>
    <n v="3"/>
    <s v="03-03-2026"/>
    <n v="11447"/>
    <s v="1101-04"/>
    <n v="14990"/>
    <n v="0"/>
    <s v="Centralización recaudaciones marzo 2026 #3137 - #3137"/>
    <n v="14990"/>
    <s v="Activo"/>
    <n v="14990"/>
    <x v="2"/>
  </r>
  <r>
    <n v="2026"/>
    <n v="3"/>
    <s v="03-03-2026"/>
    <n v="11477"/>
    <s v="1101-04"/>
    <n v="19027"/>
    <n v="0"/>
    <s v="Centralización recaudaciones marzo 2026 #3167 - #3167"/>
    <n v="19027"/>
    <s v="Activo"/>
    <n v="19027"/>
    <x v="2"/>
  </r>
  <r>
    <n v="2026"/>
    <n v="3"/>
    <s v="03-03-2026"/>
    <n v="11499"/>
    <s v="1101-04"/>
    <n v="33490"/>
    <n v="0"/>
    <s v="Centralización recaudaciones marzo 2026 #3189 - #3189"/>
    <n v="33490"/>
    <s v="Activo"/>
    <n v="33490"/>
    <x v="2"/>
  </r>
  <r>
    <n v="2026"/>
    <n v="3"/>
    <s v="03-03-2026"/>
    <n v="11501"/>
    <s v="1101-04"/>
    <n v="40000"/>
    <n v="0"/>
    <s v="Centralización recaudaciones marzo 2026 #3191 - #3191"/>
    <n v="40000"/>
    <s v="Activo"/>
    <n v="40000"/>
    <x v="2"/>
  </r>
  <r>
    <n v="2026"/>
    <n v="3"/>
    <s v="03-03-2026"/>
    <n v="11506"/>
    <s v="1101-04"/>
    <n v="19990"/>
    <n v="0"/>
    <s v="Centralización recaudaciones marzo 2026 #3196 - #3196"/>
    <n v="19990"/>
    <s v="Activo"/>
    <n v="19990"/>
    <x v="2"/>
  </r>
  <r>
    <n v="2026"/>
    <n v="3"/>
    <s v="03-03-2026"/>
    <n v="11511"/>
    <s v="1101-04"/>
    <n v="35980"/>
    <n v="0"/>
    <s v="Centralización recaudaciones marzo 2026 #3201 - #3201"/>
    <n v="35980"/>
    <s v="Activo"/>
    <n v="35980"/>
    <x v="2"/>
  </r>
  <r>
    <n v="2026"/>
    <n v="3"/>
    <s v="03-03-2026"/>
    <n v="11513"/>
    <s v="1101-04"/>
    <n v="14990"/>
    <n v="0"/>
    <s v="Centralización recaudaciones marzo 2026 #3203 - #3203"/>
    <n v="14990"/>
    <s v="Activo"/>
    <n v="14990"/>
    <x v="2"/>
  </r>
  <r>
    <n v="2026"/>
    <n v="3"/>
    <s v="03-03-2026"/>
    <n v="11522"/>
    <s v="1101-04"/>
    <n v="26990"/>
    <n v="0"/>
    <s v="Centralización recaudaciones marzo 2026 #3212 - #3212"/>
    <n v="26990"/>
    <s v="Activo"/>
    <n v="26990"/>
    <x v="2"/>
  </r>
  <r>
    <n v="2026"/>
    <n v="3"/>
    <s v="03-03-2026"/>
    <n v="11532"/>
    <s v="1101-04"/>
    <n v="43970"/>
    <n v="0"/>
    <s v="Centralización recaudaciones marzo 2026 #3222 - #3222"/>
    <n v="43970"/>
    <s v="Activo"/>
    <n v="43970"/>
    <x v="2"/>
  </r>
  <r>
    <n v="2026"/>
    <n v="3"/>
    <s v="03-03-2026"/>
    <n v="11552"/>
    <s v="1101-04"/>
    <n v="22990"/>
    <n v="0"/>
    <s v="Centralización recaudaciones marzo 2026 #3242 - #3242"/>
    <n v="22990"/>
    <s v="Activo"/>
    <n v="22990"/>
    <x v="2"/>
  </r>
  <r>
    <n v="2026"/>
    <n v="3"/>
    <s v="03-03-2026"/>
    <n v="11558"/>
    <s v="1101-04"/>
    <n v="28990"/>
    <n v="0"/>
    <s v="Centralización recaudaciones marzo 2026 #3248 - #3248"/>
    <n v="28990"/>
    <s v="Activo"/>
    <n v="28990"/>
    <x v="2"/>
  </r>
  <r>
    <n v="2026"/>
    <n v="3"/>
    <s v="03-03-2026"/>
    <n v="11577"/>
    <s v="1101-04"/>
    <n v="33990"/>
    <n v="0"/>
    <s v="Centralización recaudaciones marzo 2026 #3267 - #3267"/>
    <n v="33990"/>
    <s v="Activo"/>
    <n v="33990"/>
    <x v="2"/>
  </r>
  <r>
    <n v="2026"/>
    <n v="3"/>
    <s v="03-03-2026"/>
    <n v="11581"/>
    <s v="1101-04"/>
    <n v="14990"/>
    <n v="0"/>
    <s v="Centralización recaudaciones marzo 2026 #3271 - #3271"/>
    <n v="14990"/>
    <s v="Activo"/>
    <n v="14990"/>
    <x v="2"/>
  </r>
  <r>
    <n v="2026"/>
    <n v="3"/>
    <s v="03-03-2026"/>
    <n v="11622"/>
    <s v="1101-04"/>
    <n v="21990"/>
    <n v="0"/>
    <s v="Centralización recaudaciones marzo 2026 #3312 - #3312"/>
    <n v="21990"/>
    <s v="Activo"/>
    <n v="21990"/>
    <x v="2"/>
  </r>
  <r>
    <n v="2026"/>
    <n v="3"/>
    <s v="03-03-2026"/>
    <n v="11639"/>
    <s v="1101-04"/>
    <n v="64990"/>
    <n v="0"/>
    <s v="Centralización recaudaciones marzo 2026 #3329 - #3329"/>
    <n v="64990"/>
    <s v="Activo"/>
    <n v="64990"/>
    <x v="2"/>
  </r>
  <r>
    <n v="2026"/>
    <n v="3"/>
    <s v="03-03-2026"/>
    <n v="11660"/>
    <s v="1101-04"/>
    <n v="14990"/>
    <n v="0"/>
    <s v="Centralización recaudaciones marzo 2026 #3350 - #3350"/>
    <n v="14990"/>
    <s v="Activo"/>
    <n v="14990"/>
    <x v="2"/>
  </r>
  <r>
    <n v="2026"/>
    <n v="3"/>
    <s v="03-03-2026"/>
    <n v="11677"/>
    <s v="1101-04"/>
    <n v="19494"/>
    <n v="0"/>
    <s v="Centralización recaudaciones marzo 2026 #3366 - #3366"/>
    <n v="19494"/>
    <s v="Activo"/>
    <n v="19494"/>
    <x v="2"/>
  </r>
  <r>
    <n v="2026"/>
    <n v="3"/>
    <s v="03-03-2026"/>
    <n v="11681"/>
    <s v="1101-04"/>
    <n v="46990"/>
    <n v="0"/>
    <s v="Centralización recaudaciones marzo 2026 #3370 - #3370"/>
    <n v="46990"/>
    <s v="Activo"/>
    <n v="46990"/>
    <x v="2"/>
  </r>
  <r>
    <n v="2026"/>
    <n v="3"/>
    <s v="03-03-2026"/>
    <n v="11683"/>
    <s v="1101-04"/>
    <n v="14990"/>
    <n v="0"/>
    <s v="Centralización recaudaciones marzo 2026 #3372 - #3372"/>
    <n v="14990"/>
    <s v="Activo"/>
    <n v="14990"/>
    <x v="2"/>
  </r>
  <r>
    <n v="2026"/>
    <n v="3"/>
    <s v="03-03-2026"/>
    <n v="11690"/>
    <s v="1101-04"/>
    <n v="20990"/>
    <n v="0"/>
    <s v="Centralización recaudaciones marzo 2026 #3379 - #3379"/>
    <n v="20990"/>
    <s v="Activo"/>
    <n v="20990"/>
    <x v="2"/>
  </r>
  <r>
    <n v="2026"/>
    <n v="3"/>
    <s v="03-03-2026"/>
    <n v="11708"/>
    <s v="1101-04"/>
    <n v="28990"/>
    <n v="0"/>
    <s v="Centralización recaudaciones marzo 2026 #3397 - #3397"/>
    <n v="28990"/>
    <s v="Activo"/>
    <n v="28990"/>
    <x v="2"/>
  </r>
  <r>
    <n v="2026"/>
    <n v="3"/>
    <s v="03-03-2026"/>
    <n v="11720"/>
    <s v="1101-04"/>
    <n v="35990"/>
    <n v="0"/>
    <s v="Centralización recaudaciones marzo 2026 #3409 - #3409"/>
    <n v="35990"/>
    <s v="Activo"/>
    <n v="35990"/>
    <x v="2"/>
  </r>
  <r>
    <n v="2026"/>
    <n v="3"/>
    <s v="03-03-2026"/>
    <n v="11731"/>
    <s v="1101-04"/>
    <n v="12980"/>
    <n v="0"/>
    <s v="Centralización recaudaciones marzo 2026 #3420 - #3420"/>
    <n v="12980"/>
    <s v="Activo"/>
    <n v="12980"/>
    <x v="2"/>
  </r>
  <r>
    <n v="2026"/>
    <n v="3"/>
    <s v="03-03-2026"/>
    <n v="11755"/>
    <s v="1101-04"/>
    <n v="2192981"/>
    <n v="0"/>
    <s v="Centralización recaudaciones marzo 2026 #3444 - #3444"/>
    <n v="2192981"/>
    <s v="Activo"/>
    <n v="2192981"/>
    <x v="2"/>
  </r>
  <r>
    <n v="2026"/>
    <n v="3"/>
    <s v="03-03-2026"/>
    <n v="11756"/>
    <s v="1101-04"/>
    <n v="33000"/>
    <n v="0"/>
    <s v="Centralización recaudaciones marzo 2026 #3445 - #3445"/>
    <n v="33000"/>
    <s v="Activo"/>
    <n v="33000"/>
    <x v="2"/>
  </r>
  <r>
    <n v="2026"/>
    <n v="3"/>
    <s v="03-03-2026"/>
    <n v="11772"/>
    <s v="1101-04"/>
    <n v="50990"/>
    <n v="0"/>
    <s v="Centralización recaudaciones marzo 2026 #3461 - #3461"/>
    <n v="50990"/>
    <s v="Activo"/>
    <n v="50990"/>
    <x v="2"/>
  </r>
  <r>
    <n v="2026"/>
    <n v="3"/>
    <s v="03-03-2026"/>
    <n v="11788"/>
    <s v="1101-04"/>
    <n v="567630"/>
    <n v="0"/>
    <s v="Centralización recaudaciones marzo 2026 #3477 - #3477"/>
    <n v="567630"/>
    <s v="Activo"/>
    <n v="567630"/>
    <x v="2"/>
  </r>
  <r>
    <n v="2026"/>
    <n v="3"/>
    <s v="03-03-2026"/>
    <n v="11791"/>
    <s v="1101-04"/>
    <n v="14990"/>
    <n v="0"/>
    <s v="Centralización recaudaciones marzo 2026 #3480 - #3480"/>
    <n v="14990"/>
    <s v="Activo"/>
    <n v="14990"/>
    <x v="2"/>
  </r>
  <r>
    <n v="2026"/>
    <n v="3"/>
    <s v="03-03-2026"/>
    <n v="11792"/>
    <s v="1101-04"/>
    <n v="30000"/>
    <n v="0"/>
    <s v="Centralización recaudaciones marzo 2026 #3481 - #3481"/>
    <n v="30000"/>
    <s v="Activo"/>
    <n v="30000"/>
    <x v="2"/>
  </r>
  <r>
    <n v="2026"/>
    <n v="3"/>
    <s v="04-03-2026"/>
    <n v="7467"/>
    <s v="1101-04"/>
    <n v="0"/>
    <n v="7565"/>
    <s v="Comision servicio internet"/>
    <n v="-7565"/>
    <s v="Activo"/>
    <n v="-7565"/>
    <x v="2"/>
  </r>
  <r>
    <n v="2026"/>
    <n v="3"/>
    <s v="04-03-2026"/>
    <n v="7467"/>
    <s v="1101-04"/>
    <n v="0"/>
    <n v="1437"/>
    <s v="Iva com.transf.electr.fondos"/>
    <n v="-1437"/>
    <s v="Activo"/>
    <n v="-1437"/>
    <x v="2"/>
  </r>
  <r>
    <n v="2026"/>
    <n v="3"/>
    <s v="04-03-2026"/>
    <n v="11165"/>
    <s v="1101-04"/>
    <n v="0"/>
    <n v="5900"/>
    <s v="Dif factura no 31183"/>
    <n v="-5900"/>
    <s v="Activo"/>
    <n v="-5900"/>
    <x v="2"/>
  </r>
  <r>
    <n v="2026"/>
    <n v="3"/>
    <s v="04-03-2026"/>
    <n v="11176"/>
    <s v="1101-04"/>
    <n v="20"/>
    <n v="0"/>
    <s v="Centralización recaudaciones marzo 2026 #3491 - #3491"/>
    <n v="20"/>
    <s v="Activo"/>
    <n v="20"/>
    <x v="2"/>
  </r>
  <r>
    <n v="2026"/>
    <n v="3"/>
    <s v="04-03-2026"/>
    <n v="11177"/>
    <s v="1101-04"/>
    <n v="73286"/>
    <n v="0"/>
    <s v="Centralización recaudaciones marzo 2026 #3494 - #3494"/>
    <n v="73286"/>
    <s v="Activo"/>
    <n v="73286"/>
    <x v="2"/>
  </r>
  <r>
    <n v="2026"/>
    <n v="3"/>
    <s v="04-03-2026"/>
    <n v="11190"/>
    <s v="1101-04"/>
    <n v="2000"/>
    <n v="0"/>
    <s v="Centralización recaudaciones marzo 2026 #2879 - #2879"/>
    <n v="2000"/>
    <s v="Activo"/>
    <n v="2000"/>
    <x v="2"/>
  </r>
  <r>
    <n v="2026"/>
    <n v="3"/>
    <s v="04-03-2026"/>
    <n v="11193"/>
    <s v="1101-04"/>
    <n v="2677"/>
    <n v="0"/>
    <s v="Centralización recaudaciones marzo 2026 #3493 - #3493"/>
    <n v="2677"/>
    <s v="Activo"/>
    <n v="2677"/>
    <x v="2"/>
  </r>
  <r>
    <n v="2026"/>
    <n v="3"/>
    <s v="04-03-2026"/>
    <n v="11194"/>
    <s v="1101-04"/>
    <n v="59990"/>
    <n v="0"/>
    <s v="Centralización recaudaciones marzo 2026 #2882 - #2882"/>
    <n v="59990"/>
    <s v="Activo"/>
    <n v="59990"/>
    <x v="2"/>
  </r>
  <r>
    <n v="2026"/>
    <n v="3"/>
    <s v="04-03-2026"/>
    <n v="11210"/>
    <s v="1101-04"/>
    <n v="59990"/>
    <n v="0"/>
    <s v="Centralización recaudaciones marzo 2026 #2898 - #2898"/>
    <n v="59990"/>
    <s v="Activo"/>
    <n v="59990"/>
    <x v="2"/>
  </r>
  <r>
    <n v="2026"/>
    <n v="3"/>
    <s v="04-03-2026"/>
    <n v="11214"/>
    <s v="1101-04"/>
    <n v="29990"/>
    <n v="0"/>
    <s v="Centralización recaudaciones marzo 2026 #2902 - #2902"/>
    <n v="29990"/>
    <s v="Activo"/>
    <n v="29990"/>
    <x v="2"/>
  </r>
  <r>
    <n v="2026"/>
    <n v="3"/>
    <s v="04-03-2026"/>
    <n v="11224"/>
    <s v="1101-04"/>
    <n v="40000"/>
    <n v="0"/>
    <s v="Centralización recaudaciones marzo 2026 #2912 - #2912"/>
    <n v="40000"/>
    <s v="Activo"/>
    <n v="40000"/>
    <x v="2"/>
  </r>
  <r>
    <n v="2026"/>
    <n v="3"/>
    <s v="04-03-2026"/>
    <n v="11236"/>
    <s v="1101-04"/>
    <n v="29990"/>
    <n v="0"/>
    <s v="Centralización recaudaciones marzo 2026 #2925 - #2925"/>
    <n v="29990"/>
    <s v="Activo"/>
    <n v="29990"/>
    <x v="2"/>
  </r>
  <r>
    <n v="2026"/>
    <n v="3"/>
    <s v="04-03-2026"/>
    <n v="11242"/>
    <s v="1101-04"/>
    <n v="40000"/>
    <n v="0"/>
    <s v="Centralización recaudaciones marzo 2026 #2932 - #2932"/>
    <n v="40000"/>
    <s v="Activo"/>
    <n v="40000"/>
    <x v="2"/>
  </r>
  <r>
    <n v="2026"/>
    <n v="3"/>
    <s v="04-03-2026"/>
    <n v="11271"/>
    <s v="1101-04"/>
    <n v="990"/>
    <n v="0"/>
    <s v="Centralización recaudaciones marzo 2026 #2961 - #2961"/>
    <n v="990"/>
    <s v="Activo"/>
    <n v="990"/>
    <x v="2"/>
  </r>
  <r>
    <n v="2026"/>
    <n v="3"/>
    <s v="04-03-2026"/>
    <n v="11290"/>
    <s v="1101-04"/>
    <n v="30000"/>
    <n v="0"/>
    <s v="Centralización recaudaciones marzo 2026 #2980 - #2980"/>
    <n v="30000"/>
    <s v="Activo"/>
    <n v="30000"/>
    <x v="2"/>
  </r>
  <r>
    <n v="2026"/>
    <n v="3"/>
    <s v="04-03-2026"/>
    <n v="11293"/>
    <s v="1101-04"/>
    <n v="59990"/>
    <n v="0"/>
    <s v="Centralización recaudaciones marzo 2026 #2983 - #2983"/>
    <n v="59990"/>
    <s v="Activo"/>
    <n v="59990"/>
    <x v="2"/>
  </r>
  <r>
    <n v="2026"/>
    <n v="3"/>
    <s v="04-03-2026"/>
    <n v="11295"/>
    <s v="1101-04"/>
    <n v="910"/>
    <n v="0"/>
    <s v="Centralización recaudaciones marzo 2026 #2985 - #2985"/>
    <n v="910"/>
    <s v="Activo"/>
    <n v="910"/>
    <x v="2"/>
  </r>
  <r>
    <n v="2026"/>
    <n v="3"/>
    <s v="04-03-2026"/>
    <n v="11302"/>
    <s v="1101-04"/>
    <n v="35000"/>
    <n v="0"/>
    <s v="Centralización recaudaciones marzo 2026 #2992 - #2992"/>
    <n v="35000"/>
    <s v="Activo"/>
    <n v="35000"/>
    <x v="2"/>
  </r>
  <r>
    <n v="2026"/>
    <n v="3"/>
    <s v="04-03-2026"/>
    <n v="11323"/>
    <s v="1101-04"/>
    <n v="29990"/>
    <n v="0"/>
    <s v="Centralización recaudaciones marzo 2026 #3013 - #3013"/>
    <n v="29990"/>
    <s v="Activo"/>
    <n v="29990"/>
    <x v="2"/>
  </r>
  <r>
    <n v="2026"/>
    <n v="3"/>
    <s v="04-03-2026"/>
    <n v="11339"/>
    <s v="1101-04"/>
    <n v="26392"/>
    <n v="0"/>
    <s v="Centralización recaudaciones marzo 2026 #3029 - #3029"/>
    <n v="26392"/>
    <s v="Activo"/>
    <n v="26392"/>
    <x v="2"/>
  </r>
  <r>
    <n v="2026"/>
    <n v="3"/>
    <s v="04-03-2026"/>
    <n v="11343"/>
    <s v="1101-04"/>
    <n v="59990"/>
    <n v="0"/>
    <s v="Centralización recaudaciones marzo 2026 #3033 - #3033"/>
    <n v="59990"/>
    <s v="Activo"/>
    <n v="59990"/>
    <x v="2"/>
  </r>
  <r>
    <n v="2026"/>
    <n v="3"/>
    <s v="04-03-2026"/>
    <n v="11362"/>
    <s v="1101-04"/>
    <n v="3708"/>
    <n v="0"/>
    <s v="Centralización recaudaciones marzo 2026 #3052 - #3052"/>
    <n v="3708"/>
    <s v="Activo"/>
    <n v="3708"/>
    <x v="2"/>
  </r>
  <r>
    <n v="2026"/>
    <n v="3"/>
    <s v="04-03-2026"/>
    <n v="11399"/>
    <s v="1101-04"/>
    <n v="28990"/>
    <n v="0"/>
    <s v="Centralización recaudaciones marzo 2026 #3089 - #3089"/>
    <n v="28990"/>
    <s v="Activo"/>
    <n v="28990"/>
    <x v="2"/>
  </r>
  <r>
    <n v="2026"/>
    <n v="3"/>
    <s v="04-03-2026"/>
    <n v="11402"/>
    <s v="1101-04"/>
    <n v="21990"/>
    <n v="0"/>
    <s v="Centralización recaudaciones marzo 2026 #3092 - #3092"/>
    <n v="21990"/>
    <s v="Activo"/>
    <n v="21990"/>
    <x v="2"/>
  </r>
  <r>
    <n v="2026"/>
    <n v="3"/>
    <s v="04-03-2026"/>
    <n v="11412"/>
    <s v="1101-04"/>
    <n v="29990"/>
    <n v="0"/>
    <s v="Centralización recaudaciones marzo 2026 #3102 - #3102"/>
    <n v="29990"/>
    <s v="Activo"/>
    <n v="29990"/>
    <x v="2"/>
  </r>
  <r>
    <n v="2026"/>
    <n v="3"/>
    <s v="04-03-2026"/>
    <n v="11441"/>
    <s v="1101-04"/>
    <n v="14990"/>
    <n v="0"/>
    <s v="Centralización recaudaciones marzo 2026 #3131 - #3131"/>
    <n v="14990"/>
    <s v="Activo"/>
    <n v="14990"/>
    <x v="2"/>
  </r>
  <r>
    <n v="2026"/>
    <n v="3"/>
    <s v="04-03-2026"/>
    <n v="11450"/>
    <s v="1101-04"/>
    <n v="28990"/>
    <n v="0"/>
    <s v="Centralización recaudaciones marzo 2026 #3140 - #3140"/>
    <n v="28990"/>
    <s v="Activo"/>
    <n v="28990"/>
    <x v="2"/>
  </r>
  <r>
    <n v="2026"/>
    <n v="3"/>
    <s v="04-03-2026"/>
    <n v="11451"/>
    <s v="1101-04"/>
    <n v="40"/>
    <n v="0"/>
    <s v="Centralización recaudaciones marzo 2026 #3141 - #3141"/>
    <n v="40"/>
    <s v="Activo"/>
    <n v="40"/>
    <x v="2"/>
  </r>
  <r>
    <n v="2026"/>
    <n v="3"/>
    <s v="04-03-2026"/>
    <n v="11463"/>
    <s v="1101-04"/>
    <n v="26970"/>
    <n v="0"/>
    <s v="Centralización recaudaciones marzo 2026 #3153 - #3153"/>
    <n v="26970"/>
    <s v="Activo"/>
    <n v="26970"/>
    <x v="2"/>
  </r>
  <r>
    <n v="2026"/>
    <n v="3"/>
    <s v="04-03-2026"/>
    <n v="11478"/>
    <s v="1101-04"/>
    <n v="963"/>
    <n v="0"/>
    <s v="Centralización recaudaciones marzo 2026 #3168 - #3168"/>
    <n v="963"/>
    <s v="Activo"/>
    <n v="963"/>
    <x v="2"/>
  </r>
  <r>
    <n v="2026"/>
    <n v="3"/>
    <s v="04-03-2026"/>
    <n v="11484"/>
    <s v="1101-04"/>
    <n v="38990"/>
    <n v="0"/>
    <s v="Centralización recaudaciones marzo 2026 #3174 - #3174"/>
    <n v="38990"/>
    <s v="Activo"/>
    <n v="38990"/>
    <x v="2"/>
  </r>
  <r>
    <n v="2026"/>
    <n v="3"/>
    <s v="04-03-2026"/>
    <n v="11493"/>
    <s v="1101-04"/>
    <n v="29990"/>
    <n v="0"/>
    <s v="Centralización recaudaciones marzo 2026 #3183 - #3183"/>
    <n v="29990"/>
    <s v="Activo"/>
    <n v="29990"/>
    <x v="2"/>
  </r>
  <r>
    <n v="2026"/>
    <n v="3"/>
    <s v="04-03-2026"/>
    <n v="11509"/>
    <s v="1101-04"/>
    <n v="29990"/>
    <n v="0"/>
    <s v="Centralización recaudaciones marzo 2026 #3199 - #3199"/>
    <n v="29990"/>
    <s v="Activo"/>
    <n v="29990"/>
    <x v="2"/>
  </r>
  <r>
    <n v="2026"/>
    <n v="3"/>
    <s v="04-03-2026"/>
    <n v="11523"/>
    <s v="1101-04"/>
    <n v="29990"/>
    <n v="0"/>
    <s v="Centralización recaudaciones marzo 2026 #3213 - #3213"/>
    <n v="29990"/>
    <s v="Activo"/>
    <n v="29990"/>
    <x v="2"/>
  </r>
  <r>
    <n v="2026"/>
    <n v="3"/>
    <s v="04-03-2026"/>
    <n v="11550"/>
    <s v="1101-04"/>
    <n v="70000"/>
    <n v="0"/>
    <s v="Centralización recaudaciones marzo 2026 #3240 - #3240"/>
    <n v="70000"/>
    <s v="Activo"/>
    <n v="70000"/>
    <x v="2"/>
  </r>
  <r>
    <n v="2026"/>
    <n v="3"/>
    <s v="04-03-2026"/>
    <n v="11591"/>
    <s v="1101-04"/>
    <n v="1000"/>
    <n v="0"/>
    <s v="Centralización recaudaciones marzo 2026 #3281 - #3281"/>
    <n v="1000"/>
    <s v="Activo"/>
    <n v="1000"/>
    <x v="2"/>
  </r>
  <r>
    <n v="2026"/>
    <n v="3"/>
    <s v="04-03-2026"/>
    <n v="11612"/>
    <s v="1101-04"/>
    <n v="29990"/>
    <n v="0"/>
    <s v="Centralización recaudaciones marzo 2026 #3302 - #3302"/>
    <n v="29990"/>
    <s v="Activo"/>
    <n v="29990"/>
    <x v="2"/>
  </r>
  <r>
    <n v="2026"/>
    <n v="3"/>
    <s v="04-03-2026"/>
    <n v="11613"/>
    <s v="1101-04"/>
    <n v="28990"/>
    <n v="0"/>
    <s v="Centralización recaudaciones marzo 2026 #3303 - #3303"/>
    <n v="28990"/>
    <s v="Activo"/>
    <n v="28990"/>
    <x v="2"/>
  </r>
  <r>
    <n v="2026"/>
    <n v="3"/>
    <s v="04-03-2026"/>
    <n v="11617"/>
    <s v="1101-04"/>
    <n v="60000"/>
    <n v="0"/>
    <s v="Centralización recaudaciones marzo 2026 #3307 - #3307"/>
    <n v="60000"/>
    <s v="Activo"/>
    <n v="60000"/>
    <x v="2"/>
  </r>
  <r>
    <n v="2026"/>
    <n v="3"/>
    <s v="04-03-2026"/>
    <n v="11619"/>
    <s v="1101-04"/>
    <n v="43980"/>
    <n v="0"/>
    <s v="Centralización recaudaciones marzo 2026 #3309 - #3309"/>
    <n v="43980"/>
    <s v="Activo"/>
    <n v="43980"/>
    <x v="2"/>
  </r>
  <r>
    <n v="2026"/>
    <n v="3"/>
    <s v="04-03-2026"/>
    <n v="11643"/>
    <s v="1101-04"/>
    <n v="21990"/>
    <n v="0"/>
    <s v="Centralización recaudaciones marzo 2026 #3333 - #3333"/>
    <n v="21990"/>
    <s v="Activo"/>
    <n v="21990"/>
    <x v="2"/>
  </r>
  <r>
    <n v="2026"/>
    <n v="3"/>
    <s v="04-03-2026"/>
    <n v="11647"/>
    <s v="1101-04"/>
    <n v="29990"/>
    <n v="0"/>
    <s v="Centralización recaudaciones marzo 2026 #3337 - #3337"/>
    <n v="29990"/>
    <s v="Activo"/>
    <n v="29990"/>
    <x v="2"/>
  </r>
  <r>
    <n v="2026"/>
    <n v="3"/>
    <s v="04-03-2026"/>
    <n v="11678"/>
    <s v="1101-04"/>
    <n v="496"/>
    <n v="0"/>
    <s v="Centralización recaudaciones marzo 2026 #3367 - #3367"/>
    <n v="496"/>
    <s v="Activo"/>
    <n v="496"/>
    <x v="2"/>
  </r>
  <r>
    <n v="2026"/>
    <n v="3"/>
    <s v="04-03-2026"/>
    <n v="11688"/>
    <s v="1101-04"/>
    <n v="14990"/>
    <n v="0"/>
    <s v="Centralización recaudaciones marzo 2026 #3377 - #3377"/>
    <n v="14990"/>
    <s v="Activo"/>
    <n v="14990"/>
    <x v="2"/>
  </r>
  <r>
    <n v="2026"/>
    <n v="3"/>
    <s v="04-03-2026"/>
    <n v="11691"/>
    <s v="1101-04"/>
    <n v="910"/>
    <n v="0"/>
    <s v="Centralización recaudaciones marzo 2026 #3380 - #3380"/>
    <n v="910"/>
    <s v="Activo"/>
    <n v="910"/>
    <x v="2"/>
  </r>
  <r>
    <n v="2026"/>
    <n v="3"/>
    <s v="04-03-2026"/>
    <n v="11704"/>
    <s v="1101-04"/>
    <n v="17990"/>
    <n v="0"/>
    <s v="Centralización recaudaciones marzo 2026 #3393 - #3393"/>
    <n v="17990"/>
    <s v="Activo"/>
    <n v="17990"/>
    <x v="2"/>
  </r>
  <r>
    <n v="2026"/>
    <n v="3"/>
    <s v="04-03-2026"/>
    <n v="11747"/>
    <s v="1101-04"/>
    <n v="990"/>
    <n v="0"/>
    <s v="Centralización recaudaciones marzo 2026 #3436 - #3436"/>
    <n v="990"/>
    <s v="Activo"/>
    <n v="990"/>
    <x v="2"/>
  </r>
  <r>
    <n v="2026"/>
    <n v="3"/>
    <s v="04-03-2026"/>
    <n v="11770"/>
    <s v="1101-04"/>
    <n v="799186"/>
    <n v="0"/>
    <s v="Centralización recaudaciones marzo 2026 #3459 - #3459"/>
    <n v="799186"/>
    <s v="Activo"/>
    <n v="799186"/>
    <x v="2"/>
  </r>
  <r>
    <n v="2026"/>
    <n v="3"/>
    <s v="05-03-2026"/>
    <n v="11200"/>
    <s v="1101-04"/>
    <n v="29990"/>
    <n v="0"/>
    <s v="Centralización recaudaciones marzo 2026 #2888 - #2888"/>
    <n v="29990"/>
    <s v="Activo"/>
    <n v="29990"/>
    <x v="2"/>
  </r>
  <r>
    <n v="2026"/>
    <n v="3"/>
    <s v="05-03-2026"/>
    <n v="11248"/>
    <s v="1101-04"/>
    <n v="50000"/>
    <n v="0"/>
    <s v="Centralización recaudaciones marzo 2026 #2938 - #2938"/>
    <n v="50000"/>
    <s v="Activo"/>
    <n v="50000"/>
    <x v="2"/>
  </r>
  <r>
    <n v="2026"/>
    <n v="3"/>
    <s v="05-03-2026"/>
    <n v="11259"/>
    <s v="1101-04"/>
    <n v="37990"/>
    <n v="0"/>
    <s v="Centralización recaudaciones marzo 2026 #2949 - #2949"/>
    <n v="37990"/>
    <s v="Activo"/>
    <n v="37990"/>
    <x v="2"/>
  </r>
  <r>
    <n v="2026"/>
    <n v="3"/>
    <s v="05-03-2026"/>
    <n v="11266"/>
    <s v="1101-04"/>
    <n v="29990"/>
    <n v="0"/>
    <s v="Centralización recaudaciones marzo 2026 #2956 - #2956"/>
    <n v="29990"/>
    <s v="Activo"/>
    <n v="29990"/>
    <x v="2"/>
  </r>
  <r>
    <n v="2026"/>
    <n v="3"/>
    <s v="05-03-2026"/>
    <n v="11274"/>
    <s v="1101-04"/>
    <n v="29990"/>
    <n v="0"/>
    <s v="Centralización recaudaciones marzo 2026 #2964 - #2964"/>
    <n v="29990"/>
    <s v="Activo"/>
    <n v="29990"/>
    <x v="2"/>
  </r>
  <r>
    <n v="2026"/>
    <n v="3"/>
    <s v="05-03-2026"/>
    <n v="11303"/>
    <s v="1101-04"/>
    <n v="28990"/>
    <n v="0"/>
    <s v="Centralización recaudaciones marzo 2026 #2993 - #2993"/>
    <n v="28990"/>
    <s v="Activo"/>
    <n v="28990"/>
    <x v="2"/>
  </r>
  <r>
    <n v="2026"/>
    <n v="3"/>
    <s v="05-03-2026"/>
    <n v="11342"/>
    <s v="1101-04"/>
    <n v="29990"/>
    <n v="0"/>
    <s v="Centralización recaudaciones marzo 2026 #3032 - #3032"/>
    <n v="29990"/>
    <s v="Activo"/>
    <n v="29990"/>
    <x v="2"/>
  </r>
  <r>
    <n v="2026"/>
    <n v="3"/>
    <s v="05-03-2026"/>
    <n v="11373"/>
    <s v="1101-04"/>
    <n v="42000"/>
    <n v="0"/>
    <s v="Centralización recaudaciones marzo 2026 #3063 - #3063"/>
    <n v="42000"/>
    <s v="Activo"/>
    <n v="42000"/>
    <x v="2"/>
  </r>
  <r>
    <n v="2026"/>
    <n v="3"/>
    <s v="05-03-2026"/>
    <n v="11377"/>
    <s v="1101-04"/>
    <n v="50000"/>
    <n v="0"/>
    <s v="Centralización recaudaciones marzo 2026 #3067 - #3067"/>
    <n v="50000"/>
    <s v="Activo"/>
    <n v="50000"/>
    <x v="2"/>
  </r>
  <r>
    <n v="2026"/>
    <n v="3"/>
    <s v="05-03-2026"/>
    <n v="11414"/>
    <s v="1101-04"/>
    <n v="21990"/>
    <n v="0"/>
    <s v="Centralización recaudaciones marzo 2026 #3104 - #3104"/>
    <n v="21990"/>
    <s v="Activo"/>
    <n v="21990"/>
    <x v="2"/>
  </r>
  <r>
    <n v="2026"/>
    <n v="3"/>
    <s v="05-03-2026"/>
    <n v="11430"/>
    <s v="1101-04"/>
    <n v="40000"/>
    <n v="0"/>
    <s v="Centralización recaudaciones marzo 2026 #3120 - #3120"/>
    <n v="40000"/>
    <s v="Activo"/>
    <n v="40000"/>
    <x v="2"/>
  </r>
  <r>
    <n v="2026"/>
    <n v="3"/>
    <s v="05-03-2026"/>
    <n v="11432"/>
    <s v="1101-04"/>
    <n v="29990"/>
    <n v="0"/>
    <s v="Centralización recaudaciones marzo 2026 #3122 - #3122"/>
    <n v="29990"/>
    <s v="Activo"/>
    <n v="29990"/>
    <x v="2"/>
  </r>
  <r>
    <n v="2026"/>
    <n v="3"/>
    <s v="05-03-2026"/>
    <n v="11439"/>
    <s v="1101-04"/>
    <n v="29990"/>
    <n v="0"/>
    <s v="Centralización recaudaciones marzo 2026 #3129 - #3129"/>
    <n v="29990"/>
    <s v="Activo"/>
    <n v="29990"/>
    <x v="2"/>
  </r>
  <r>
    <n v="2026"/>
    <n v="3"/>
    <s v="05-03-2026"/>
    <n v="11442"/>
    <s v="1101-04"/>
    <n v="7000"/>
    <n v="0"/>
    <s v="Centralización recaudaciones marzo 2026 #3132 - #3132"/>
    <n v="7000"/>
    <s v="Activo"/>
    <n v="7000"/>
    <x v="2"/>
  </r>
  <r>
    <n v="2026"/>
    <n v="3"/>
    <s v="05-03-2026"/>
    <n v="11445"/>
    <s v="1101-04"/>
    <n v="139980"/>
    <n v="0"/>
    <s v="Centralización recaudaciones marzo 2026 #3135 - #3135"/>
    <n v="139980"/>
    <s v="Activo"/>
    <n v="139980"/>
    <x v="2"/>
  </r>
  <r>
    <n v="2026"/>
    <n v="3"/>
    <s v="05-03-2026"/>
    <n v="11448"/>
    <s v="1101-04"/>
    <n v="5000"/>
    <n v="0"/>
    <s v="Centralización recaudaciones marzo 2026 #3138 - #3138"/>
    <n v="5000"/>
    <s v="Activo"/>
    <n v="5000"/>
    <x v="2"/>
  </r>
  <r>
    <n v="2026"/>
    <n v="3"/>
    <s v="05-03-2026"/>
    <n v="11459"/>
    <s v="1101-04"/>
    <n v="20480"/>
    <n v="0"/>
    <s v="Centralización recaudaciones marzo 2026 #3149 - #3149"/>
    <n v="20480"/>
    <s v="Activo"/>
    <n v="20480"/>
    <x v="2"/>
  </r>
  <r>
    <n v="2026"/>
    <n v="3"/>
    <s v="05-03-2026"/>
    <n v="11464"/>
    <s v="1101-04"/>
    <n v="29990"/>
    <n v="0"/>
    <s v="Centralización recaudaciones marzo 2026 #3154 - #3154"/>
    <n v="29990"/>
    <s v="Activo"/>
    <n v="29990"/>
    <x v="2"/>
  </r>
  <r>
    <n v="2026"/>
    <n v="3"/>
    <s v="05-03-2026"/>
    <n v="11486"/>
    <s v="1101-04"/>
    <n v="29990"/>
    <n v="0"/>
    <s v="Centralización recaudaciones marzo 2026 #3176 - #3176"/>
    <n v="29990"/>
    <s v="Activo"/>
    <n v="29990"/>
    <x v="2"/>
  </r>
  <r>
    <n v="2026"/>
    <n v="3"/>
    <s v="05-03-2026"/>
    <n v="11503"/>
    <s v="1101-04"/>
    <n v="21990"/>
    <n v="0"/>
    <s v="Centralización recaudaciones marzo 2026 #3193 - #3193"/>
    <n v="21990"/>
    <s v="Activo"/>
    <n v="21990"/>
    <x v="2"/>
  </r>
  <r>
    <n v="2026"/>
    <n v="3"/>
    <s v="05-03-2026"/>
    <n v="11504"/>
    <s v="1101-04"/>
    <n v="174821"/>
    <n v="0"/>
    <s v="Centralización recaudaciones marzo 2026 #3194 - #3194"/>
    <n v="174821"/>
    <s v="Activo"/>
    <n v="174821"/>
    <x v="2"/>
  </r>
  <r>
    <n v="2026"/>
    <n v="3"/>
    <s v="05-03-2026"/>
    <n v="11515"/>
    <s v="1101-04"/>
    <n v="36990"/>
    <n v="0"/>
    <s v="Centralización recaudaciones marzo 2026 #3205 - #3205"/>
    <n v="36990"/>
    <s v="Activo"/>
    <n v="36990"/>
    <x v="2"/>
  </r>
  <r>
    <n v="2026"/>
    <n v="3"/>
    <s v="05-03-2026"/>
    <n v="11524"/>
    <s v="1101-04"/>
    <n v="34990"/>
    <n v="0"/>
    <s v="Centralización recaudaciones marzo 2026 #3214 - #3214"/>
    <n v="34990"/>
    <s v="Activo"/>
    <n v="34990"/>
    <x v="2"/>
  </r>
  <r>
    <n v="2026"/>
    <n v="3"/>
    <s v="05-03-2026"/>
    <n v="11551"/>
    <s v="1101-04"/>
    <n v="32989"/>
    <n v="0"/>
    <s v="Centralización recaudaciones marzo 2026 #3241 - #3241"/>
    <n v="32989"/>
    <s v="Activo"/>
    <n v="32989"/>
    <x v="2"/>
  </r>
  <r>
    <n v="2026"/>
    <n v="3"/>
    <s v="05-03-2026"/>
    <n v="11729"/>
    <s v="1101-04"/>
    <n v="51980"/>
    <n v="0"/>
    <s v="Centralización recaudaciones marzo 2026 #3418 - #3418"/>
    <n v="51980"/>
    <s v="Activo"/>
    <n v="51980"/>
    <x v="2"/>
  </r>
  <r>
    <n v="2026"/>
    <n v="3"/>
    <s v="05-03-2026"/>
    <n v="10745"/>
    <s v="1101-04"/>
    <n v="0"/>
    <n v="2562368"/>
    <s v="Traspaso itau 5225 a santarder usd"/>
    <n v="-2562368"/>
    <s v="Activo"/>
    <n v="-2562368"/>
    <x v="2"/>
  </r>
  <r>
    <n v="2026"/>
    <n v="3"/>
    <s v="06-03-2026"/>
    <n v="11182"/>
    <s v="1101-04"/>
    <n v="74990"/>
    <n v="0"/>
    <s v="Centralización recaudaciones marzo 2026 #2871 - #2871"/>
    <n v="74990"/>
    <s v="Activo"/>
    <n v="74990"/>
    <x v="2"/>
  </r>
  <r>
    <n v="2026"/>
    <n v="3"/>
    <s v="06-03-2026"/>
    <n v="11246"/>
    <s v="1101-04"/>
    <n v="40000"/>
    <n v="0"/>
    <s v="Centralización recaudaciones marzo 2026 #2936 - #2936"/>
    <n v="40000"/>
    <s v="Activo"/>
    <n v="40000"/>
    <x v="2"/>
  </r>
  <r>
    <n v="2026"/>
    <n v="3"/>
    <s v="06-03-2026"/>
    <n v="11277"/>
    <s v="1101-04"/>
    <n v="29990"/>
    <n v="0"/>
    <s v="Centralización recaudaciones marzo 2026 #2967 - #2967"/>
    <n v="29990"/>
    <s v="Activo"/>
    <n v="29990"/>
    <x v="2"/>
  </r>
  <r>
    <n v="2026"/>
    <n v="3"/>
    <s v="06-03-2026"/>
    <n v="11351"/>
    <s v="1101-04"/>
    <n v="59990"/>
    <n v="0"/>
    <s v="Centralización recaudaciones marzo 2026 #3041 - #3041"/>
    <n v="59990"/>
    <s v="Activo"/>
    <n v="59990"/>
    <x v="2"/>
  </r>
  <r>
    <n v="2026"/>
    <n v="3"/>
    <s v="06-03-2026"/>
    <n v="11374"/>
    <s v="1101-04"/>
    <n v="2028337"/>
    <n v="0"/>
    <s v="Centralización recaudaciones marzo 2026 #3064 - #3064"/>
    <n v="2028337"/>
    <s v="Activo"/>
    <n v="2028337"/>
    <x v="2"/>
  </r>
  <r>
    <n v="2026"/>
    <n v="3"/>
    <s v="06-03-2026"/>
    <n v="11378"/>
    <s v="1101-04"/>
    <n v="29990"/>
    <n v="0"/>
    <s v="Centralización recaudaciones marzo 2026 #3068 - #3068"/>
    <n v="29990"/>
    <s v="Activo"/>
    <n v="29990"/>
    <x v="2"/>
  </r>
  <r>
    <n v="2026"/>
    <n v="3"/>
    <s v="06-03-2026"/>
    <n v="11435"/>
    <s v="1101-04"/>
    <n v="28990"/>
    <n v="0"/>
    <s v="Centralización recaudaciones marzo 2026 #3125 - #3125"/>
    <n v="28990"/>
    <s v="Activo"/>
    <n v="28990"/>
    <x v="2"/>
  </r>
  <r>
    <n v="2026"/>
    <n v="3"/>
    <s v="06-03-2026"/>
    <n v="11452"/>
    <s v="1101-04"/>
    <n v="4950"/>
    <n v="0"/>
    <s v="Centralización recaudaciones marzo 2026 #3142 - #3142"/>
    <n v="4950"/>
    <s v="Activo"/>
    <n v="4950"/>
    <x v="2"/>
  </r>
  <r>
    <n v="2026"/>
    <n v="3"/>
    <s v="06-03-2026"/>
    <n v="11460"/>
    <s v="1101-04"/>
    <n v="1510"/>
    <n v="0"/>
    <s v="Centralización recaudaciones marzo 2026 #3150 - #3150"/>
    <n v="1510"/>
    <s v="Activo"/>
    <n v="1510"/>
    <x v="2"/>
  </r>
  <r>
    <n v="2026"/>
    <n v="3"/>
    <s v="06-03-2026"/>
    <n v="11461"/>
    <s v="1101-04"/>
    <n v="29990"/>
    <n v="0"/>
    <s v="Centralización recaudaciones marzo 2026 #3151 - #3151"/>
    <n v="29990"/>
    <s v="Activo"/>
    <n v="29990"/>
    <x v="2"/>
  </r>
  <r>
    <n v="2026"/>
    <n v="3"/>
    <s v="06-03-2026"/>
    <n v="11480"/>
    <s v="1101-04"/>
    <n v="34990"/>
    <n v="0"/>
    <s v="Centralización recaudaciones marzo 2026 #3170 - #3170"/>
    <n v="34990"/>
    <s v="Activo"/>
    <n v="34990"/>
    <x v="2"/>
  </r>
  <r>
    <n v="2026"/>
    <n v="3"/>
    <s v="06-03-2026"/>
    <n v="11514"/>
    <s v="1101-04"/>
    <n v="5000"/>
    <n v="0"/>
    <s v="Centralización recaudaciones marzo 2026 #3204 - #3204"/>
    <n v="5000"/>
    <s v="Activo"/>
    <n v="5000"/>
    <x v="2"/>
  </r>
  <r>
    <n v="2026"/>
    <n v="3"/>
    <s v="06-03-2026"/>
    <n v="11525"/>
    <s v="1101-04"/>
    <n v="429427"/>
    <n v="0"/>
    <s v="Centralización recaudaciones marzo 2026 #3215 - #3215"/>
    <n v="429427"/>
    <s v="Activo"/>
    <n v="429427"/>
    <x v="2"/>
  </r>
  <r>
    <n v="2026"/>
    <n v="3"/>
    <s v="06-03-2026"/>
    <n v="11542"/>
    <s v="1101-04"/>
    <n v="31990"/>
    <n v="0"/>
    <s v="Centralización recaudaciones marzo 2026 #3232 - #3232"/>
    <n v="31990"/>
    <s v="Activo"/>
    <n v="31990"/>
    <x v="2"/>
  </r>
  <r>
    <n v="2026"/>
    <n v="3"/>
    <s v="06-03-2026"/>
    <n v="11572"/>
    <s v="1101-04"/>
    <n v="28930"/>
    <n v="0"/>
    <s v="Centralización recaudaciones marzo 2026 #3262 - #3262"/>
    <n v="28930"/>
    <s v="Activo"/>
    <n v="28930"/>
    <x v="2"/>
  </r>
  <r>
    <n v="2026"/>
    <n v="3"/>
    <s v="06-03-2026"/>
    <n v="11584"/>
    <s v="1101-04"/>
    <n v="6911"/>
    <n v="0"/>
    <s v="Centralización recaudaciones marzo 2026 #3274 - #3274"/>
    <n v="6911"/>
    <s v="Activo"/>
    <n v="6911"/>
    <x v="2"/>
  </r>
  <r>
    <n v="2026"/>
    <n v="3"/>
    <s v="06-03-2026"/>
    <n v="11621"/>
    <s v="1101-04"/>
    <n v="424580"/>
    <n v="0"/>
    <s v="Centralización recaudaciones marzo 2026 #3311 - #3311"/>
    <n v="424580"/>
    <s v="Activo"/>
    <n v="424580"/>
    <x v="2"/>
  </r>
  <r>
    <n v="2026"/>
    <n v="3"/>
    <s v="06-03-2026"/>
    <n v="11661"/>
    <s v="1101-04"/>
    <n v="5000"/>
    <n v="0"/>
    <s v="Centralización recaudaciones marzo 2026 #3351 - #3351"/>
    <n v="5000"/>
    <s v="Activo"/>
    <n v="5000"/>
    <x v="2"/>
  </r>
  <r>
    <n v="2026"/>
    <n v="3"/>
    <s v="06-03-2026"/>
    <n v="11689"/>
    <s v="1101-04"/>
    <n v="7000"/>
    <n v="0"/>
    <s v="Centralización recaudaciones marzo 2026 #3378 - #3378"/>
    <n v="7000"/>
    <s v="Activo"/>
    <n v="7000"/>
    <x v="2"/>
  </r>
  <r>
    <n v="2026"/>
    <n v="3"/>
    <s v="06-03-2026"/>
    <n v="11695"/>
    <s v="1101-04"/>
    <n v="614808"/>
    <n v="0"/>
    <s v="Centralización recaudaciones marzo 2026 #3384 - #3384"/>
    <n v="614808"/>
    <s v="Activo"/>
    <n v="614808"/>
    <x v="2"/>
  </r>
  <r>
    <n v="2026"/>
    <n v="3"/>
    <s v="06-03-2026"/>
    <n v="11705"/>
    <s v="1101-04"/>
    <n v="4000"/>
    <n v="0"/>
    <s v="Centralización recaudaciones marzo 2026 #3394 - #3394"/>
    <n v="4000"/>
    <s v="Activo"/>
    <n v="4000"/>
    <x v="2"/>
  </r>
  <r>
    <n v="2026"/>
    <n v="3"/>
    <s v="06-03-2026"/>
    <n v="11734"/>
    <s v="1101-04"/>
    <n v="34000"/>
    <n v="0"/>
    <s v="Centralización recaudaciones marzo 2026 #3423 - #3423"/>
    <n v="34000"/>
    <s v="Activo"/>
    <n v="34000"/>
    <x v="2"/>
  </r>
  <r>
    <n v="2026"/>
    <n v="3"/>
    <s v="06-03-2026"/>
    <n v="11737"/>
    <s v="1101-04"/>
    <n v="485137"/>
    <n v="0"/>
    <s v="Centralización recaudaciones marzo 2026 #3426 - #3426"/>
    <n v="485137"/>
    <s v="Activo"/>
    <n v="485137"/>
    <x v="2"/>
  </r>
  <r>
    <n v="2026"/>
    <n v="3"/>
    <s v="06-03-2026"/>
    <n v="11738"/>
    <s v="1101-04"/>
    <n v="520000"/>
    <n v="0"/>
    <s v="Centralización recaudaciones marzo 2026 #3427 - #3427"/>
    <n v="520000"/>
    <s v="Activo"/>
    <n v="520000"/>
    <x v="2"/>
  </r>
  <r>
    <n v="2026"/>
    <n v="3"/>
    <s v="06-03-2026"/>
    <n v="11745"/>
    <s v="1101-04"/>
    <n v="520000"/>
    <n v="0"/>
    <s v="Centralización recaudaciones marzo 2026 #3434 - #3434"/>
    <n v="520000"/>
    <s v="Activo"/>
    <n v="520000"/>
    <x v="2"/>
  </r>
  <r>
    <n v="2026"/>
    <n v="3"/>
    <s v="06-03-2026"/>
    <n v="11748"/>
    <s v="1101-04"/>
    <n v="331051"/>
    <n v="0"/>
    <s v="Centralización recaudaciones marzo 2026 #3437 - #3437"/>
    <n v="331051"/>
    <s v="Activo"/>
    <n v="331051"/>
    <x v="2"/>
  </r>
  <r>
    <n v="2026"/>
    <n v="3"/>
    <s v="06-03-2026"/>
    <n v="11776"/>
    <s v="1101-04"/>
    <n v="21990"/>
    <n v="0"/>
    <s v="Centralización recaudaciones marzo 2026 #3465 - #3465"/>
    <n v="21990"/>
    <s v="Activo"/>
    <n v="21990"/>
    <x v="2"/>
  </r>
  <r>
    <n v="2026"/>
    <n v="3"/>
    <s v="06-03-2026"/>
    <n v="11793"/>
    <s v="1101-04"/>
    <n v="40000"/>
    <n v="0"/>
    <s v="Centralización recaudaciones marzo 2026 #3482 - #3482"/>
    <n v="40000"/>
    <s v="Activo"/>
    <n v="40000"/>
    <x v="2"/>
  </r>
  <r>
    <n v="2026"/>
    <n v="3"/>
    <s v="09-03-2026"/>
    <n v="11125"/>
    <s v="1101-04"/>
    <n v="0"/>
    <n v="2000000"/>
    <s v="0765406986 transf. itau 0207015225"/>
    <n v="-2000000"/>
    <s v="Activo"/>
    <n v="-2000000"/>
    <x v="2"/>
  </r>
  <r>
    <n v="2026"/>
    <n v="3"/>
    <s v="09-03-2026"/>
    <n v="11169"/>
    <s v="1101-04"/>
    <n v="29990"/>
    <n v="0"/>
    <s v="Centralización recaudaciones marzo 2026 #3487 - #3487"/>
    <n v="29990"/>
    <s v="Activo"/>
    <n v="29990"/>
    <x v="2"/>
  </r>
  <r>
    <n v="2026"/>
    <n v="3"/>
    <s v="09-03-2026"/>
    <n v="11172"/>
    <s v="1101-04"/>
    <n v="29990"/>
    <n v="0"/>
    <s v="Centralización recaudaciones marzo 2026 #2865 - #2865"/>
    <n v="29990"/>
    <s v="Activo"/>
    <n v="29990"/>
    <x v="2"/>
  </r>
  <r>
    <n v="2026"/>
    <n v="3"/>
    <s v="09-03-2026"/>
    <n v="11279"/>
    <s v="1101-04"/>
    <n v="497196"/>
    <n v="0"/>
    <s v="Centralización recaudaciones marzo 2026 #2969 - #2969"/>
    <n v="497196"/>
    <s v="Activo"/>
    <n v="497196"/>
    <x v="2"/>
  </r>
  <r>
    <n v="2026"/>
    <n v="3"/>
    <s v="09-03-2026"/>
    <n v="11286"/>
    <s v="1101-04"/>
    <n v="59990"/>
    <n v="0"/>
    <s v="Centralización recaudaciones marzo 2026 #2976 - #2976"/>
    <n v="59990"/>
    <s v="Activo"/>
    <n v="59990"/>
    <x v="2"/>
  </r>
  <r>
    <n v="2026"/>
    <n v="3"/>
    <s v="09-03-2026"/>
    <n v="11306"/>
    <s v="1101-04"/>
    <n v="28990"/>
    <n v="0"/>
    <s v="Centralización recaudaciones marzo 2026 #2996 - #2996"/>
    <n v="28990"/>
    <s v="Activo"/>
    <n v="28990"/>
    <x v="2"/>
  </r>
  <r>
    <n v="2026"/>
    <n v="3"/>
    <s v="09-03-2026"/>
    <n v="11347"/>
    <s v="1101-04"/>
    <n v="43990"/>
    <n v="0"/>
    <s v="Centralización recaudaciones marzo 2026 #3037 - #3037"/>
    <n v="43990"/>
    <s v="Activo"/>
    <n v="43990"/>
    <x v="2"/>
  </r>
  <r>
    <n v="2026"/>
    <n v="3"/>
    <s v="09-03-2026"/>
    <n v="11375"/>
    <s v="1101-04"/>
    <n v="425637"/>
    <n v="0"/>
    <s v="Centralización recaudaciones marzo 2026 #3065 - #3065"/>
    <n v="425637"/>
    <s v="Activo"/>
    <n v="425637"/>
    <x v="2"/>
  </r>
  <r>
    <n v="2026"/>
    <n v="3"/>
    <s v="09-03-2026"/>
    <n v="11385"/>
    <s v="1101-04"/>
    <n v="45620"/>
    <n v="0"/>
    <s v="Centralización recaudaciones marzo 2026 #3075 - #3075"/>
    <n v="45620"/>
    <s v="Activo"/>
    <n v="45620"/>
    <x v="2"/>
  </r>
  <r>
    <n v="2026"/>
    <n v="3"/>
    <s v="09-03-2026"/>
    <n v="11438"/>
    <s v="1101-04"/>
    <n v="32990"/>
    <n v="0"/>
    <s v="Centralización recaudaciones marzo 2026 #3128 - #3128"/>
    <n v="32990"/>
    <s v="Activo"/>
    <n v="32990"/>
    <x v="2"/>
  </r>
  <r>
    <n v="2026"/>
    <n v="3"/>
    <s v="09-03-2026"/>
    <n v="11489"/>
    <s v="1101-04"/>
    <n v="54990"/>
    <n v="0"/>
    <s v="Centralización recaudaciones marzo 2026 #3179 - #3179"/>
    <n v="54990"/>
    <s v="Activo"/>
    <n v="54990"/>
    <x v="2"/>
  </r>
  <r>
    <n v="2026"/>
    <n v="3"/>
    <s v="09-03-2026"/>
    <n v="11534"/>
    <s v="1101-04"/>
    <n v="29990"/>
    <n v="0"/>
    <s v="Centralización recaudaciones marzo 2026 #3224 - #3224"/>
    <n v="29990"/>
    <s v="Activo"/>
    <n v="29990"/>
    <x v="2"/>
  </r>
  <r>
    <n v="2026"/>
    <n v="3"/>
    <s v="09-03-2026"/>
    <n v="11553"/>
    <s v="1101-04"/>
    <n v="29990"/>
    <n v="0"/>
    <s v="Centralización recaudaciones marzo 2026 #3243 - #3243"/>
    <n v="29990"/>
    <s v="Activo"/>
    <n v="29990"/>
    <x v="2"/>
  </r>
  <r>
    <n v="2026"/>
    <n v="3"/>
    <s v="09-03-2026"/>
    <n v="11561"/>
    <s v="1101-04"/>
    <n v="1958"/>
    <n v="0"/>
    <s v="Centralización recaudaciones marzo 2026 #3251 - #3251"/>
    <n v="1958"/>
    <s v="Activo"/>
    <n v="1958"/>
    <x v="2"/>
  </r>
  <r>
    <n v="2026"/>
    <n v="3"/>
    <s v="09-03-2026"/>
    <n v="11573"/>
    <s v="1101-04"/>
    <n v="41"/>
    <n v="0"/>
    <s v="Centralización recaudaciones marzo 2026 #3263 - #3263"/>
    <n v="41"/>
    <s v="Activo"/>
    <n v="41"/>
    <x v="2"/>
  </r>
  <r>
    <n v="2026"/>
    <n v="3"/>
    <s v="09-03-2026"/>
    <n v="11585"/>
    <s v="1101-04"/>
    <n v="15079"/>
    <n v="0"/>
    <s v="Centralización recaudaciones marzo 2026 #3275 - #3275"/>
    <n v="15079"/>
    <s v="Activo"/>
    <n v="15079"/>
    <x v="2"/>
  </r>
  <r>
    <n v="2026"/>
    <n v="3"/>
    <s v="09-03-2026"/>
    <n v="11597"/>
    <s v="1101-04"/>
    <n v="50000"/>
    <n v="0"/>
    <s v="Centralización recaudaciones marzo 2026 #3287 - #3287"/>
    <n v="50000"/>
    <s v="Activo"/>
    <n v="50000"/>
    <x v="2"/>
  </r>
  <r>
    <n v="2026"/>
    <n v="3"/>
    <s v="09-03-2026"/>
    <n v="11603"/>
    <s v="1101-04"/>
    <n v="32980"/>
    <n v="0"/>
    <s v="Centralización recaudaciones marzo 2026 #3293 - #3293"/>
    <n v="32980"/>
    <s v="Activo"/>
    <n v="32980"/>
    <x v="2"/>
  </r>
  <r>
    <n v="2026"/>
    <n v="3"/>
    <s v="09-03-2026"/>
    <n v="11614"/>
    <s v="1101-04"/>
    <n v="803980"/>
    <n v="0"/>
    <s v="Centralización recaudaciones marzo 2026 #3304 - #3304"/>
    <n v="803980"/>
    <s v="Activo"/>
    <n v="803980"/>
    <x v="2"/>
  </r>
  <r>
    <n v="2026"/>
    <n v="3"/>
    <s v="09-03-2026"/>
    <n v="11645"/>
    <s v="1101-04"/>
    <n v="40000"/>
    <n v="0"/>
    <s v="Centralización recaudaciones marzo 2026 #3335 - #3335"/>
    <n v="40000"/>
    <s v="Activo"/>
    <n v="40000"/>
    <x v="2"/>
  </r>
  <r>
    <n v="2026"/>
    <n v="3"/>
    <s v="09-03-2026"/>
    <n v="11676"/>
    <s v="1101-04"/>
    <n v="111399"/>
    <n v="0"/>
    <s v="Centralización recaudaciones marzo 2026 #3365 - #3365"/>
    <n v="111399"/>
    <s v="Activo"/>
    <n v="111399"/>
    <x v="2"/>
  </r>
  <r>
    <n v="2026"/>
    <n v="3"/>
    <s v="09-03-2026"/>
    <n v="11711"/>
    <s v="1101-04"/>
    <n v="59980"/>
    <n v="0"/>
    <s v="Centralización recaudaciones marzo 2026 #3400 - #3400"/>
    <n v="59980"/>
    <s v="Activo"/>
    <n v="59980"/>
    <x v="2"/>
  </r>
  <r>
    <n v="2026"/>
    <n v="3"/>
    <s v="09-03-2026"/>
    <n v="11726"/>
    <s v="1101-04"/>
    <n v="21990"/>
    <n v="0"/>
    <s v="Centralización recaudaciones marzo 2026 #3415 - #3415"/>
    <n v="21990"/>
    <s v="Activo"/>
    <n v="21990"/>
    <x v="2"/>
  </r>
  <r>
    <n v="2026"/>
    <n v="3"/>
    <s v="09-03-2026"/>
    <n v="11735"/>
    <s v="1101-04"/>
    <n v="990"/>
    <n v="0"/>
    <s v="Centralización recaudaciones marzo 2026 #3424 - #3424"/>
    <n v="990"/>
    <s v="Activo"/>
    <n v="990"/>
    <x v="2"/>
  </r>
  <r>
    <n v="2026"/>
    <n v="3"/>
    <s v="09-03-2026"/>
    <n v="11766"/>
    <s v="1101-04"/>
    <n v="20"/>
    <n v="0"/>
    <s v="Centralización recaudaciones marzo 2026 #3455 - #3455"/>
    <n v="20"/>
    <s v="Activo"/>
    <n v="20"/>
    <x v="2"/>
  </r>
  <r>
    <n v="2026"/>
    <n v="3"/>
    <s v="10-03-2026"/>
    <n v="7469"/>
    <s v="1101-04"/>
    <n v="0"/>
    <n v="1211017"/>
    <s v="Pago patente las condes"/>
    <n v="-1211017"/>
    <s v="Activo"/>
    <n v="-1211017"/>
    <x v="2"/>
  </r>
  <r>
    <n v="2026"/>
    <n v="3"/>
    <s v="10-03-2026"/>
    <n v="11287"/>
    <s v="1101-04"/>
    <n v="51000"/>
    <n v="0"/>
    <s v="Centralización recaudaciones marzo 2026 #2977 - #2977"/>
    <n v="51000"/>
    <s v="Activo"/>
    <n v="51000"/>
    <x v="2"/>
  </r>
  <r>
    <n v="2026"/>
    <n v="3"/>
    <s v="10-03-2026"/>
    <n v="11300"/>
    <s v="1101-04"/>
    <n v="59980"/>
    <n v="0"/>
    <s v="Centralización recaudaciones marzo 2026 #2990 - #2990"/>
    <n v="59980"/>
    <s v="Activo"/>
    <n v="59980"/>
    <x v="2"/>
  </r>
  <r>
    <n v="2026"/>
    <n v="3"/>
    <s v="10-03-2026"/>
    <n v="11465"/>
    <s v="1101-04"/>
    <n v="29930"/>
    <n v="0"/>
    <s v="Centralización recaudaciones marzo 2026 #3155 - #3155"/>
    <n v="29930"/>
    <s v="Activo"/>
    <n v="29930"/>
    <x v="2"/>
  </r>
  <r>
    <n v="2026"/>
    <n v="3"/>
    <s v="10-03-2026"/>
    <n v="11616"/>
    <s v="1101-04"/>
    <n v="1554071"/>
    <n v="0"/>
    <s v="Centralización recaudaciones marzo 2026 #3306 - #3306"/>
    <n v="1554071"/>
    <s v="Activo"/>
    <n v="1554071"/>
    <x v="2"/>
  </r>
  <r>
    <n v="2026"/>
    <n v="3"/>
    <s v="10-03-2026"/>
    <n v="11648"/>
    <s v="1101-04"/>
    <n v="34000"/>
    <n v="0"/>
    <s v="Centralización recaudaciones marzo 2026 #3338 - #3338"/>
    <n v="34000"/>
    <s v="Activo"/>
    <n v="34000"/>
    <x v="2"/>
  </r>
  <r>
    <n v="2026"/>
    <n v="3"/>
    <s v="10-03-2026"/>
    <n v="11767"/>
    <s v="1101-04"/>
    <n v="20"/>
    <n v="0"/>
    <s v="Centralización recaudaciones marzo 2026 #3456 - #3456"/>
    <n v="20"/>
    <s v="Activo"/>
    <n v="20"/>
    <x v="2"/>
  </r>
  <r>
    <n v="2026"/>
    <n v="3"/>
    <s v="11-03-2026"/>
    <n v="7470"/>
    <s v="1101-04"/>
    <n v="0"/>
    <n v="4186575"/>
    <s v="Pago previred febrero"/>
    <n v="-4186575"/>
    <s v="Activo"/>
    <n v="-4186575"/>
    <x v="2"/>
  </r>
  <r>
    <n v="2026"/>
    <n v="3"/>
    <s v="11-03-2026"/>
    <n v="7470"/>
    <s v="1101-04"/>
    <n v="0"/>
    <n v="7610739"/>
    <s v="Pago previred febrero"/>
    <n v="-7610739"/>
    <s v="Activo"/>
    <n v="-7610739"/>
    <x v="2"/>
  </r>
  <r>
    <n v="2026"/>
    <n v="3"/>
    <s v="11-03-2026"/>
    <n v="7470"/>
    <s v="1101-04"/>
    <n v="0"/>
    <n v="5983233"/>
    <s v="Pago previred febrero"/>
    <n v="-5983233"/>
    <s v="Activo"/>
    <n v="-5983233"/>
    <x v="2"/>
  </r>
  <r>
    <n v="2026"/>
    <n v="3"/>
    <s v="11-03-2026"/>
    <n v="11231"/>
    <s v="1101-04"/>
    <n v="70000"/>
    <n v="0"/>
    <s v="Centralización recaudaciones marzo 2026 #2919 - #2919"/>
    <n v="70000"/>
    <s v="Activo"/>
    <n v="70000"/>
    <x v="2"/>
  </r>
  <r>
    <n v="2026"/>
    <n v="3"/>
    <s v="11-03-2026"/>
    <n v="11244"/>
    <s v="1101-04"/>
    <n v="32990"/>
    <n v="0"/>
    <s v="Centralización recaudaciones marzo 2026 #2934 - #2934"/>
    <n v="32990"/>
    <s v="Activo"/>
    <n v="32990"/>
    <x v="2"/>
  </r>
  <r>
    <n v="2026"/>
    <n v="3"/>
    <s v="11-03-2026"/>
    <n v="11288"/>
    <s v="1101-04"/>
    <n v="991"/>
    <n v="0"/>
    <s v="Centralización recaudaciones marzo 2026 #2978 - #2978"/>
    <n v="991"/>
    <s v="Activo"/>
    <n v="991"/>
    <x v="2"/>
  </r>
  <r>
    <n v="2026"/>
    <n v="3"/>
    <s v="11-03-2026"/>
    <n v="11310"/>
    <s v="1101-04"/>
    <n v="38990"/>
    <n v="0"/>
    <s v="Centralización recaudaciones marzo 2026 #3000 - #3000"/>
    <n v="38990"/>
    <s v="Activo"/>
    <n v="38990"/>
    <x v="2"/>
  </r>
  <r>
    <n v="2026"/>
    <n v="3"/>
    <s v="11-03-2026"/>
    <n v="11335"/>
    <s v="1101-04"/>
    <n v="59980"/>
    <n v="0"/>
    <s v="Centralización recaudaciones marzo 2026 #3025 - #3025"/>
    <n v="59980"/>
    <s v="Activo"/>
    <n v="59980"/>
    <x v="2"/>
  </r>
  <r>
    <n v="2026"/>
    <n v="3"/>
    <s v="11-03-2026"/>
    <n v="11350"/>
    <s v="1101-04"/>
    <n v="50000"/>
    <n v="0"/>
    <s v="Centralización recaudaciones marzo 2026 #3040 - #3040"/>
    <n v="50000"/>
    <s v="Activo"/>
    <n v="50000"/>
    <x v="2"/>
  </r>
  <r>
    <n v="2026"/>
    <n v="3"/>
    <s v="11-03-2026"/>
    <n v="11376"/>
    <s v="1101-04"/>
    <n v="27990"/>
    <n v="0"/>
    <s v="Centralización recaudaciones marzo 2026 #3066 - #3066"/>
    <n v="27990"/>
    <s v="Activo"/>
    <n v="27990"/>
    <x v="2"/>
  </r>
  <r>
    <n v="2026"/>
    <n v="3"/>
    <s v="11-03-2026"/>
    <n v="11392"/>
    <s v="1101-04"/>
    <n v="283758"/>
    <n v="0"/>
    <s v="Centralización recaudaciones marzo 2026 #3082 - #3082"/>
    <n v="283758"/>
    <s v="Activo"/>
    <n v="283758"/>
    <x v="2"/>
  </r>
  <r>
    <n v="2026"/>
    <n v="3"/>
    <s v="11-03-2026"/>
    <n v="11411"/>
    <s v="1101-04"/>
    <n v="28990"/>
    <n v="0"/>
    <s v="Centralización recaudaciones marzo 2026 #3101 - #3101"/>
    <n v="28990"/>
    <s v="Activo"/>
    <n v="28990"/>
    <x v="2"/>
  </r>
  <r>
    <n v="2026"/>
    <n v="3"/>
    <s v="11-03-2026"/>
    <n v="11458"/>
    <s v="1101-04"/>
    <n v="28000"/>
    <n v="0"/>
    <s v="Centralización recaudaciones marzo 2026 #3148 - #3148"/>
    <n v="28000"/>
    <s v="Activo"/>
    <n v="28000"/>
    <x v="2"/>
  </r>
  <r>
    <n v="2026"/>
    <n v="3"/>
    <s v="11-03-2026"/>
    <n v="11466"/>
    <s v="1101-04"/>
    <n v="50"/>
    <n v="0"/>
    <s v="Centralización recaudaciones marzo 2026 #3156 - #3156"/>
    <n v="50"/>
    <s v="Activo"/>
    <n v="50"/>
    <x v="2"/>
  </r>
  <r>
    <n v="2026"/>
    <n v="3"/>
    <s v="11-03-2026"/>
    <n v="11507"/>
    <s v="1101-04"/>
    <n v="28990"/>
    <n v="0"/>
    <s v="Centralización recaudaciones marzo 2026 #3197 - #3197"/>
    <n v="28990"/>
    <s v="Activo"/>
    <n v="28990"/>
    <x v="2"/>
  </r>
  <r>
    <n v="2026"/>
    <n v="3"/>
    <s v="11-03-2026"/>
    <n v="11526"/>
    <s v="1101-04"/>
    <n v="24990"/>
    <n v="0"/>
    <s v="Centralización recaudaciones marzo 2026 #3216 - #3216"/>
    <n v="24990"/>
    <s v="Activo"/>
    <n v="24990"/>
    <x v="2"/>
  </r>
  <r>
    <n v="2026"/>
    <n v="3"/>
    <s v="11-03-2026"/>
    <n v="11527"/>
    <s v="1101-04"/>
    <n v="40000"/>
    <n v="0"/>
    <s v="Centralización recaudaciones marzo 2026 #3217 - #3217"/>
    <n v="40000"/>
    <s v="Activo"/>
    <n v="40000"/>
    <x v="2"/>
  </r>
  <r>
    <n v="2026"/>
    <n v="3"/>
    <s v="11-03-2026"/>
    <n v="11537"/>
    <s v="1101-04"/>
    <n v="21534"/>
    <n v="0"/>
    <s v="Centralización recaudaciones marzo 2026 #3227 - #3227"/>
    <n v="21534"/>
    <s v="Activo"/>
    <n v="21534"/>
    <x v="2"/>
  </r>
  <r>
    <n v="2026"/>
    <n v="3"/>
    <s v="11-03-2026"/>
    <n v="11559"/>
    <s v="1101-04"/>
    <n v="35000"/>
    <n v="0"/>
    <s v="Centralización recaudaciones marzo 2026 #3249 - #3249"/>
    <n v="35000"/>
    <s v="Activo"/>
    <n v="35000"/>
    <x v="2"/>
  </r>
  <r>
    <n v="2026"/>
    <n v="3"/>
    <s v="11-03-2026"/>
    <n v="11562"/>
    <s v="1101-04"/>
    <n v="13282"/>
    <n v="0"/>
    <s v="Centralización recaudaciones marzo 2026 #3252 - #3252"/>
    <n v="13282"/>
    <s v="Activo"/>
    <n v="13282"/>
    <x v="2"/>
  </r>
  <r>
    <n v="2026"/>
    <n v="3"/>
    <s v="11-03-2026"/>
    <n v="11608"/>
    <s v="1101-04"/>
    <n v="28990"/>
    <n v="0"/>
    <s v="Centralización recaudaciones marzo 2026 #3298 - #3298"/>
    <n v="28990"/>
    <s v="Activo"/>
    <n v="28990"/>
    <x v="2"/>
  </r>
  <r>
    <n v="2026"/>
    <n v="3"/>
    <s v="11-03-2026"/>
    <n v="11629"/>
    <s v="1101-04"/>
    <n v="32990"/>
    <n v="0"/>
    <s v="Centralización recaudaciones marzo 2026 #3319 - #3319"/>
    <n v="32990"/>
    <s v="Activo"/>
    <n v="32990"/>
    <x v="2"/>
  </r>
  <r>
    <n v="2026"/>
    <n v="3"/>
    <s v="11-03-2026"/>
    <n v="11635"/>
    <s v="1101-04"/>
    <n v="29738"/>
    <n v="0"/>
    <s v="Centralización recaudaciones marzo 2026 #3325 - #3325"/>
    <n v="29738"/>
    <s v="Activo"/>
    <n v="29738"/>
    <x v="2"/>
  </r>
  <r>
    <n v="2026"/>
    <n v="3"/>
    <s v="11-03-2026"/>
    <n v="11649"/>
    <s v="1101-04"/>
    <n v="1000"/>
    <n v="0"/>
    <s v="Centralización recaudaciones marzo 2026 #3339 - #3339"/>
    <n v="1000"/>
    <s v="Activo"/>
    <n v="1000"/>
    <x v="2"/>
  </r>
  <r>
    <n v="2026"/>
    <n v="3"/>
    <s v="11-03-2026"/>
    <n v="11658"/>
    <s v="1101-04"/>
    <n v="21990"/>
    <n v="0"/>
    <s v="Centralización recaudaciones marzo 2026 #3348 - #3348"/>
    <n v="21990"/>
    <s v="Activo"/>
    <n v="21990"/>
    <x v="2"/>
  </r>
  <r>
    <n v="2026"/>
    <n v="3"/>
    <s v="11-03-2026"/>
    <n v="11702"/>
    <s v="1101-04"/>
    <n v="29738"/>
    <n v="0"/>
    <s v="Centralización recaudaciones marzo 2026 #3391 - #3391"/>
    <n v="29738"/>
    <s v="Activo"/>
    <n v="29738"/>
    <x v="2"/>
  </r>
  <r>
    <n v="2026"/>
    <n v="3"/>
    <s v="11-03-2026"/>
    <n v="11718"/>
    <s v="1101-04"/>
    <n v="20970"/>
    <n v="0"/>
    <s v="Centralización recaudaciones marzo 2026 #3407 - #3407"/>
    <n v="20970"/>
    <s v="Activo"/>
    <n v="20970"/>
    <x v="2"/>
  </r>
  <r>
    <n v="2026"/>
    <n v="3"/>
    <s v="11-03-2026"/>
    <n v="11722"/>
    <s v="1101-04"/>
    <n v="131"/>
    <n v="0"/>
    <s v="Centralización recaudaciones marzo 2026 #3411 - #3411"/>
    <n v="131"/>
    <s v="Activo"/>
    <n v="131"/>
    <x v="2"/>
  </r>
  <r>
    <n v="2026"/>
    <n v="3"/>
    <s v="11-03-2026"/>
    <n v="11752"/>
    <s v="1101-04"/>
    <n v="21990"/>
    <n v="0"/>
    <s v="Centralización recaudaciones marzo 2026 #3441 - #3441"/>
    <n v="21990"/>
    <s v="Activo"/>
    <n v="21990"/>
    <x v="2"/>
  </r>
  <r>
    <n v="2026"/>
    <n v="3"/>
    <s v="11-03-2026"/>
    <n v="11758"/>
    <s v="1101-04"/>
    <n v="40000"/>
    <n v="0"/>
    <s v="Centralización recaudaciones marzo 2026 #3447 - #3447"/>
    <n v="40000"/>
    <s v="Activo"/>
    <n v="40000"/>
    <x v="2"/>
  </r>
  <r>
    <n v="2026"/>
    <n v="3"/>
    <s v="11-03-2026"/>
    <n v="11768"/>
    <s v="1101-04"/>
    <n v="14990"/>
    <n v="0"/>
    <s v="Centralización recaudaciones marzo 2026 #3457 - #3457"/>
    <n v="14990"/>
    <s v="Activo"/>
    <n v="14990"/>
    <x v="2"/>
  </r>
  <r>
    <n v="2026"/>
    <n v="3"/>
    <s v="12-03-2026"/>
    <n v="11206"/>
    <s v="1101-04"/>
    <n v="30000"/>
    <n v="0"/>
    <s v="Centralización recaudaciones marzo 2026 #2894 - #2894"/>
    <n v="30000"/>
    <s v="Activo"/>
    <n v="30000"/>
    <x v="2"/>
  </r>
  <r>
    <n v="2026"/>
    <n v="3"/>
    <s v="12-03-2026"/>
    <n v="11211"/>
    <s v="1101-04"/>
    <n v="49990"/>
    <n v="0"/>
    <s v="Centralización recaudaciones marzo 2026 #2899 - #2899"/>
    <n v="49990"/>
    <s v="Activo"/>
    <n v="49990"/>
    <x v="2"/>
  </r>
  <r>
    <n v="2026"/>
    <n v="3"/>
    <s v="12-03-2026"/>
    <n v="11352"/>
    <s v="1101-04"/>
    <n v="31000"/>
    <n v="0"/>
    <s v="Centralización recaudaciones marzo 2026 #3042 - #3042"/>
    <n v="31000"/>
    <s v="Activo"/>
    <n v="31000"/>
    <x v="2"/>
  </r>
  <r>
    <n v="2026"/>
    <n v="3"/>
    <s v="12-03-2026"/>
    <n v="11361"/>
    <s v="1101-04"/>
    <n v="28990"/>
    <n v="0"/>
    <s v="Centralización recaudaciones marzo 2026 #3051 - #3051"/>
    <n v="28990"/>
    <s v="Activo"/>
    <n v="28990"/>
    <x v="2"/>
  </r>
  <r>
    <n v="2026"/>
    <n v="3"/>
    <s v="12-03-2026"/>
    <n v="11403"/>
    <s v="1101-04"/>
    <n v="30000"/>
    <n v="0"/>
    <s v="Centralización recaudaciones marzo 2026 #3093 - #3093"/>
    <n v="30000"/>
    <s v="Activo"/>
    <n v="30000"/>
    <x v="2"/>
  </r>
  <r>
    <n v="2026"/>
    <n v="3"/>
    <s v="12-03-2026"/>
    <n v="11437"/>
    <s v="1101-04"/>
    <n v="21990"/>
    <n v="0"/>
    <s v="Centralización recaudaciones marzo 2026 #3127 - #3127"/>
    <n v="21990"/>
    <s v="Activo"/>
    <n v="21990"/>
    <x v="2"/>
  </r>
  <r>
    <n v="2026"/>
    <n v="3"/>
    <s v="12-03-2026"/>
    <n v="11538"/>
    <s v="1101-04"/>
    <n v="332"/>
    <n v="0"/>
    <s v="Centralización recaudaciones marzo 2026 #3228 - #3228"/>
    <n v="332"/>
    <s v="Activo"/>
    <n v="332"/>
    <x v="2"/>
  </r>
  <r>
    <n v="2026"/>
    <n v="3"/>
    <s v="12-03-2026"/>
    <n v="11554"/>
    <s v="1101-04"/>
    <n v="14990"/>
    <n v="0"/>
    <s v="Centralización recaudaciones marzo 2026 #3244 - #3244"/>
    <n v="14990"/>
    <s v="Activo"/>
    <n v="14990"/>
    <x v="2"/>
  </r>
  <r>
    <n v="2026"/>
    <n v="3"/>
    <s v="12-03-2026"/>
    <n v="11563"/>
    <s v="1101-04"/>
    <n v="1010"/>
    <n v="0"/>
    <s v="Centralización recaudaciones marzo 2026 #3253 - #3253"/>
    <n v="1010"/>
    <s v="Activo"/>
    <n v="1010"/>
    <x v="2"/>
  </r>
  <r>
    <n v="2026"/>
    <n v="3"/>
    <s v="12-03-2026"/>
    <n v="11633"/>
    <s v="1101-04"/>
    <n v="46638"/>
    <n v="0"/>
    <s v="Centralización recaudaciones marzo 2026 #3323 - #3323"/>
    <n v="46638"/>
    <s v="Activo"/>
    <n v="46638"/>
    <x v="2"/>
  </r>
  <r>
    <n v="2026"/>
    <n v="3"/>
    <s v="12-03-2026"/>
    <n v="11650"/>
    <s v="1101-04"/>
    <n v="32990"/>
    <n v="0"/>
    <s v="Centralización recaudaciones marzo 2026 #3340 - #3340"/>
    <n v="32990"/>
    <s v="Activo"/>
    <n v="32990"/>
    <x v="2"/>
  </r>
  <r>
    <n v="2026"/>
    <n v="3"/>
    <s v="12-03-2026"/>
    <n v="11701"/>
    <s v="1101-04"/>
    <n v="28990"/>
    <n v="0"/>
    <s v="Centralización recaudaciones marzo 2026 #3390 - #3390"/>
    <n v="28990"/>
    <s v="Activo"/>
    <n v="28990"/>
    <x v="2"/>
  </r>
  <r>
    <n v="2026"/>
    <n v="3"/>
    <s v="12-03-2026"/>
    <n v="11706"/>
    <s v="1101-04"/>
    <n v="22000"/>
    <n v="0"/>
    <s v="Centralización recaudaciones marzo 2026 #3395 - #3395"/>
    <n v="22000"/>
    <s v="Activo"/>
    <n v="22000"/>
    <x v="2"/>
  </r>
  <r>
    <n v="2026"/>
    <n v="3"/>
    <s v="12-03-2026"/>
    <n v="11710"/>
    <s v="1101-04"/>
    <n v="28990"/>
    <n v="0"/>
    <s v="Centralización recaudaciones marzo 2026 #3399 - #3399"/>
    <n v="28990"/>
    <s v="Activo"/>
    <n v="28990"/>
    <x v="2"/>
  </r>
  <r>
    <n v="2026"/>
    <n v="3"/>
    <s v="12-03-2026"/>
    <n v="11723"/>
    <s v="1101-04"/>
    <n v="15000"/>
    <n v="0"/>
    <s v="Centralización recaudaciones marzo 2026 #3412 - #3412"/>
    <n v="15000"/>
    <s v="Activo"/>
    <n v="15000"/>
    <x v="2"/>
  </r>
  <r>
    <n v="2026"/>
    <n v="3"/>
    <s v="12-03-2026"/>
    <n v="11764"/>
    <s v="1101-04"/>
    <n v="29990"/>
    <n v="0"/>
    <s v="Centralización recaudaciones marzo 2026 #3453 - #3453"/>
    <n v="29990"/>
    <s v="Activo"/>
    <n v="29990"/>
    <x v="2"/>
  </r>
  <r>
    <n v="2026"/>
    <n v="3"/>
    <s v="13-03-2026"/>
    <n v="11396"/>
    <s v="1101-04"/>
    <n v="14990"/>
    <n v="0"/>
    <s v="Centralización recaudaciones marzo 2026 #3086 - #3086"/>
    <n v="14990"/>
    <s v="Activo"/>
    <n v="14990"/>
    <x v="2"/>
  </r>
  <r>
    <n v="2026"/>
    <n v="3"/>
    <s v="13-03-2026"/>
    <n v="11468"/>
    <s v="1101-04"/>
    <n v="30000"/>
    <n v="0"/>
    <s v="Centralización recaudaciones marzo 2026 #3158 - #3158"/>
    <n v="30000"/>
    <s v="Activo"/>
    <n v="30000"/>
    <x v="2"/>
  </r>
  <r>
    <n v="2026"/>
    <n v="3"/>
    <s v="16-03-2026"/>
    <n v="11269"/>
    <s v="1101-04"/>
    <n v="21990"/>
    <n v="0"/>
    <s v="Centralización recaudaciones marzo 2026 #2959 - #2959"/>
    <n v="21990"/>
    <s v="Activo"/>
    <n v="21990"/>
    <x v="2"/>
  </r>
  <r>
    <n v="2026"/>
    <n v="3"/>
    <s v="16-03-2026"/>
    <n v="11304"/>
    <s v="1101-04"/>
    <n v="163222"/>
    <n v="0"/>
    <s v="Centralización recaudaciones marzo 2026 #2994 - #2994"/>
    <n v="163222"/>
    <s v="Activo"/>
    <n v="163222"/>
    <x v="2"/>
  </r>
  <r>
    <n v="2026"/>
    <n v="3"/>
    <s v="16-03-2026"/>
    <n v="11397"/>
    <s v="1101-04"/>
    <n v="7000"/>
    <n v="0"/>
    <s v="Centralización recaudaciones marzo 2026 #3087 - #3087"/>
    <n v="7000"/>
    <s v="Activo"/>
    <n v="7000"/>
    <x v="2"/>
  </r>
  <r>
    <n v="2026"/>
    <n v="3"/>
    <s v="16-03-2026"/>
    <n v="11404"/>
    <s v="1101-04"/>
    <n v="990"/>
    <n v="0"/>
    <s v="Centralización recaudaciones marzo 2026 #3094 - #3094"/>
    <n v="990"/>
    <s v="Activo"/>
    <n v="990"/>
    <x v="2"/>
  </r>
  <r>
    <n v="2026"/>
    <n v="3"/>
    <s v="16-03-2026"/>
    <n v="11469"/>
    <s v="1101-04"/>
    <n v="1927"/>
    <n v="0"/>
    <s v="Centralización recaudaciones marzo 2026 #3159 - #3159"/>
    <n v="1927"/>
    <s v="Activo"/>
    <n v="1927"/>
    <x v="2"/>
  </r>
  <r>
    <n v="2026"/>
    <n v="3"/>
    <s v="16-03-2026"/>
    <n v="11491"/>
    <s v="1101-04"/>
    <n v="30000"/>
    <n v="0"/>
    <s v="Centralización recaudaciones marzo 2026 #3181 - #3181"/>
    <n v="30000"/>
    <s v="Activo"/>
    <n v="30000"/>
    <x v="2"/>
  </r>
  <r>
    <n v="2026"/>
    <n v="3"/>
    <s v="16-03-2026"/>
    <n v="11539"/>
    <s v="1101-04"/>
    <n v="124"/>
    <n v="0"/>
    <s v="Centralización recaudaciones marzo 2026 #3229 - #3229"/>
    <n v="124"/>
    <s v="Activo"/>
    <n v="124"/>
    <x v="2"/>
  </r>
  <r>
    <n v="2026"/>
    <n v="3"/>
    <s v="16-03-2026"/>
    <n v="11555"/>
    <s v="1101-04"/>
    <n v="7000"/>
    <n v="0"/>
    <s v="Centralización recaudaciones marzo 2026 #3245 - #3245"/>
    <n v="7000"/>
    <s v="Activo"/>
    <n v="7000"/>
    <x v="2"/>
  </r>
  <r>
    <n v="2026"/>
    <n v="3"/>
    <s v="16-03-2026"/>
    <n v="11564"/>
    <s v="1101-04"/>
    <n v="5740"/>
    <n v="0"/>
    <s v="Centralización recaudaciones marzo 2026 #3254 - #3254"/>
    <n v="5740"/>
    <s v="Activo"/>
    <n v="5740"/>
    <x v="2"/>
  </r>
  <r>
    <n v="2026"/>
    <n v="3"/>
    <s v="16-03-2026"/>
    <n v="11634"/>
    <s v="1101-04"/>
    <n v="27360"/>
    <n v="0"/>
    <s v="Centralización recaudaciones marzo 2026 #3324 - #3324"/>
    <n v="27360"/>
    <s v="Activo"/>
    <n v="27360"/>
    <x v="2"/>
  </r>
  <r>
    <n v="2026"/>
    <n v="3"/>
    <s v="16-03-2026"/>
    <n v="11719"/>
    <s v="1101-04"/>
    <n v="1020"/>
    <n v="0"/>
    <s v="Centralización recaudaciones marzo 2026 #3408 - #3408"/>
    <n v="1020"/>
    <s v="Activo"/>
    <n v="1020"/>
    <x v="2"/>
  </r>
  <r>
    <n v="2026"/>
    <n v="3"/>
    <s v="16-03-2026"/>
    <n v="11724"/>
    <s v="1101-04"/>
    <n v="6859"/>
    <n v="0"/>
    <s v="Centralización recaudaciones marzo 2026 #3413 - #3413"/>
    <n v="6859"/>
    <s v="Activo"/>
    <n v="6859"/>
    <x v="2"/>
  </r>
  <r>
    <n v="2026"/>
    <n v="3"/>
    <s v="16-03-2026"/>
    <n v="11765"/>
    <s v="1101-04"/>
    <n v="1980"/>
    <n v="0"/>
    <s v="Centralización recaudaciones marzo 2026 #3454 - #3454"/>
    <n v="1980"/>
    <s v="Activo"/>
    <n v="1980"/>
    <x v="2"/>
  </r>
  <r>
    <n v="2026"/>
    <n v="3"/>
    <s v="16-03-2026"/>
    <n v="11769"/>
    <s v="1101-04"/>
    <n v="6960"/>
    <n v="0"/>
    <s v="Centralización recaudaciones marzo 2026 #3458 - #3458"/>
    <n v="6960"/>
    <s v="Activo"/>
    <n v="6960"/>
    <x v="2"/>
  </r>
  <r>
    <n v="2026"/>
    <n v="3"/>
    <s v="17-03-2026"/>
    <n v="11178"/>
    <s v="1101-04"/>
    <n v="40000"/>
    <n v="0"/>
    <s v="Centralización recaudaciones marzo 2026 #2867 - #2867"/>
    <n v="40000"/>
    <s v="Activo"/>
    <n v="40000"/>
    <x v="2"/>
  </r>
  <r>
    <n v="2026"/>
    <n v="3"/>
    <s v="17-03-2026"/>
    <n v="11203"/>
    <s v="1101-04"/>
    <n v="25990"/>
    <n v="0"/>
    <s v="Centralización recaudaciones marzo 2026 #2891 - #2891"/>
    <n v="25990"/>
    <s v="Activo"/>
    <n v="25990"/>
    <x v="2"/>
  </r>
  <r>
    <n v="2026"/>
    <n v="3"/>
    <s v="17-03-2026"/>
    <n v="11204"/>
    <s v="1101-04"/>
    <n v="120000"/>
    <n v="0"/>
    <s v="Centralización recaudaciones marzo 2026 #2892 - #2892"/>
    <n v="120000"/>
    <s v="Activo"/>
    <n v="120000"/>
    <x v="2"/>
  </r>
  <r>
    <n v="2026"/>
    <n v="3"/>
    <s v="17-03-2026"/>
    <n v="11276"/>
    <s v="1101-04"/>
    <n v="200000"/>
    <n v="0"/>
    <s v="Centralización recaudaciones marzo 2026 #2966 - #2966"/>
    <n v="200000"/>
    <s v="Activo"/>
    <n v="200000"/>
    <x v="2"/>
  </r>
  <r>
    <n v="2026"/>
    <n v="3"/>
    <s v="17-03-2026"/>
    <n v="11297"/>
    <s v="1101-04"/>
    <n v="31990"/>
    <n v="0"/>
    <s v="Centralización recaudaciones marzo 2026 #2987 - #2987"/>
    <n v="31990"/>
    <s v="Activo"/>
    <n v="31990"/>
    <x v="2"/>
  </r>
  <r>
    <n v="2026"/>
    <n v="3"/>
    <s v="17-03-2026"/>
    <n v="11307"/>
    <s v="1101-04"/>
    <n v="21990"/>
    <n v="0"/>
    <s v="Centralización recaudaciones marzo 2026 #2997 - #2997"/>
    <n v="21990"/>
    <s v="Activo"/>
    <n v="21990"/>
    <x v="2"/>
  </r>
  <r>
    <n v="2026"/>
    <n v="3"/>
    <s v="17-03-2026"/>
    <n v="11308"/>
    <s v="1101-04"/>
    <n v="134351"/>
    <n v="0"/>
    <s v="Centralización recaudaciones marzo 2026 #2998 - #2998"/>
    <n v="134351"/>
    <s v="Activo"/>
    <n v="134351"/>
    <x v="2"/>
  </r>
  <r>
    <n v="2026"/>
    <n v="3"/>
    <s v="17-03-2026"/>
    <n v="11358"/>
    <s v="1101-04"/>
    <n v="21990"/>
    <n v="0"/>
    <s v="Centralización recaudaciones marzo 2026 #3048 - #3048"/>
    <n v="21990"/>
    <s v="Activo"/>
    <n v="21990"/>
    <x v="2"/>
  </r>
  <r>
    <n v="2026"/>
    <n v="3"/>
    <s v="17-03-2026"/>
    <n v="11394"/>
    <s v="1101-04"/>
    <n v="40000"/>
    <n v="0"/>
    <s v="Centralización recaudaciones marzo 2026 #3084 - #3084"/>
    <n v="40000"/>
    <s v="Activo"/>
    <n v="40000"/>
    <x v="2"/>
  </r>
  <r>
    <n v="2026"/>
    <n v="3"/>
    <s v="17-03-2026"/>
    <n v="11408"/>
    <s v="1101-04"/>
    <n v="21990"/>
    <n v="0"/>
    <s v="Centralización recaudaciones marzo 2026 #3098 - #3098"/>
    <n v="21990"/>
    <s v="Activo"/>
    <n v="21990"/>
    <x v="2"/>
  </r>
  <r>
    <n v="2026"/>
    <n v="3"/>
    <s v="17-03-2026"/>
    <n v="11410"/>
    <s v="1101-04"/>
    <n v="31990"/>
    <n v="0"/>
    <s v="Centralización recaudaciones marzo 2026 #3100 - #3100"/>
    <n v="31990"/>
    <s v="Activo"/>
    <n v="31990"/>
    <x v="2"/>
  </r>
  <r>
    <n v="2026"/>
    <n v="3"/>
    <s v="17-03-2026"/>
    <n v="11415"/>
    <s v="1101-04"/>
    <n v="1990"/>
    <n v="0"/>
    <s v="Centralización recaudaciones marzo 2026 #3105 - #3105"/>
    <n v="1990"/>
    <s v="Activo"/>
    <n v="1990"/>
    <x v="2"/>
  </r>
  <r>
    <n v="2026"/>
    <n v="3"/>
    <s v="17-03-2026"/>
    <n v="11417"/>
    <s v="1101-04"/>
    <n v="31990"/>
    <n v="0"/>
    <s v="Centralización recaudaciones marzo 2026 #3107 - #3107"/>
    <n v="31990"/>
    <s v="Activo"/>
    <n v="31990"/>
    <x v="2"/>
  </r>
  <r>
    <n v="2026"/>
    <n v="3"/>
    <s v="17-03-2026"/>
    <n v="11462"/>
    <s v="1101-04"/>
    <n v="31990"/>
    <n v="0"/>
    <s v="Centralización recaudaciones marzo 2026 #3152 - #3152"/>
    <n v="31990"/>
    <s v="Activo"/>
    <n v="31990"/>
    <x v="2"/>
  </r>
  <r>
    <n v="2026"/>
    <n v="3"/>
    <s v="17-03-2026"/>
    <n v="11470"/>
    <s v="1101-04"/>
    <n v="63"/>
    <n v="0"/>
    <s v="Centralización recaudaciones marzo 2026 #3160 - #3160"/>
    <n v="63"/>
    <s v="Activo"/>
    <n v="63"/>
    <x v="2"/>
  </r>
  <r>
    <n v="2026"/>
    <n v="3"/>
    <s v="17-03-2026"/>
    <n v="11492"/>
    <s v="1101-04"/>
    <n v="1990"/>
    <n v="0"/>
    <s v="Centralización recaudaciones marzo 2026 #3182 - #3182"/>
    <n v="1990"/>
    <s v="Activo"/>
    <n v="1990"/>
    <x v="2"/>
  </r>
  <r>
    <n v="2026"/>
    <n v="3"/>
    <s v="17-03-2026"/>
    <n v="11565"/>
    <s v="1101-04"/>
    <n v="3007"/>
    <n v="0"/>
    <s v="Centralización recaudaciones marzo 2026 #3255 - #3255"/>
    <n v="3007"/>
    <s v="Activo"/>
    <n v="3007"/>
    <x v="2"/>
  </r>
  <r>
    <n v="2026"/>
    <n v="3"/>
    <s v="17-03-2026"/>
    <n v="11682"/>
    <s v="1101-04"/>
    <n v="16989"/>
    <n v="0"/>
    <s v="Centralización recaudaciones marzo 2026 #3371 - #3371"/>
    <n v="16989"/>
    <s v="Activo"/>
    <n v="16989"/>
    <x v="2"/>
  </r>
  <r>
    <n v="2026"/>
    <n v="3"/>
    <s v="18-03-2026"/>
    <n v="11249"/>
    <s v="1101-04"/>
    <n v="30000"/>
    <n v="0"/>
    <s v="Centralización recaudaciones marzo 2026 #2939 - #2939"/>
    <n v="30000"/>
    <s v="Activo"/>
    <n v="30000"/>
    <x v="2"/>
  </r>
  <r>
    <n v="2026"/>
    <n v="3"/>
    <s v="18-03-2026"/>
    <n v="11301"/>
    <s v="1101-04"/>
    <n v="43990"/>
    <n v="0"/>
    <s v="Centralización recaudaciones marzo 2026 #2991 - #2991"/>
    <n v="43990"/>
    <s v="Activo"/>
    <n v="43990"/>
    <x v="2"/>
  </r>
  <r>
    <n v="2026"/>
    <n v="3"/>
    <s v="18-03-2026"/>
    <n v="11334"/>
    <s v="1101-04"/>
    <n v="40000"/>
    <n v="0"/>
    <s v="Centralización recaudaciones marzo 2026 #3024 - #3024"/>
    <n v="40000"/>
    <s v="Activo"/>
    <n v="40000"/>
    <x v="2"/>
  </r>
  <r>
    <n v="2026"/>
    <n v="3"/>
    <s v="18-03-2026"/>
    <n v="11416"/>
    <s v="1101-04"/>
    <n v="30000"/>
    <n v="0"/>
    <s v="Centralización recaudaciones marzo 2026 #3106 - #3106"/>
    <n v="30000"/>
    <s v="Activo"/>
    <n v="30000"/>
    <x v="2"/>
  </r>
  <r>
    <n v="2026"/>
    <n v="3"/>
    <s v="18-03-2026"/>
    <n v="11586"/>
    <s v="1101-04"/>
    <n v="21990"/>
    <n v="0"/>
    <s v="Centralización recaudaciones marzo 2026 #3276 - #3276"/>
    <n v="21990"/>
    <s v="Activo"/>
    <n v="21990"/>
    <x v="2"/>
  </r>
  <r>
    <n v="2026"/>
    <n v="3"/>
    <s v="18-03-2026"/>
    <n v="11664"/>
    <s v="1101-04"/>
    <n v="46990"/>
    <n v="0"/>
    <s v="Centralización recaudaciones marzo 2026 #3354 - #3354"/>
    <n v="46990"/>
    <s v="Activo"/>
    <n v="46990"/>
    <x v="2"/>
  </r>
  <r>
    <n v="2026"/>
    <n v="3"/>
    <s v="19-03-2026"/>
    <n v="11250"/>
    <s v="1101-04"/>
    <n v="2000"/>
    <n v="0"/>
    <s v="Centralización recaudaciones marzo 2026 #2940 - #2940"/>
    <n v="2000"/>
    <s v="Activo"/>
    <n v="2000"/>
    <x v="2"/>
  </r>
  <r>
    <n v="2026"/>
    <n v="3"/>
    <s v="19-03-2026"/>
    <n v="11313"/>
    <s v="1101-04"/>
    <n v="32000"/>
    <n v="0"/>
    <s v="Centralización recaudaciones marzo 2026 #3003 - #3003"/>
    <n v="32000"/>
    <s v="Activo"/>
    <n v="32000"/>
    <x v="2"/>
  </r>
  <r>
    <n v="2026"/>
    <n v="3"/>
    <s v="19-03-2026"/>
    <n v="11371"/>
    <s v="1101-04"/>
    <n v="143000"/>
    <n v="0"/>
    <s v="Centralización recaudaciones marzo 2026 #3061 - #3061"/>
    <n v="143000"/>
    <s v="Activo"/>
    <n v="143000"/>
    <x v="2"/>
  </r>
  <r>
    <n v="2026"/>
    <n v="3"/>
    <s v="19-03-2026"/>
    <n v="11429"/>
    <s v="1101-04"/>
    <n v="38990"/>
    <n v="0"/>
    <s v="Centralización recaudaciones marzo 2026 #3119 - #3119"/>
    <n v="38990"/>
    <s v="Activo"/>
    <n v="38990"/>
    <x v="2"/>
  </r>
  <r>
    <n v="2026"/>
    <n v="3"/>
    <s v="19-03-2026"/>
    <n v="11443"/>
    <s v="1101-04"/>
    <n v="60980"/>
    <n v="0"/>
    <s v="Centralización recaudaciones marzo 2026 #3133 - #3133"/>
    <n v="60980"/>
    <s v="Activo"/>
    <n v="60980"/>
    <x v="2"/>
  </r>
  <r>
    <n v="2026"/>
    <n v="3"/>
    <s v="19-03-2026"/>
    <n v="11481"/>
    <s v="1101-04"/>
    <n v="27"/>
    <n v="0"/>
    <s v="Centralización recaudaciones marzo 2026 #3171 - #3171"/>
    <n v="27"/>
    <s v="Activo"/>
    <n v="27"/>
    <x v="2"/>
  </r>
  <r>
    <n v="2026"/>
    <n v="3"/>
    <s v="19-03-2026"/>
    <n v="11487"/>
    <s v="1101-04"/>
    <n v="43980"/>
    <n v="0"/>
    <s v="Centralización recaudaciones marzo 2026 #3177 - #3177"/>
    <n v="43980"/>
    <s v="Activo"/>
    <n v="43980"/>
    <x v="2"/>
  </r>
  <r>
    <n v="2026"/>
    <n v="3"/>
    <s v="19-03-2026"/>
    <n v="11566"/>
    <s v="1101-04"/>
    <n v="19983"/>
    <n v="0"/>
    <s v="Centralización recaudaciones marzo 2026 #3256 - #3256"/>
    <n v="19983"/>
    <s v="Activo"/>
    <n v="19983"/>
    <x v="2"/>
  </r>
  <r>
    <n v="2026"/>
    <n v="3"/>
    <s v="19-03-2026"/>
    <n v="11587"/>
    <s v="1101-04"/>
    <n v="876233"/>
    <n v="0"/>
    <s v="Centralización recaudaciones marzo 2026 #3277 - #3277"/>
    <n v="876233"/>
    <s v="Activo"/>
    <n v="876233"/>
    <x v="2"/>
  </r>
  <r>
    <n v="2026"/>
    <n v="3"/>
    <s v="19-03-2026"/>
    <n v="11662"/>
    <s v="1101-04"/>
    <n v="23790"/>
    <n v="0"/>
    <s v="Centralización recaudaciones marzo 2026 #3352 - #3352"/>
    <n v="23790"/>
    <s v="Activo"/>
    <n v="23790"/>
    <x v="2"/>
  </r>
  <r>
    <n v="2026"/>
    <n v="3"/>
    <s v="19-03-2026"/>
    <n v="11674"/>
    <s v="1101-04"/>
    <n v="32980"/>
    <n v="0"/>
    <s v="Centralización recaudaciones marzo 2026 #3363 - #3363"/>
    <n v="32980"/>
    <s v="Activo"/>
    <n v="32980"/>
    <x v="2"/>
  </r>
  <r>
    <n v="2026"/>
    <n v="3"/>
    <s v="19-03-2026"/>
    <n v="11696"/>
    <s v="1101-04"/>
    <n v="26170"/>
    <n v="0"/>
    <s v="Centralización recaudaciones marzo 2026 #3385 - #3385"/>
    <n v="26170"/>
    <s v="Activo"/>
    <n v="26170"/>
    <x v="2"/>
  </r>
  <r>
    <n v="2026"/>
    <n v="3"/>
    <s v="19-03-2026"/>
    <n v="11714"/>
    <s v="1101-04"/>
    <n v="30000"/>
    <n v="0"/>
    <s v="Centralización recaudaciones marzo 2026 #3403 - #3403"/>
    <n v="30000"/>
    <s v="Activo"/>
    <n v="30000"/>
    <x v="2"/>
  </r>
  <r>
    <n v="2026"/>
    <n v="3"/>
    <s v="19-03-2026"/>
    <n v="11784"/>
    <s v="1101-04"/>
    <n v="24000"/>
    <n v="0"/>
    <s v="Centralización recaudaciones marzo 2026 #3473 - #3473"/>
    <n v="24000"/>
    <s v="Activo"/>
    <n v="24000"/>
    <x v="2"/>
  </r>
  <r>
    <n v="2026"/>
    <n v="3"/>
    <s v="20-03-2026"/>
    <n v="11252"/>
    <s v="1101-04"/>
    <n v="25990"/>
    <n v="0"/>
    <s v="Centralización recaudaciones marzo 2026 #2942 - #2942"/>
    <n v="25990"/>
    <s v="Activo"/>
    <n v="25990"/>
    <x v="2"/>
  </r>
  <r>
    <n v="2026"/>
    <n v="3"/>
    <s v="20-03-2026"/>
    <n v="11253"/>
    <s v="1101-04"/>
    <n v="43990"/>
    <n v="0"/>
    <s v="Centralización recaudaciones marzo 2026 #2943 - #2943"/>
    <n v="43990"/>
    <s v="Activo"/>
    <n v="43990"/>
    <x v="2"/>
  </r>
  <r>
    <n v="2026"/>
    <n v="3"/>
    <s v="20-03-2026"/>
    <n v="11349"/>
    <s v="1101-04"/>
    <n v="26000"/>
    <n v="0"/>
    <s v="Centralización recaudaciones marzo 2026 #3039 - #3039"/>
    <n v="26000"/>
    <s v="Activo"/>
    <n v="26000"/>
    <x v="2"/>
  </r>
  <r>
    <n v="2026"/>
    <n v="3"/>
    <s v="20-03-2026"/>
    <n v="11482"/>
    <s v="1101-04"/>
    <n v="16000"/>
    <n v="0"/>
    <s v="Centralización recaudaciones marzo 2026 #3172 - #3172"/>
    <n v="16000"/>
    <s v="Activo"/>
    <n v="16000"/>
    <x v="2"/>
  </r>
  <r>
    <n v="2026"/>
    <n v="3"/>
    <s v="20-03-2026"/>
    <n v="11531"/>
    <s v="1101-04"/>
    <n v="49990"/>
    <n v="0"/>
    <s v="Centralización recaudaciones marzo 2026 #3221 - #3221"/>
    <n v="49990"/>
    <s v="Activo"/>
    <n v="49990"/>
    <x v="2"/>
  </r>
  <r>
    <n v="2026"/>
    <n v="3"/>
    <s v="20-03-2026"/>
    <n v="11579"/>
    <s v="1101-04"/>
    <n v="474116"/>
    <n v="0"/>
    <s v="Centralización recaudaciones marzo 2026 #3269 - #3269"/>
    <n v="474116"/>
    <s v="Activo"/>
    <n v="474116"/>
    <x v="2"/>
  </r>
  <r>
    <n v="2026"/>
    <n v="3"/>
    <s v="20-03-2026"/>
    <n v="11583"/>
    <s v="1101-04"/>
    <n v="32990"/>
    <n v="0"/>
    <s v="Centralización recaudaciones marzo 2026 #3273 - #3273"/>
    <n v="32990"/>
    <s v="Activo"/>
    <n v="32990"/>
    <x v="2"/>
  </r>
  <r>
    <n v="2026"/>
    <n v="3"/>
    <s v="20-03-2026"/>
    <n v="11593"/>
    <s v="1101-04"/>
    <n v="69590"/>
    <n v="0"/>
    <s v="Centralización recaudaciones marzo 2026 #3283 - #3283"/>
    <n v="69590"/>
    <s v="Activo"/>
    <n v="69590"/>
    <x v="2"/>
  </r>
  <r>
    <n v="2026"/>
    <n v="3"/>
    <s v="20-03-2026"/>
    <n v="11641"/>
    <s v="1101-04"/>
    <n v="65438"/>
    <n v="0"/>
    <s v="Centralización recaudaciones marzo 2026 #3331 - #3331"/>
    <n v="65438"/>
    <s v="Activo"/>
    <n v="65438"/>
    <x v="2"/>
  </r>
  <r>
    <n v="2026"/>
    <n v="3"/>
    <s v="20-03-2026"/>
    <n v="11680"/>
    <s v="1101-04"/>
    <n v="119250"/>
    <n v="0"/>
    <s v="Centralización recaudaciones marzo 2026 #3369 - #3369"/>
    <n v="119250"/>
    <s v="Activo"/>
    <n v="119250"/>
    <x v="2"/>
  </r>
  <r>
    <n v="2026"/>
    <n v="3"/>
    <s v="20-03-2026"/>
    <n v="11715"/>
    <s v="1101-04"/>
    <n v="1010"/>
    <n v="0"/>
    <s v="Centralización recaudaciones marzo 2026 #3404 - #3404"/>
    <n v="1010"/>
    <s v="Activo"/>
    <n v="1010"/>
    <x v="2"/>
  </r>
  <r>
    <n v="2026"/>
    <n v="3"/>
    <s v="20-03-2026"/>
    <n v="11781"/>
    <s v="1101-04"/>
    <n v="33990"/>
    <n v="0"/>
    <s v="Centralización recaudaciones marzo 2026 #3470 - #3470"/>
    <n v="33990"/>
    <s v="Activo"/>
    <n v="33990"/>
    <x v="2"/>
  </r>
  <r>
    <n v="2026"/>
    <n v="3"/>
    <s v="20-03-2026"/>
    <n v="11794"/>
    <s v="1101-04"/>
    <n v="24730"/>
    <n v="0"/>
    <s v="Centralización recaudaciones marzo 2026 #3483 - #3483"/>
    <n v="24730"/>
    <s v="Activo"/>
    <n v="24730"/>
    <x v="2"/>
  </r>
  <r>
    <n v="2026"/>
    <n v="3"/>
    <s v="23-03-2026"/>
    <n v="7471"/>
    <s v="1101-04"/>
    <n v="0"/>
    <n v="87992"/>
    <s v="15392 khipu ri5owlyx"/>
    <n v="-87992"/>
    <s v="Activo"/>
    <n v="-87992"/>
    <x v="2"/>
  </r>
  <r>
    <n v="2026"/>
    <n v="3"/>
    <s v="23-03-2026"/>
    <n v="7471"/>
    <s v="1101-04"/>
    <n v="0"/>
    <n v="580185"/>
    <s v="15392 khipu ri5owlyx"/>
    <n v="-580185"/>
    <s v="Activo"/>
    <n v="-580185"/>
    <x v="2"/>
  </r>
  <r>
    <n v="2026"/>
    <n v="3"/>
    <s v="23-03-2026"/>
    <n v="7472"/>
    <s v="1101-04"/>
    <n v="0"/>
    <n v="39841"/>
    <s v="Garantia licitacion"/>
    <n v="-39841"/>
    <s v="Activo"/>
    <n v="-39841"/>
    <x v="2"/>
  </r>
  <r>
    <n v="2026"/>
    <n v="3"/>
    <s v="23-03-2026"/>
    <n v="7473"/>
    <s v="1101-04"/>
    <n v="0"/>
    <n v="17850"/>
    <s v="Transferencia a hostednode s"/>
    <n v="-17850"/>
    <s v="Activo"/>
    <n v="-17850"/>
    <x v="2"/>
  </r>
  <r>
    <n v="2026"/>
    <n v="3"/>
    <s v="23-03-2026"/>
    <n v="7474"/>
    <s v="1101-04"/>
    <n v="0"/>
    <n v="78051"/>
    <s v="Remesa transf extranjero web"/>
    <n v="-78051"/>
    <s v="Activo"/>
    <n v="-78051"/>
    <x v="2"/>
  </r>
  <r>
    <n v="2026"/>
    <n v="3"/>
    <s v="23-03-2026"/>
    <n v="11166"/>
    <s v="1101-04"/>
    <n v="260"/>
    <n v="0"/>
    <s v="Centralización recaudaciones marzo 2026 #3484 - #3484"/>
    <n v="260"/>
    <s v="Activo"/>
    <n v="260"/>
    <x v="2"/>
  </r>
  <r>
    <n v="2026"/>
    <n v="3"/>
    <s v="23-03-2026"/>
    <n v="11180"/>
    <s v="1101-04"/>
    <n v="59990"/>
    <n v="0"/>
    <s v="Centralización recaudaciones marzo 2026 #2869 - #2869"/>
    <n v="59990"/>
    <s v="Activo"/>
    <n v="59990"/>
    <x v="2"/>
  </r>
  <r>
    <n v="2026"/>
    <n v="3"/>
    <s v="23-03-2026"/>
    <n v="11185"/>
    <s v="1101-04"/>
    <n v="59920"/>
    <n v="0"/>
    <s v="Centralización recaudaciones marzo 2026 #2874 - #2874"/>
    <n v="59920"/>
    <s v="Activo"/>
    <n v="59920"/>
    <x v="2"/>
  </r>
  <r>
    <n v="2026"/>
    <n v="3"/>
    <s v="23-03-2026"/>
    <n v="11363"/>
    <s v="1101-04"/>
    <n v="5000"/>
    <n v="0"/>
    <s v="Centralización recaudaciones marzo 2026 #3053 - #3053"/>
    <n v="5000"/>
    <s v="Activo"/>
    <n v="5000"/>
    <x v="2"/>
  </r>
  <r>
    <n v="2026"/>
    <n v="3"/>
    <s v="23-03-2026"/>
    <n v="11422"/>
    <s v="1101-04"/>
    <n v="25990"/>
    <n v="0"/>
    <s v="Centralización recaudaciones marzo 2026 #3112 - #3112"/>
    <n v="25990"/>
    <s v="Activo"/>
    <n v="25990"/>
    <x v="2"/>
  </r>
  <r>
    <n v="2026"/>
    <n v="3"/>
    <s v="23-03-2026"/>
    <n v="11483"/>
    <s v="1101-04"/>
    <n v="8963"/>
    <n v="0"/>
    <s v="Centralización recaudaciones marzo 2026 #3173 - #3173"/>
    <n v="8963"/>
    <s v="Activo"/>
    <n v="8963"/>
    <x v="2"/>
  </r>
  <r>
    <n v="2026"/>
    <n v="3"/>
    <s v="23-03-2026"/>
    <n v="11502"/>
    <s v="1101-04"/>
    <n v="24990"/>
    <n v="0"/>
    <s v="Centralización recaudaciones marzo 2026 #3192 - #3192"/>
    <n v="24990"/>
    <s v="Activo"/>
    <n v="24990"/>
    <x v="2"/>
  </r>
  <r>
    <n v="2026"/>
    <n v="3"/>
    <s v="23-03-2026"/>
    <n v="11521"/>
    <s v="1101-04"/>
    <n v="142235"/>
    <n v="0"/>
    <s v="Centralización recaudaciones marzo 2026 #3211 - #3211"/>
    <n v="142235"/>
    <s v="Activo"/>
    <n v="142235"/>
    <x v="2"/>
  </r>
  <r>
    <n v="2026"/>
    <n v="3"/>
    <s v="23-03-2026"/>
    <n v="11529"/>
    <s v="1101-04"/>
    <n v="24990"/>
    <n v="0"/>
    <s v="Centralización recaudaciones marzo 2026 #3219 - #3219"/>
    <n v="24990"/>
    <s v="Activo"/>
    <n v="24990"/>
    <x v="2"/>
  </r>
  <r>
    <n v="2026"/>
    <n v="3"/>
    <s v="23-03-2026"/>
    <n v="11626"/>
    <s v="1101-04"/>
    <n v="5201"/>
    <n v="0"/>
    <s v="Centralización recaudaciones marzo 2026 #3316 - #3316"/>
    <n v="5201"/>
    <s v="Activo"/>
    <n v="5201"/>
    <x v="2"/>
  </r>
  <r>
    <n v="2026"/>
    <n v="3"/>
    <s v="23-03-2026"/>
    <n v="11631"/>
    <s v="1101-04"/>
    <n v="24990"/>
    <n v="0"/>
    <s v="Centralización recaudaciones marzo 2026 #3321 - #3321"/>
    <n v="24990"/>
    <s v="Activo"/>
    <n v="24990"/>
    <x v="2"/>
  </r>
  <r>
    <n v="2026"/>
    <n v="3"/>
    <s v="23-03-2026"/>
    <n v="11716"/>
    <s v="1101-04"/>
    <n v="1970"/>
    <n v="0"/>
    <s v="Centralización recaudaciones marzo 2026 #3405 - #3405"/>
    <n v="1970"/>
    <s v="Activo"/>
    <n v="1970"/>
    <x v="2"/>
  </r>
  <r>
    <n v="2026"/>
    <n v="3"/>
    <s v="23-03-2026"/>
    <n v="11717"/>
    <s v="1101-04"/>
    <n v="24990"/>
    <n v="0"/>
    <s v="Centralización recaudaciones marzo 2026 #3406 - #3406"/>
    <n v="24990"/>
    <s v="Activo"/>
    <n v="24990"/>
    <x v="2"/>
  </r>
  <r>
    <n v="2026"/>
    <n v="3"/>
    <s v="23-03-2026"/>
    <n v="11749"/>
    <s v="1101-04"/>
    <n v="24990"/>
    <n v="0"/>
    <s v="Centralización recaudaciones marzo 2026 #3438 - #3438"/>
    <n v="24990"/>
    <s v="Activo"/>
    <n v="24990"/>
    <x v="2"/>
  </r>
  <r>
    <n v="2026"/>
    <n v="3"/>
    <s v="23-03-2026"/>
    <n v="11750"/>
    <s v="1101-04"/>
    <n v="24990"/>
    <n v="0"/>
    <s v="Centralización recaudaciones marzo 2026 #3439 - #3439"/>
    <n v="24990"/>
    <s v="Activo"/>
    <n v="24990"/>
    <x v="2"/>
  </r>
  <r>
    <n v="2026"/>
    <n v="3"/>
    <s v="23-03-2026"/>
    <n v="11779"/>
    <s v="1101-04"/>
    <n v="24990"/>
    <n v="0"/>
    <s v="Centralización recaudaciones marzo 2026 #3468 - #3468"/>
    <n v="24990"/>
    <s v="Activo"/>
    <n v="24990"/>
    <x v="2"/>
  </r>
  <r>
    <n v="2026"/>
    <n v="3"/>
    <s v="23-03-2026"/>
    <n v="11782"/>
    <s v="1101-04"/>
    <n v="1710"/>
    <n v="0"/>
    <s v="Centralización recaudaciones marzo 2026 #3471 - #3471"/>
    <n v="1710"/>
    <s v="Activo"/>
    <n v="1710"/>
    <x v="2"/>
  </r>
  <r>
    <n v="2026"/>
    <n v="3"/>
    <s v="23-03-2026"/>
    <n v="10746"/>
    <s v="1101-04"/>
    <n v="0"/>
    <n v="1489475"/>
    <s v="Traspaso itau 5225 a santander usd"/>
    <n v="-1489475"/>
    <s v="Activo"/>
    <n v="-1489475"/>
    <x v="2"/>
  </r>
  <r>
    <n v="2026"/>
    <n v="3"/>
    <s v="24-03-2026"/>
    <n v="11171"/>
    <s v="1101-04"/>
    <n v="21990"/>
    <n v="0"/>
    <s v="Centralización recaudaciones marzo 2026 #2863 - #2863"/>
    <n v="21990"/>
    <s v="Activo"/>
    <n v="21990"/>
    <x v="2"/>
  </r>
  <r>
    <n v="2026"/>
    <n v="3"/>
    <s v="24-03-2026"/>
    <n v="11316"/>
    <s v="1101-04"/>
    <n v="86928"/>
    <n v="0"/>
    <s v="Centralización recaudaciones marzo 2026 #3006 - #3006"/>
    <n v="86928"/>
    <s v="Activo"/>
    <n v="86928"/>
    <x v="2"/>
  </r>
  <r>
    <n v="2026"/>
    <n v="3"/>
    <s v="24-03-2026"/>
    <n v="11340"/>
    <s v="1101-04"/>
    <n v="39990"/>
    <n v="0"/>
    <s v="Centralización recaudaciones marzo 2026 #3030 - #3030"/>
    <n v="39990"/>
    <s v="Activo"/>
    <n v="39990"/>
    <x v="2"/>
  </r>
  <r>
    <n v="2026"/>
    <n v="3"/>
    <s v="24-03-2026"/>
    <n v="11357"/>
    <s v="1101-04"/>
    <n v="271337"/>
    <n v="0"/>
    <s v="Centralización recaudaciones marzo 2026 #3047 - #3047"/>
    <n v="271337"/>
    <s v="Activo"/>
    <n v="271337"/>
    <x v="2"/>
  </r>
  <r>
    <n v="2026"/>
    <n v="3"/>
    <s v="24-03-2026"/>
    <n v="11384"/>
    <s v="1101-04"/>
    <n v="450410"/>
    <n v="0"/>
    <s v="Centralización recaudaciones marzo 2026 #3074 - #3074"/>
    <n v="450410"/>
    <s v="Activo"/>
    <n v="450410"/>
    <x v="2"/>
  </r>
  <r>
    <n v="2026"/>
    <n v="3"/>
    <s v="24-03-2026"/>
    <n v="11497"/>
    <s v="1101-04"/>
    <n v="124990"/>
    <n v="0"/>
    <s v="Centralización recaudaciones marzo 2026 #3187 - #3187"/>
    <n v="124990"/>
    <s v="Activo"/>
    <n v="124990"/>
    <x v="2"/>
  </r>
  <r>
    <n v="2026"/>
    <n v="3"/>
    <s v="24-03-2026"/>
    <n v="11505"/>
    <s v="1101-04"/>
    <n v="174821"/>
    <n v="0"/>
    <s v="Centralización recaudaciones marzo 2026 #3195 - #3195"/>
    <n v="174821"/>
    <s v="Activo"/>
    <n v="174821"/>
    <x v="2"/>
  </r>
  <r>
    <n v="2026"/>
    <n v="3"/>
    <s v="24-03-2026"/>
    <n v="11517"/>
    <s v="1101-04"/>
    <n v="22000"/>
    <n v="0"/>
    <s v="Centralización recaudaciones marzo 2026 #3207 - #3207"/>
    <n v="22000"/>
    <s v="Activo"/>
    <n v="22000"/>
    <x v="2"/>
  </r>
  <r>
    <n v="2026"/>
    <n v="3"/>
    <s v="24-03-2026"/>
    <n v="11557"/>
    <s v="1101-04"/>
    <n v="24990"/>
    <n v="0"/>
    <s v="Centralización recaudaciones marzo 2026 #3247 - #3247"/>
    <n v="24990"/>
    <s v="Activo"/>
    <n v="24990"/>
    <x v="2"/>
  </r>
  <r>
    <n v="2026"/>
    <n v="3"/>
    <s v="24-03-2026"/>
    <n v="11627"/>
    <s v="1101-04"/>
    <n v="11092"/>
    <n v="0"/>
    <s v="Centralización recaudaciones marzo 2026 #3317 - #3317"/>
    <n v="11092"/>
    <s v="Activo"/>
    <n v="11092"/>
    <x v="2"/>
  </r>
  <r>
    <n v="2026"/>
    <n v="3"/>
    <s v="24-03-2026"/>
    <n v="11693"/>
    <s v="1101-04"/>
    <n v="24990"/>
    <n v="0"/>
    <s v="Centralización recaudaciones marzo 2026 #3382 - #3382"/>
    <n v="24990"/>
    <s v="Activo"/>
    <n v="24990"/>
    <x v="2"/>
  </r>
  <r>
    <n v="2026"/>
    <n v="3"/>
    <s v="25-03-2026"/>
    <n v="7475"/>
    <s v="1101-04"/>
    <n v="0"/>
    <n v="3114382"/>
    <s v="Pago cuota 1-37 credito itau 60630876"/>
    <n v="-3114382"/>
    <s v="Activo"/>
    <n v="-3114382"/>
    <x v="2"/>
  </r>
  <r>
    <n v="2026"/>
    <n v="3"/>
    <s v="25-03-2026"/>
    <n v="11298"/>
    <s v="1101-04"/>
    <n v="41990"/>
    <n v="0"/>
    <s v="Centralización recaudaciones marzo 2026 #2988 - #2988"/>
    <n v="41990"/>
    <s v="Activo"/>
    <n v="41990"/>
    <x v="2"/>
  </r>
  <r>
    <n v="2026"/>
    <n v="3"/>
    <s v="25-03-2026"/>
    <n v="11332"/>
    <s v="1101-04"/>
    <n v="43980"/>
    <n v="0"/>
    <s v="Centralización recaudaciones marzo 2026 #3022 - #3022"/>
    <n v="43980"/>
    <s v="Activo"/>
    <n v="43980"/>
    <x v="2"/>
  </r>
  <r>
    <n v="2026"/>
    <n v="3"/>
    <s v="25-03-2026"/>
    <n v="11475"/>
    <s v="1101-04"/>
    <n v="48000"/>
    <n v="0"/>
    <s v="Centralización recaudaciones marzo 2026 #3165 - #3165"/>
    <n v="48000"/>
    <s v="Activo"/>
    <n v="48000"/>
    <x v="2"/>
  </r>
  <r>
    <n v="2026"/>
    <n v="3"/>
    <s v="25-03-2026"/>
    <n v="11518"/>
    <s v="1101-04"/>
    <n v="1300"/>
    <n v="0"/>
    <s v="Centralización recaudaciones marzo 2026 #3208 - #3208"/>
    <n v="1300"/>
    <s v="Activo"/>
    <n v="1300"/>
    <x v="2"/>
  </r>
  <r>
    <n v="2026"/>
    <n v="3"/>
    <s v="25-03-2026"/>
    <n v="11536"/>
    <s v="1101-04"/>
    <n v="24990"/>
    <n v="0"/>
    <s v="Centralización recaudaciones marzo 2026 #3226 - #3226"/>
    <n v="24990"/>
    <s v="Activo"/>
    <n v="24990"/>
    <x v="2"/>
  </r>
  <r>
    <n v="2026"/>
    <n v="3"/>
    <s v="25-03-2026"/>
    <n v="11545"/>
    <s v="1101-04"/>
    <n v="24990"/>
    <n v="0"/>
    <s v="Centralización recaudaciones marzo 2026 #3235 - #3235"/>
    <n v="24990"/>
    <s v="Activo"/>
    <n v="24990"/>
    <x v="2"/>
  </r>
  <r>
    <n v="2026"/>
    <n v="3"/>
    <s v="25-03-2026"/>
    <n v="11574"/>
    <s v="1101-04"/>
    <n v="133280"/>
    <n v="0"/>
    <s v="Centralización recaudaciones marzo 2026 #3264 - #3264"/>
    <n v="133280"/>
    <s v="Activo"/>
    <n v="133280"/>
    <x v="2"/>
  </r>
  <r>
    <n v="2026"/>
    <n v="3"/>
    <s v="25-03-2026"/>
    <n v="11606"/>
    <s v="1101-04"/>
    <n v="15080"/>
    <n v="0"/>
    <s v="Centralización recaudaciones marzo 2026 #3296 - #3296"/>
    <n v="15080"/>
    <s v="Activo"/>
    <n v="15080"/>
    <x v="2"/>
  </r>
  <r>
    <n v="2026"/>
    <n v="3"/>
    <s v="25-03-2026"/>
    <n v="11628"/>
    <s v="1101-04"/>
    <n v="8697"/>
    <n v="0"/>
    <s v="Centralización recaudaciones marzo 2026 #3318 - #3318"/>
    <n v="8697"/>
    <s v="Activo"/>
    <n v="8697"/>
    <x v="2"/>
  </r>
  <r>
    <n v="2026"/>
    <n v="3"/>
    <s v="25-03-2026"/>
    <n v="11642"/>
    <s v="1101-04"/>
    <n v="24990"/>
    <n v="0"/>
    <s v="Centralización recaudaciones marzo 2026 #3332 - #3332"/>
    <n v="24990"/>
    <s v="Activo"/>
    <n v="24990"/>
    <x v="2"/>
  </r>
  <r>
    <n v="2026"/>
    <n v="3"/>
    <s v="25-03-2026"/>
    <n v="11656"/>
    <s v="1101-04"/>
    <n v="24283"/>
    <n v="0"/>
    <s v="Centralización recaudaciones marzo 2026 #3346 - #3346"/>
    <n v="24283"/>
    <s v="Activo"/>
    <n v="24283"/>
    <x v="2"/>
  </r>
  <r>
    <n v="2026"/>
    <n v="3"/>
    <s v="25-03-2026"/>
    <n v="11773"/>
    <s v="1101-04"/>
    <n v="50990"/>
    <n v="0"/>
    <s v="Centralización recaudaciones marzo 2026 #3462 - #3462"/>
    <n v="50990"/>
    <s v="Activo"/>
    <n v="50990"/>
    <x v="2"/>
  </r>
  <r>
    <n v="2026"/>
    <n v="3"/>
    <s v="25-03-2026"/>
    <n v="11785"/>
    <s v="1101-04"/>
    <n v="1710"/>
    <n v="0"/>
    <s v="Centralización recaudaciones marzo 2026 #3474 - #3474"/>
    <n v="1710"/>
    <s v="Activo"/>
    <n v="1710"/>
    <x v="2"/>
  </r>
  <r>
    <n v="2026"/>
    <n v="3"/>
    <s v="26-03-2026"/>
    <n v="11186"/>
    <s v="1101-04"/>
    <n v="39990"/>
    <n v="0"/>
    <s v="Centralización recaudaciones marzo 2026 #2875 - #2875"/>
    <n v="39990"/>
    <s v="Activo"/>
    <n v="39990"/>
    <x v="2"/>
  </r>
  <r>
    <n v="2026"/>
    <n v="3"/>
    <s v="26-03-2026"/>
    <n v="11221"/>
    <s v="1101-04"/>
    <n v="90980"/>
    <n v="0"/>
    <s v="Centralización recaudaciones marzo 2026 #2909 - #2909"/>
    <n v="90980"/>
    <s v="Activo"/>
    <n v="90980"/>
    <x v="2"/>
  </r>
  <r>
    <n v="2026"/>
    <n v="3"/>
    <s v="26-03-2026"/>
    <n v="11299"/>
    <s v="1101-04"/>
    <n v="10"/>
    <n v="0"/>
    <s v="Centralización recaudaciones marzo 2026 #2989 - #2989"/>
    <n v="10"/>
    <s v="Activo"/>
    <n v="10"/>
    <x v="2"/>
  </r>
  <r>
    <n v="2026"/>
    <n v="3"/>
    <s v="26-03-2026"/>
    <n v="11318"/>
    <s v="1101-04"/>
    <n v="33990"/>
    <n v="0"/>
    <s v="Centralización recaudaciones marzo 2026 #3008 - #3008"/>
    <n v="33990"/>
    <s v="Activo"/>
    <n v="33990"/>
    <x v="2"/>
  </r>
  <r>
    <n v="2026"/>
    <n v="3"/>
    <s v="26-03-2026"/>
    <n v="11325"/>
    <s v="1101-04"/>
    <n v="130400"/>
    <n v="0"/>
    <s v="Centralización recaudaciones marzo 2026 #3015 - #3015"/>
    <n v="130400"/>
    <s v="Activo"/>
    <n v="130400"/>
    <x v="2"/>
  </r>
  <r>
    <n v="2026"/>
    <n v="3"/>
    <s v="26-03-2026"/>
    <n v="11405"/>
    <s v="1101-04"/>
    <n v="35970"/>
    <n v="0"/>
    <s v="Centralización recaudaciones marzo 2026 #3095 - #3095"/>
    <n v="35970"/>
    <s v="Activo"/>
    <n v="35970"/>
    <x v="2"/>
  </r>
  <r>
    <n v="2026"/>
    <n v="3"/>
    <s v="26-03-2026"/>
    <n v="11431"/>
    <s v="1101-04"/>
    <n v="24990"/>
    <n v="0"/>
    <s v="Centralización recaudaciones marzo 2026 #3121 - #3121"/>
    <n v="24990"/>
    <s v="Activo"/>
    <n v="24990"/>
    <x v="2"/>
  </r>
  <r>
    <n v="2026"/>
    <n v="3"/>
    <s v="26-03-2026"/>
    <n v="11433"/>
    <s v="1101-04"/>
    <n v="35980"/>
    <n v="0"/>
    <s v="Centralización recaudaciones marzo 2026 #3123 - #3123"/>
    <n v="35980"/>
    <s v="Activo"/>
    <n v="35980"/>
    <x v="2"/>
  </r>
  <r>
    <n v="2026"/>
    <n v="3"/>
    <s v="26-03-2026"/>
    <n v="11440"/>
    <s v="1101-04"/>
    <n v="169940"/>
    <n v="0"/>
    <s v="Centralización recaudaciones marzo 2026 #3130 - #3130"/>
    <n v="169940"/>
    <s v="Activo"/>
    <n v="169940"/>
    <x v="2"/>
  </r>
  <r>
    <n v="2026"/>
    <n v="3"/>
    <s v="26-03-2026"/>
    <n v="11456"/>
    <s v="1101-04"/>
    <n v="32990"/>
    <n v="0"/>
    <s v="Centralización recaudaciones marzo 2026 #3146 - #3146"/>
    <n v="32990"/>
    <s v="Activo"/>
    <n v="32990"/>
    <x v="2"/>
  </r>
  <r>
    <n v="2026"/>
    <n v="3"/>
    <s v="26-03-2026"/>
    <n v="11467"/>
    <s v="1101-04"/>
    <n v="24990"/>
    <n v="0"/>
    <s v="Centralización recaudaciones marzo 2026 #3157 - #3157"/>
    <n v="24990"/>
    <s v="Activo"/>
    <n v="24990"/>
    <x v="2"/>
  </r>
  <r>
    <n v="2026"/>
    <n v="3"/>
    <s v="26-03-2026"/>
    <n v="11474"/>
    <s v="1101-04"/>
    <n v="35981"/>
    <n v="0"/>
    <s v="Centralización recaudaciones marzo 2026 #3164 - #3164"/>
    <n v="35981"/>
    <s v="Activo"/>
    <n v="35981"/>
    <x v="2"/>
  </r>
  <r>
    <n v="2026"/>
    <n v="3"/>
    <s v="26-03-2026"/>
    <n v="11476"/>
    <s v="1101-04"/>
    <n v="24990"/>
    <n v="0"/>
    <s v="Centralización recaudaciones marzo 2026 #3166 - #3166"/>
    <n v="24990"/>
    <s v="Activo"/>
    <n v="24990"/>
    <x v="2"/>
  </r>
  <r>
    <n v="2026"/>
    <n v="3"/>
    <s v="26-03-2026"/>
    <n v="11495"/>
    <s v="1101-04"/>
    <n v="37990"/>
    <n v="0"/>
    <s v="Centralización recaudaciones marzo 2026 #3185 - #3185"/>
    <n v="37990"/>
    <s v="Activo"/>
    <n v="37990"/>
    <x v="2"/>
  </r>
  <r>
    <n v="2026"/>
    <n v="3"/>
    <s v="26-03-2026"/>
    <n v="11500"/>
    <s v="1101-04"/>
    <n v="40960"/>
    <n v="0"/>
    <s v="Centralización recaudaciones marzo 2026 #3190 - #3190"/>
    <n v="40960"/>
    <s v="Activo"/>
    <n v="40960"/>
    <x v="2"/>
  </r>
  <r>
    <n v="2026"/>
    <n v="3"/>
    <s v="26-03-2026"/>
    <n v="11516"/>
    <s v="1101-04"/>
    <n v="36990"/>
    <n v="0"/>
    <s v="Centralización recaudaciones marzo 2026 #3206 - #3206"/>
    <n v="36990"/>
    <s v="Activo"/>
    <n v="36990"/>
    <x v="2"/>
  </r>
  <r>
    <n v="2026"/>
    <n v="3"/>
    <s v="26-03-2026"/>
    <n v="11519"/>
    <s v="1101-04"/>
    <n v="1690"/>
    <n v="0"/>
    <s v="Centralización recaudaciones marzo 2026 #3209 - #3209"/>
    <n v="1690"/>
    <s v="Activo"/>
    <n v="1690"/>
    <x v="2"/>
  </r>
  <r>
    <n v="2026"/>
    <n v="3"/>
    <s v="26-03-2026"/>
    <n v="11540"/>
    <s v="1101-04"/>
    <n v="14990"/>
    <n v="0"/>
    <s v="Centralización recaudaciones marzo 2026 #3230 - #3230"/>
    <n v="14990"/>
    <s v="Activo"/>
    <n v="14990"/>
    <x v="2"/>
  </r>
  <r>
    <n v="2026"/>
    <n v="3"/>
    <s v="26-03-2026"/>
    <n v="11544"/>
    <s v="1101-04"/>
    <n v="43999"/>
    <n v="0"/>
    <s v="Centralización recaudaciones marzo 2026 #3234 - #3234"/>
    <n v="43999"/>
    <s v="Activo"/>
    <n v="43999"/>
    <x v="2"/>
  </r>
  <r>
    <n v="2026"/>
    <n v="3"/>
    <s v="26-03-2026"/>
    <n v="11546"/>
    <s v="1101-04"/>
    <n v="21990"/>
    <n v="0"/>
    <s v="Centralización recaudaciones marzo 2026 #3236 - #3236"/>
    <n v="21990"/>
    <s v="Activo"/>
    <n v="21990"/>
    <x v="2"/>
  </r>
  <r>
    <n v="2026"/>
    <n v="3"/>
    <s v="26-03-2026"/>
    <n v="11571"/>
    <s v="1101-04"/>
    <n v="39990"/>
    <n v="0"/>
    <s v="Centralización recaudaciones marzo 2026 #3261 - #3261"/>
    <n v="39990"/>
    <s v="Activo"/>
    <n v="39990"/>
    <x v="2"/>
  </r>
  <r>
    <n v="2026"/>
    <n v="3"/>
    <s v="26-03-2026"/>
    <n v="11582"/>
    <s v="1101-04"/>
    <n v="24990"/>
    <n v="0"/>
    <s v="Centralización recaudaciones marzo 2026 #3272 - #3272"/>
    <n v="24990"/>
    <s v="Activo"/>
    <n v="24990"/>
    <x v="2"/>
  </r>
  <r>
    <n v="2026"/>
    <n v="3"/>
    <s v="26-03-2026"/>
    <n v="11589"/>
    <s v="1101-04"/>
    <n v="44000"/>
    <n v="0"/>
    <s v="Centralización recaudaciones marzo 2026 #3279 - #3279"/>
    <n v="44000"/>
    <s v="Activo"/>
    <n v="44000"/>
    <x v="2"/>
  </r>
  <r>
    <n v="2026"/>
    <n v="3"/>
    <s v="26-03-2026"/>
    <n v="11602"/>
    <s v="1101-04"/>
    <n v="39990"/>
    <n v="0"/>
    <s v="Centralización recaudaciones marzo 2026 #3292 - #3292"/>
    <n v="39990"/>
    <s v="Activo"/>
    <n v="39990"/>
    <x v="2"/>
  </r>
  <r>
    <n v="2026"/>
    <n v="3"/>
    <s v="26-03-2026"/>
    <n v="11604"/>
    <s v="1101-04"/>
    <n v="24990"/>
    <n v="0"/>
    <s v="Centralización recaudaciones marzo 2026 #3294 - #3294"/>
    <n v="24990"/>
    <s v="Activo"/>
    <n v="24990"/>
    <x v="2"/>
  </r>
  <r>
    <n v="2026"/>
    <n v="3"/>
    <s v="26-03-2026"/>
    <n v="11607"/>
    <s v="1101-04"/>
    <n v="9910"/>
    <n v="0"/>
    <s v="Centralización recaudaciones marzo 2026 #3297 - #3297"/>
    <n v="9910"/>
    <s v="Activo"/>
    <n v="9910"/>
    <x v="2"/>
  </r>
  <r>
    <n v="2026"/>
    <n v="3"/>
    <s v="26-03-2026"/>
    <n v="11623"/>
    <s v="1101-04"/>
    <n v="24990"/>
    <n v="0"/>
    <s v="Centralización recaudaciones marzo 2026 #3313 - #3313"/>
    <n v="24990"/>
    <s v="Activo"/>
    <n v="24990"/>
    <x v="2"/>
  </r>
  <r>
    <n v="2026"/>
    <n v="3"/>
    <s v="26-03-2026"/>
    <n v="11625"/>
    <s v="1101-04"/>
    <n v="54990"/>
    <n v="0"/>
    <s v="Centralización recaudaciones marzo 2026 #3315 - #3315"/>
    <n v="54990"/>
    <s v="Activo"/>
    <n v="54990"/>
    <x v="2"/>
  </r>
  <r>
    <n v="2026"/>
    <n v="3"/>
    <s v="26-03-2026"/>
    <n v="11630"/>
    <s v="1101-04"/>
    <n v="59488"/>
    <n v="0"/>
    <s v="Centralización recaudaciones marzo 2026 #3320 - #3320"/>
    <n v="59488"/>
    <s v="Activo"/>
    <n v="59488"/>
    <x v="2"/>
  </r>
  <r>
    <n v="2026"/>
    <n v="3"/>
    <s v="26-03-2026"/>
    <n v="11640"/>
    <s v="1101-04"/>
    <n v="39990"/>
    <n v="0"/>
    <s v="Centralización recaudaciones marzo 2026 #3330 - #3330"/>
    <n v="39990"/>
    <s v="Activo"/>
    <n v="39990"/>
    <x v="2"/>
  </r>
  <r>
    <n v="2026"/>
    <n v="3"/>
    <s v="26-03-2026"/>
    <n v="11653"/>
    <s v="1101-04"/>
    <n v="24991"/>
    <n v="0"/>
    <s v="Centralización recaudaciones marzo 2026 #3343 - #3343"/>
    <n v="24991"/>
    <s v="Activo"/>
    <n v="24991"/>
    <x v="2"/>
  </r>
  <r>
    <n v="2026"/>
    <n v="3"/>
    <s v="26-03-2026"/>
    <n v="11657"/>
    <s v="1101-04"/>
    <n v="707"/>
    <n v="0"/>
    <s v="Centralización recaudaciones marzo 2026 #3347 - #3347"/>
    <n v="707"/>
    <s v="Activo"/>
    <n v="707"/>
    <x v="2"/>
  </r>
  <r>
    <n v="2026"/>
    <n v="3"/>
    <s v="26-03-2026"/>
    <n v="11659"/>
    <s v="1101-04"/>
    <n v="94000"/>
    <n v="0"/>
    <s v="Centralización recaudaciones marzo 2026 #3349 - #3349"/>
    <n v="94000"/>
    <s v="Activo"/>
    <n v="94000"/>
    <x v="2"/>
  </r>
  <r>
    <n v="2026"/>
    <n v="3"/>
    <s v="26-03-2026"/>
    <n v="11669"/>
    <s v="1101-04"/>
    <n v="24519"/>
    <n v="0"/>
    <s v="Centralización recaudaciones marzo 2026 #3359 - #3359"/>
    <n v="24519"/>
    <s v="Activo"/>
    <n v="24519"/>
    <x v="2"/>
  </r>
  <r>
    <n v="2026"/>
    <n v="3"/>
    <s v="26-03-2026"/>
    <n v="11672"/>
    <s v="1101-04"/>
    <n v="24990"/>
    <n v="0"/>
    <s v="Centralización recaudaciones marzo 2026 #3362 - #3362"/>
    <n v="24990"/>
    <s v="Activo"/>
    <n v="24990"/>
    <x v="2"/>
  </r>
  <r>
    <n v="2026"/>
    <n v="3"/>
    <s v="26-03-2026"/>
    <n v="11684"/>
    <s v="1101-04"/>
    <n v="24990"/>
    <n v="0"/>
    <s v="Centralización recaudaciones marzo 2026 #3373 - #3373"/>
    <n v="24990"/>
    <s v="Activo"/>
    <n v="24990"/>
    <x v="2"/>
  </r>
  <r>
    <n v="2026"/>
    <n v="3"/>
    <s v="26-03-2026"/>
    <n v="11686"/>
    <s v="1101-04"/>
    <n v="33990"/>
    <n v="0"/>
    <s v="Centralización recaudaciones marzo 2026 #3375 - #3375"/>
    <n v="33990"/>
    <s v="Activo"/>
    <n v="33990"/>
    <x v="2"/>
  </r>
  <r>
    <n v="2026"/>
    <n v="3"/>
    <s v="26-03-2026"/>
    <n v="11703"/>
    <s v="1101-04"/>
    <n v="24990"/>
    <n v="0"/>
    <s v="Centralización recaudaciones marzo 2026 #3392 - #3392"/>
    <n v="24990"/>
    <s v="Activo"/>
    <n v="24990"/>
    <x v="2"/>
  </r>
  <r>
    <n v="2026"/>
    <n v="3"/>
    <s v="26-03-2026"/>
    <n v="11732"/>
    <s v="1101-04"/>
    <n v="24990"/>
    <n v="0"/>
    <s v="Centralización recaudaciones marzo 2026 #3421 - #3421"/>
    <n v="24990"/>
    <s v="Activo"/>
    <n v="24990"/>
    <x v="2"/>
  </r>
  <r>
    <n v="2026"/>
    <n v="3"/>
    <s v="26-03-2026"/>
    <n v="11733"/>
    <s v="1101-04"/>
    <n v="24990"/>
    <n v="0"/>
    <s v="Centralización recaudaciones marzo 2026 #3422 - #3422"/>
    <n v="24990"/>
    <s v="Activo"/>
    <n v="24990"/>
    <x v="2"/>
  </r>
  <r>
    <n v="2026"/>
    <n v="3"/>
    <s v="26-03-2026"/>
    <n v="11753"/>
    <s v="1101-04"/>
    <n v="35297"/>
    <n v="0"/>
    <s v="Centralización recaudaciones marzo 2026 #3442 - #3442"/>
    <n v="35297"/>
    <s v="Activo"/>
    <n v="35297"/>
    <x v="2"/>
  </r>
  <r>
    <n v="2026"/>
    <n v="3"/>
    <s v="26-03-2026"/>
    <n v="11759"/>
    <s v="1101-04"/>
    <n v="21990"/>
    <n v="0"/>
    <s v="Centralización recaudaciones marzo 2026 #3448 - #3448"/>
    <n v="21990"/>
    <s v="Activo"/>
    <n v="21990"/>
    <x v="2"/>
  </r>
  <r>
    <n v="2026"/>
    <n v="3"/>
    <s v="26-03-2026"/>
    <n v="11775"/>
    <s v="1101-04"/>
    <n v="44000"/>
    <n v="0"/>
    <s v="Centralización recaudaciones marzo 2026 #3464 - #3464"/>
    <n v="44000"/>
    <s v="Activo"/>
    <n v="44000"/>
    <x v="2"/>
  </r>
  <r>
    <n v="2026"/>
    <n v="3"/>
    <s v="26-03-2026"/>
    <n v="11786"/>
    <s v="1101-04"/>
    <n v="33990"/>
    <n v="0"/>
    <s v="Centralización recaudaciones marzo 2026 #3475 - #3475"/>
    <n v="33990"/>
    <s v="Activo"/>
    <n v="33990"/>
    <x v="2"/>
  </r>
  <r>
    <n v="2026"/>
    <n v="3"/>
    <s v="27-03-2026"/>
    <n v="11181"/>
    <s v="1101-04"/>
    <n v="57990"/>
    <n v="0"/>
    <s v="Centralización recaudaciones marzo 2026 #2870 - #2870"/>
    <n v="57990"/>
    <s v="Activo"/>
    <n v="57990"/>
    <x v="2"/>
  </r>
  <r>
    <n v="2026"/>
    <n v="3"/>
    <s v="27-03-2026"/>
    <n v="11184"/>
    <s v="1101-04"/>
    <n v="153747"/>
    <n v="0"/>
    <s v="Centralización recaudaciones marzo 2026 #2873 - #2873"/>
    <n v="153747"/>
    <s v="Activo"/>
    <n v="153747"/>
    <x v="2"/>
  </r>
  <r>
    <n v="2026"/>
    <n v="3"/>
    <s v="27-03-2026"/>
    <n v="11195"/>
    <s v="1101-04"/>
    <n v="59990"/>
    <n v="0"/>
    <s v="Centralización recaudaciones marzo 2026 #2883 - #2883"/>
    <n v="59990"/>
    <s v="Activo"/>
    <n v="59990"/>
    <x v="2"/>
  </r>
  <r>
    <n v="2026"/>
    <n v="3"/>
    <s v="27-03-2026"/>
    <n v="11237"/>
    <s v="1101-04"/>
    <n v="50000"/>
    <n v="0"/>
    <s v="Centralización recaudaciones marzo 2026 #2926 - #2926"/>
    <n v="50000"/>
    <s v="Activo"/>
    <n v="50000"/>
    <x v="2"/>
  </r>
  <r>
    <n v="2026"/>
    <n v="3"/>
    <s v="27-03-2026"/>
    <n v="11305"/>
    <s v="1101-04"/>
    <n v="192509"/>
    <n v="0"/>
    <s v="Centralización recaudaciones marzo 2026 #2995 - #2995"/>
    <n v="192509"/>
    <s v="Activo"/>
    <n v="192509"/>
    <x v="2"/>
  </r>
  <r>
    <n v="2026"/>
    <n v="3"/>
    <s v="27-03-2026"/>
    <n v="11311"/>
    <s v="1101-04"/>
    <n v="118974"/>
    <n v="0"/>
    <s v="Centralización recaudaciones marzo 2026 #3001 - #3001"/>
    <n v="118974"/>
    <s v="Activo"/>
    <n v="118974"/>
    <x v="2"/>
  </r>
  <r>
    <n v="2026"/>
    <n v="3"/>
    <s v="27-03-2026"/>
    <n v="11319"/>
    <s v="1101-04"/>
    <n v="4078"/>
    <n v="0"/>
    <s v="Centralización recaudaciones marzo 2026 #3009 - #3009"/>
    <n v="4078"/>
    <s v="Activo"/>
    <n v="4078"/>
    <x v="2"/>
  </r>
  <r>
    <n v="2026"/>
    <n v="3"/>
    <s v="27-03-2026"/>
    <n v="11331"/>
    <s v="1101-04"/>
    <n v="39970"/>
    <n v="0"/>
    <s v="Centralización recaudaciones marzo 2026 #3021 - #3021"/>
    <n v="39970"/>
    <s v="Activo"/>
    <n v="39970"/>
    <x v="2"/>
  </r>
  <r>
    <n v="2026"/>
    <n v="3"/>
    <s v="27-03-2026"/>
    <n v="11395"/>
    <s v="1101-04"/>
    <n v="39990"/>
    <n v="0"/>
    <s v="Centralización recaudaciones marzo 2026 #3085 - #3085"/>
    <n v="39990"/>
    <s v="Activo"/>
    <n v="39990"/>
    <x v="2"/>
  </r>
  <r>
    <n v="2026"/>
    <n v="3"/>
    <s v="27-03-2026"/>
    <n v="11420"/>
    <s v="1101-04"/>
    <n v="6828"/>
    <n v="0"/>
    <s v="Centralización recaudaciones marzo 2026 #3110 - #3110"/>
    <n v="6828"/>
    <s v="Activo"/>
    <n v="6828"/>
    <x v="2"/>
  </r>
  <r>
    <n v="2026"/>
    <n v="3"/>
    <s v="27-03-2026"/>
    <n v="11457"/>
    <s v="1101-04"/>
    <n v="3000"/>
    <n v="0"/>
    <s v="Centralización recaudaciones marzo 2026 #3147 - #3147"/>
    <n v="3000"/>
    <s v="Activo"/>
    <n v="3000"/>
    <x v="2"/>
  </r>
  <r>
    <n v="2026"/>
    <n v="3"/>
    <s v="27-03-2026"/>
    <n v="11488"/>
    <s v="1101-04"/>
    <n v="39990"/>
    <n v="0"/>
    <s v="Centralización recaudaciones marzo 2026 #3178 - #3178"/>
    <n v="39990"/>
    <s v="Activo"/>
    <n v="39990"/>
    <x v="2"/>
  </r>
  <r>
    <n v="2026"/>
    <n v="3"/>
    <s v="27-03-2026"/>
    <n v="11496"/>
    <s v="1101-04"/>
    <n v="19990"/>
    <n v="0"/>
    <s v="Centralización recaudaciones marzo 2026 #3186 - #3186"/>
    <n v="19990"/>
    <s v="Activo"/>
    <n v="19990"/>
    <x v="2"/>
  </r>
  <r>
    <n v="2026"/>
    <n v="3"/>
    <s v="27-03-2026"/>
    <n v="11541"/>
    <s v="1101-04"/>
    <n v="10000"/>
    <n v="0"/>
    <s v="Centralización recaudaciones marzo 2026 #3231 - #3231"/>
    <n v="10000"/>
    <s v="Activo"/>
    <n v="10000"/>
    <x v="2"/>
  </r>
  <r>
    <n v="2026"/>
    <n v="3"/>
    <s v="27-03-2026"/>
    <n v="11543"/>
    <s v="1101-04"/>
    <n v="426705"/>
    <n v="0"/>
    <s v="Centralización recaudaciones marzo 2026 #3233 - #3233"/>
    <n v="426705"/>
    <s v="Activo"/>
    <n v="426705"/>
    <x v="2"/>
  </r>
  <r>
    <n v="2026"/>
    <n v="3"/>
    <s v="27-03-2026"/>
    <n v="11547"/>
    <s v="1101-04"/>
    <n v="3000"/>
    <n v="0"/>
    <s v="Centralización recaudaciones marzo 2026 #3237 - #3237"/>
    <n v="3000"/>
    <s v="Activo"/>
    <n v="3000"/>
    <x v="2"/>
  </r>
  <r>
    <n v="2026"/>
    <n v="3"/>
    <s v="27-03-2026"/>
    <n v="11576"/>
    <s v="1101-04"/>
    <n v="39990"/>
    <n v="0"/>
    <s v="Centralización recaudaciones marzo 2026 #3266 - #3266"/>
    <n v="39990"/>
    <s v="Activo"/>
    <n v="39990"/>
    <x v="2"/>
  </r>
  <r>
    <n v="2026"/>
    <n v="3"/>
    <s v="27-03-2026"/>
    <n v="11590"/>
    <s v="1101-04"/>
    <n v="990"/>
    <n v="0"/>
    <s v="Centralización recaudaciones marzo 2026 #3280 - #3280"/>
    <n v="990"/>
    <s v="Activo"/>
    <n v="990"/>
    <x v="2"/>
  </r>
  <r>
    <n v="2026"/>
    <n v="3"/>
    <s v="27-03-2026"/>
    <n v="11598"/>
    <s v="1101-04"/>
    <n v="39990"/>
    <n v="0"/>
    <s v="Centralización recaudaciones marzo 2026 #3288 - #3288"/>
    <n v="39990"/>
    <s v="Activo"/>
    <n v="39990"/>
    <x v="2"/>
  </r>
  <r>
    <n v="2026"/>
    <n v="3"/>
    <s v="27-03-2026"/>
    <n v="11666"/>
    <s v="1101-04"/>
    <n v="25000"/>
    <n v="0"/>
    <s v="Centralización recaudaciones marzo 2026 #3356 - #3356"/>
    <n v="25000"/>
    <s v="Activo"/>
    <n v="25000"/>
    <x v="2"/>
  </r>
  <r>
    <n v="2026"/>
    <n v="3"/>
    <s v="27-03-2026"/>
    <n v="11670"/>
    <s v="1101-04"/>
    <n v="471"/>
    <n v="0"/>
    <s v="Centralización recaudaciones marzo 2026 #3360 - #3360"/>
    <n v="471"/>
    <s v="Activo"/>
    <n v="471"/>
    <x v="2"/>
  </r>
  <r>
    <n v="2026"/>
    <n v="3"/>
    <s v="27-03-2026"/>
    <n v="11687"/>
    <s v="1101-04"/>
    <n v="2990"/>
    <n v="0"/>
    <s v="Centralización recaudaciones marzo 2026 #3376 - #3376"/>
    <n v="2990"/>
    <s v="Activo"/>
    <n v="2990"/>
    <x v="2"/>
  </r>
  <r>
    <n v="2026"/>
    <n v="3"/>
    <s v="27-03-2026"/>
    <n v="11754"/>
    <s v="1101-04"/>
    <n v="703"/>
    <n v="0"/>
    <s v="Centralización recaudaciones marzo 2026 #3443 - #3443"/>
    <n v="703"/>
    <s v="Activo"/>
    <n v="703"/>
    <x v="2"/>
  </r>
  <r>
    <n v="2026"/>
    <n v="3"/>
    <s v="27-03-2026"/>
    <n v="11760"/>
    <s v="1101-04"/>
    <n v="3000"/>
    <n v="0"/>
    <s v="Centralización recaudaciones marzo 2026 #3449 - #3449"/>
    <n v="3000"/>
    <s v="Activo"/>
    <n v="3000"/>
    <x v="2"/>
  </r>
  <r>
    <n v="2026"/>
    <n v="3"/>
    <s v="27-03-2026"/>
    <n v="11771"/>
    <s v="1101-04"/>
    <n v="89250"/>
    <n v="0"/>
    <s v="Centralización recaudaciones marzo 2026 #3460 - #3460"/>
    <n v="89250"/>
    <s v="Activo"/>
    <n v="89250"/>
    <x v="2"/>
  </r>
  <r>
    <n v="2026"/>
    <n v="3"/>
    <s v="30-03-2026"/>
    <n v="7459"/>
    <s v="1101-04"/>
    <n v="5000000"/>
    <n v="0"/>
    <s v="0765406986 transf a tlink spa itau 0207015225"/>
    <n v="5000000"/>
    <s v="Activo"/>
    <n v="5000000"/>
    <x v="2"/>
  </r>
  <r>
    <n v="2026"/>
    <n v="3"/>
    <s v="30-03-2026"/>
    <n v="7460"/>
    <s v="1101-04"/>
    <n v="4479345"/>
    <n v="0"/>
    <s v="0765406986 transf a tlink spa itau 0207015225"/>
    <n v="4479345"/>
    <s v="Activo"/>
    <n v="4479345"/>
    <x v="2"/>
  </r>
  <r>
    <n v="2026"/>
    <n v="3"/>
    <s v="30-03-2026"/>
    <n v="7476"/>
    <s v="1101-04"/>
    <n v="0"/>
    <n v="5000000"/>
    <s v="Transf. a tlink spa itau 230434690"/>
    <n v="-5000000"/>
    <s v="Activo"/>
    <n v="-5000000"/>
    <x v="2"/>
  </r>
  <r>
    <n v="2026"/>
    <n v="3"/>
    <s v="30-03-2026"/>
    <n v="7476"/>
    <s v="1101-04"/>
    <n v="0"/>
    <n v="5000000"/>
    <s v="Transf. a tlink spa itau 230434690"/>
    <n v="-5000000"/>
    <s v="Activo"/>
    <n v="-5000000"/>
    <x v="2"/>
  </r>
  <r>
    <n v="2026"/>
    <n v="3"/>
    <s v="30-03-2026"/>
    <n v="7476"/>
    <s v="1101-04"/>
    <n v="0"/>
    <n v="3647694"/>
    <s v="Transf. a tlink spa itau 230434690"/>
    <n v="-3647694"/>
    <s v="Activo"/>
    <n v="-3647694"/>
    <x v="2"/>
  </r>
  <r>
    <n v="2026"/>
    <n v="3"/>
    <s v="30-03-2026"/>
    <n v="7476"/>
    <s v="1101-04"/>
    <n v="0"/>
    <n v="4479345"/>
    <s v="Transf. a tlink spa itau 230434690"/>
    <n v="-4479345"/>
    <s v="Activo"/>
    <n v="-4479345"/>
    <x v="2"/>
  </r>
  <r>
    <n v="2026"/>
    <n v="3"/>
    <s v="30-03-2026"/>
    <n v="11168"/>
    <s v="1101-04"/>
    <n v="473237"/>
    <n v="0"/>
    <s v="Centralización recaudaciones marzo 2026 #3486 - #3486"/>
    <n v="473237"/>
    <s v="Activo"/>
    <n v="473237"/>
    <x v="2"/>
  </r>
  <r>
    <n v="2026"/>
    <n v="3"/>
    <s v="30-03-2026"/>
    <n v="11174"/>
    <s v="1101-04"/>
    <n v="9010"/>
    <n v="0"/>
    <s v="Centralización recaudaciones marzo 2026 #3488 - #3488"/>
    <n v="9010"/>
    <s v="Activo"/>
    <n v="9010"/>
    <x v="2"/>
  </r>
  <r>
    <n v="2026"/>
    <n v="3"/>
    <s v="30-03-2026"/>
    <n v="11212"/>
    <s v="1101-04"/>
    <n v="45000"/>
    <n v="0"/>
    <s v="Centralización recaudaciones marzo 2026 #2900 - #2900"/>
    <n v="45000"/>
    <s v="Activo"/>
    <n v="45000"/>
    <x v="2"/>
  </r>
  <r>
    <n v="2026"/>
    <n v="3"/>
    <s v="30-03-2026"/>
    <n v="11213"/>
    <s v="1101-04"/>
    <n v="130100"/>
    <n v="0"/>
    <s v="Centralización recaudaciones marzo 2026 #2901 - #2901"/>
    <n v="130100"/>
    <s v="Activo"/>
    <n v="130100"/>
    <x v="2"/>
  </r>
  <r>
    <n v="2026"/>
    <n v="3"/>
    <s v="30-03-2026"/>
    <n v="11247"/>
    <s v="1101-04"/>
    <n v="42990"/>
    <n v="0"/>
    <s v="Centralización recaudaciones marzo 2026 #2937 - #2937"/>
    <n v="42990"/>
    <s v="Activo"/>
    <n v="42990"/>
    <x v="2"/>
  </r>
  <r>
    <n v="2026"/>
    <n v="3"/>
    <s v="30-03-2026"/>
    <n v="11263"/>
    <s v="1101-04"/>
    <n v="43987"/>
    <n v="0"/>
    <s v="Centralización recaudaciones marzo 2026 #2953 - #2953"/>
    <n v="43987"/>
    <s v="Activo"/>
    <n v="43987"/>
    <x v="2"/>
  </r>
  <r>
    <n v="2026"/>
    <n v="3"/>
    <s v="30-03-2026"/>
    <n v="11284"/>
    <s v="1101-04"/>
    <n v="76000"/>
    <n v="0"/>
    <s v="Centralización recaudaciones marzo 2026 #2974 - #2974"/>
    <n v="76000"/>
    <s v="Activo"/>
    <n v="76000"/>
    <x v="2"/>
  </r>
  <r>
    <n v="2026"/>
    <n v="3"/>
    <s v="30-03-2026"/>
    <n v="11309"/>
    <s v="1101-04"/>
    <n v="50000"/>
    <n v="0"/>
    <s v="Centralización recaudaciones marzo 2026 #2999 - #2999"/>
    <n v="50000"/>
    <s v="Activo"/>
    <n v="50000"/>
    <x v="2"/>
  </r>
  <r>
    <n v="2026"/>
    <n v="3"/>
    <s v="30-03-2026"/>
    <n v="11333"/>
    <s v="1101-04"/>
    <n v="80000"/>
    <n v="0"/>
    <s v="Centralización recaudaciones marzo 2026 #3023 - #3023"/>
    <n v="80000"/>
    <s v="Activo"/>
    <n v="80000"/>
    <x v="2"/>
  </r>
  <r>
    <n v="2026"/>
    <n v="3"/>
    <s v="30-03-2026"/>
    <n v="11341"/>
    <s v="1101-04"/>
    <n v="74300"/>
    <n v="0"/>
    <s v="Centralización recaudaciones marzo 2026 #3031 - #3031"/>
    <n v="74300"/>
    <s v="Activo"/>
    <n v="74300"/>
    <x v="2"/>
  </r>
  <r>
    <n v="2026"/>
    <n v="3"/>
    <s v="30-03-2026"/>
    <n v="11353"/>
    <s v="1101-04"/>
    <n v="39872"/>
    <n v="0"/>
    <s v="Centralización recaudaciones marzo 2026 #3043 - #3043"/>
    <n v="39872"/>
    <s v="Activo"/>
    <n v="39872"/>
    <x v="2"/>
  </r>
  <r>
    <n v="2026"/>
    <n v="3"/>
    <s v="30-03-2026"/>
    <n v="11383"/>
    <s v="1101-04"/>
    <n v="100000"/>
    <n v="0"/>
    <s v="Centralización recaudaciones marzo 2026 #3073 - #3073"/>
    <n v="100000"/>
    <s v="Activo"/>
    <n v="100000"/>
    <x v="2"/>
  </r>
  <r>
    <n v="2026"/>
    <n v="3"/>
    <s v="30-03-2026"/>
    <n v="11421"/>
    <s v="1101-04"/>
    <n v="33162"/>
    <n v="0"/>
    <s v="Centralización recaudaciones marzo 2026 #3111 - #3111"/>
    <n v="33162"/>
    <s v="Activo"/>
    <n v="33162"/>
    <x v="2"/>
  </r>
  <r>
    <n v="2026"/>
    <n v="3"/>
    <s v="30-03-2026"/>
    <n v="11426"/>
    <s v="1101-04"/>
    <n v="1990"/>
    <n v="0"/>
    <s v="Centralización recaudaciones marzo 2026 #3116 - #3116"/>
    <n v="1990"/>
    <s v="Activo"/>
    <n v="1990"/>
    <x v="2"/>
  </r>
  <r>
    <n v="2026"/>
    <n v="3"/>
    <s v="30-03-2026"/>
    <n v="11453"/>
    <s v="1101-04"/>
    <n v="40980"/>
    <n v="0"/>
    <s v="Centralización recaudaciones marzo 2026 #3143 - #3143"/>
    <n v="40980"/>
    <s v="Activo"/>
    <n v="40980"/>
    <x v="2"/>
  </r>
  <r>
    <n v="2026"/>
    <n v="3"/>
    <s v="30-03-2026"/>
    <n v="11472"/>
    <s v="1101-04"/>
    <n v="55980"/>
    <n v="0"/>
    <s v="Centralización recaudaciones marzo 2026 #3162 - #3162"/>
    <n v="55980"/>
    <s v="Activo"/>
    <n v="55980"/>
    <x v="2"/>
  </r>
  <r>
    <n v="2026"/>
    <n v="3"/>
    <s v="30-03-2026"/>
    <n v="11490"/>
    <s v="1101-04"/>
    <n v="74990"/>
    <n v="0"/>
    <s v="Centralización recaudaciones marzo 2026 #3180 - #3180"/>
    <n v="74990"/>
    <s v="Activo"/>
    <n v="74990"/>
    <x v="2"/>
  </r>
  <r>
    <n v="2026"/>
    <n v="3"/>
    <s v="30-03-2026"/>
    <n v="11512"/>
    <s v="1101-04"/>
    <n v="72980"/>
    <n v="0"/>
    <s v="Centralización recaudaciones marzo 2026 #3202 - #3202"/>
    <n v="72980"/>
    <s v="Activo"/>
    <n v="72980"/>
    <x v="2"/>
  </r>
  <r>
    <n v="2026"/>
    <n v="3"/>
    <s v="30-03-2026"/>
    <n v="11549"/>
    <s v="1101-04"/>
    <n v="42990"/>
    <n v="0"/>
    <s v="Centralización recaudaciones marzo 2026 #3239 - #3239"/>
    <n v="42990"/>
    <s v="Activo"/>
    <n v="42990"/>
    <x v="2"/>
  </r>
  <r>
    <n v="2026"/>
    <n v="3"/>
    <s v="30-03-2026"/>
    <n v="11568"/>
    <s v="1101-04"/>
    <n v="42990"/>
    <n v="0"/>
    <s v="Centralización recaudaciones marzo 2026 #3258 - #3258"/>
    <n v="42990"/>
    <s v="Activo"/>
    <n v="42990"/>
    <x v="2"/>
  </r>
  <r>
    <n v="2026"/>
    <n v="3"/>
    <s v="30-03-2026"/>
    <n v="11580"/>
    <s v="1101-04"/>
    <n v="55980"/>
    <n v="0"/>
    <s v="Centralización recaudaciones marzo 2026 #3270 - #3270"/>
    <n v="55980"/>
    <s v="Activo"/>
    <n v="55980"/>
    <x v="2"/>
  </r>
  <r>
    <n v="2026"/>
    <n v="3"/>
    <s v="30-03-2026"/>
    <n v="11601"/>
    <s v="1101-04"/>
    <n v="54990"/>
    <n v="0"/>
    <s v="Centralización recaudaciones marzo 2026 #3291 - #3291"/>
    <n v="54990"/>
    <s v="Activo"/>
    <n v="54990"/>
    <x v="2"/>
  </r>
  <r>
    <n v="2026"/>
    <n v="3"/>
    <s v="30-03-2026"/>
    <n v="11618"/>
    <s v="1101-04"/>
    <n v="70970"/>
    <n v="0"/>
    <s v="Centralización recaudaciones marzo 2026 #3308 - #3308"/>
    <n v="70970"/>
    <s v="Activo"/>
    <n v="70970"/>
    <x v="2"/>
  </r>
  <r>
    <n v="2026"/>
    <n v="3"/>
    <s v="30-03-2026"/>
    <n v="11636"/>
    <s v="1101-04"/>
    <n v="38970"/>
    <n v="0"/>
    <s v="Centralización recaudaciones marzo 2026 #3326 - #3326"/>
    <n v="38970"/>
    <s v="Activo"/>
    <n v="38970"/>
    <x v="2"/>
  </r>
  <r>
    <n v="2026"/>
    <n v="3"/>
    <s v="30-03-2026"/>
    <n v="11651"/>
    <s v="1101-04"/>
    <n v="41638"/>
    <n v="0"/>
    <s v="Centralización recaudaciones marzo 2026 #3341 - #3341"/>
    <n v="41638"/>
    <s v="Activo"/>
    <n v="41638"/>
    <x v="2"/>
  </r>
  <r>
    <n v="2026"/>
    <n v="3"/>
    <s v="30-03-2026"/>
    <n v="11667"/>
    <s v="1101-04"/>
    <n v="16638"/>
    <n v="0"/>
    <s v="Centralización recaudaciones marzo 2026 #3357 - #3357"/>
    <n v="16638"/>
    <s v="Activo"/>
    <n v="16638"/>
    <x v="2"/>
  </r>
  <r>
    <n v="2026"/>
    <n v="3"/>
    <s v="30-03-2026"/>
    <n v="11671"/>
    <s v="1101-04"/>
    <n v="30000"/>
    <n v="0"/>
    <s v="Centralización recaudaciones marzo 2026 #3361 - #3361"/>
    <n v="30000"/>
    <s v="Activo"/>
    <n v="30000"/>
    <x v="2"/>
  </r>
  <r>
    <n v="2026"/>
    <n v="3"/>
    <s v="30-03-2026"/>
    <n v="11694"/>
    <s v="1101-04"/>
    <n v="56157"/>
    <n v="0"/>
    <s v="Centralización recaudaciones marzo 2026 #3383 - #3383"/>
    <n v="56157"/>
    <s v="Activo"/>
    <n v="56157"/>
    <x v="2"/>
  </r>
  <r>
    <n v="2026"/>
    <n v="3"/>
    <s v="30-03-2026"/>
    <n v="11698"/>
    <s v="1101-04"/>
    <n v="39990"/>
    <n v="0"/>
    <s v="Centralización recaudaciones marzo 2026 #3387 - #3387"/>
    <n v="39990"/>
    <s v="Activo"/>
    <n v="39990"/>
    <x v="2"/>
  </r>
  <r>
    <n v="2026"/>
    <n v="3"/>
    <s v="30-03-2026"/>
    <n v="11713"/>
    <s v="1101-04"/>
    <n v="33990"/>
    <n v="0"/>
    <s v="Centralización recaudaciones marzo 2026 #3402 - #3402"/>
    <n v="33990"/>
    <s v="Activo"/>
    <n v="33990"/>
    <x v="2"/>
  </r>
  <r>
    <n v="2026"/>
    <n v="3"/>
    <s v="30-03-2026"/>
    <n v="11739"/>
    <s v="1101-04"/>
    <n v="41650"/>
    <n v="0"/>
    <s v="Centralización recaudaciones marzo 2026 #3428 - #3428"/>
    <n v="41650"/>
    <s v="Activo"/>
    <n v="41650"/>
    <x v="2"/>
  </r>
  <r>
    <n v="2026"/>
    <n v="3"/>
    <s v="30-03-2026"/>
    <n v="11740"/>
    <s v="1101-04"/>
    <n v="54990"/>
    <n v="0"/>
    <s v="Centralización recaudaciones marzo 2026 #3429 - #3429"/>
    <n v="54990"/>
    <s v="Activo"/>
    <n v="54990"/>
    <x v="2"/>
  </r>
  <r>
    <n v="2026"/>
    <n v="3"/>
    <s v="31-03-2026"/>
    <n v="11191"/>
    <s v="1101-04"/>
    <n v="56980"/>
    <n v="0"/>
    <s v="Centralización recaudaciones marzo 2026 #2880 - #2880"/>
    <n v="56980"/>
    <s v="Activo"/>
    <n v="56980"/>
    <x v="2"/>
  </r>
  <r>
    <n v="2026"/>
    <n v="3"/>
    <s v="31-03-2026"/>
    <n v="11199"/>
    <s v="1101-04"/>
    <n v="68990"/>
    <n v="0"/>
    <s v="Centralización recaudaciones marzo 2026 #2887 - #2887"/>
    <n v="68990"/>
    <s v="Activo"/>
    <n v="68990"/>
    <x v="2"/>
  </r>
  <r>
    <n v="2026"/>
    <n v="3"/>
    <s v="31-03-2026"/>
    <n v="11201"/>
    <s v="1101-04"/>
    <n v="50000"/>
    <n v="0"/>
    <s v="Centralización recaudaciones marzo 2026 #2889 - #2889"/>
    <n v="50000"/>
    <s v="Activo"/>
    <n v="50000"/>
    <x v="2"/>
  </r>
  <r>
    <n v="2026"/>
    <n v="3"/>
    <s v="31-03-2026"/>
    <n v="11208"/>
    <s v="1101-04"/>
    <n v="30000"/>
    <n v="0"/>
    <s v="Centralización recaudaciones marzo 2026 #2896 - #2896"/>
    <n v="30000"/>
    <s v="Activo"/>
    <n v="30000"/>
    <x v="2"/>
  </r>
  <r>
    <n v="2026"/>
    <n v="3"/>
    <s v="31-03-2026"/>
    <n v="11222"/>
    <s v="1101-04"/>
    <n v="48000"/>
    <n v="0"/>
    <s v="Centralización recaudaciones marzo 2026 #2910 - #2910"/>
    <n v="48000"/>
    <s v="Activo"/>
    <n v="48000"/>
    <x v="2"/>
  </r>
  <r>
    <n v="2026"/>
    <n v="3"/>
    <s v="31-03-2026"/>
    <n v="11255"/>
    <s v="1101-04"/>
    <n v="58000"/>
    <n v="0"/>
    <s v="Centralización recaudaciones marzo 2026 #2945 - #2945"/>
    <n v="58000"/>
    <s v="Activo"/>
    <n v="58000"/>
    <x v="2"/>
  </r>
  <r>
    <n v="2026"/>
    <n v="3"/>
    <s v="31-03-2026"/>
    <n v="11264"/>
    <s v="1101-04"/>
    <n v="28013"/>
    <n v="0"/>
    <s v="Centralización recaudaciones marzo 2026 #2954 - #2954"/>
    <n v="28013"/>
    <s v="Activo"/>
    <n v="28013"/>
    <x v="2"/>
  </r>
  <r>
    <n v="2026"/>
    <n v="3"/>
    <s v="31-03-2026"/>
    <n v="11273"/>
    <s v="1101-04"/>
    <n v="30000"/>
    <n v="0"/>
    <s v="Centralización recaudaciones marzo 2026 #2963 - #2963"/>
    <n v="30000"/>
    <s v="Activo"/>
    <n v="30000"/>
    <x v="2"/>
  </r>
  <r>
    <n v="2026"/>
    <n v="3"/>
    <s v="31-03-2026"/>
    <n v="11314"/>
    <s v="1101-04"/>
    <n v="50000"/>
    <n v="0"/>
    <s v="Centralización recaudaciones marzo 2026 #3004 - #3004"/>
    <n v="50000"/>
    <s v="Activo"/>
    <n v="50000"/>
    <x v="2"/>
  </r>
  <r>
    <n v="2026"/>
    <n v="3"/>
    <s v="31-03-2026"/>
    <n v="11315"/>
    <s v="1101-04"/>
    <n v="118529"/>
    <n v="0"/>
    <s v="Centralización recaudaciones marzo 2026 #3005 - #3005"/>
    <n v="118529"/>
    <s v="Activo"/>
    <n v="118529"/>
    <x v="2"/>
  </r>
  <r>
    <n v="2026"/>
    <n v="3"/>
    <s v="31-03-2026"/>
    <n v="11330"/>
    <s v="1101-04"/>
    <n v="90000"/>
    <n v="0"/>
    <s v="Centralización recaudaciones marzo 2026 #3020 - #3020"/>
    <n v="90000"/>
    <s v="Activo"/>
    <n v="90000"/>
    <x v="2"/>
  </r>
  <r>
    <n v="2026"/>
    <n v="3"/>
    <s v="31-03-2026"/>
    <n v="11337"/>
    <s v="1101-04"/>
    <n v="57980"/>
    <n v="0"/>
    <s v="Centralización recaudaciones marzo 2026 #3027 - #3027"/>
    <n v="57980"/>
    <s v="Activo"/>
    <n v="57980"/>
    <x v="2"/>
  </r>
  <r>
    <n v="2026"/>
    <n v="3"/>
    <s v="31-03-2026"/>
    <n v="11345"/>
    <s v="1101-04"/>
    <n v="50000"/>
    <n v="0"/>
    <s v="Centralización recaudaciones marzo 2026 #3035 - #3035"/>
    <n v="50000"/>
    <s v="Activo"/>
    <n v="50000"/>
    <x v="2"/>
  </r>
  <r>
    <n v="2026"/>
    <n v="3"/>
    <s v="31-03-2026"/>
    <n v="11354"/>
    <s v="1101-04"/>
    <n v="3108"/>
    <n v="0"/>
    <s v="Centralización recaudaciones marzo 2026 #3044 - #3044"/>
    <n v="3108"/>
    <s v="Activo"/>
    <n v="3108"/>
    <x v="2"/>
  </r>
  <r>
    <n v="2026"/>
    <n v="3"/>
    <s v="31-03-2026"/>
    <n v="11359"/>
    <s v="1101-04"/>
    <n v="67980"/>
    <n v="0"/>
    <s v="Centralización recaudaciones marzo 2026 #3049 - #3049"/>
    <n v="67980"/>
    <s v="Activo"/>
    <n v="67980"/>
    <x v="2"/>
  </r>
  <r>
    <n v="2026"/>
    <n v="3"/>
    <s v="31-03-2026"/>
    <n v="11382"/>
    <s v="1101-04"/>
    <n v="374863"/>
    <n v="0"/>
    <s v="Centralización recaudaciones marzo 2026 #3072 - #3072"/>
    <n v="374863"/>
    <s v="Activo"/>
    <n v="374863"/>
    <x v="2"/>
  </r>
  <r>
    <n v="2026"/>
    <n v="3"/>
    <s v="31-03-2026"/>
    <n v="11388"/>
    <s v="1101-04"/>
    <n v="1391975"/>
    <n v="0"/>
    <s v="Centralización recaudaciones marzo 2026 #3078 - #3078"/>
    <n v="1391975"/>
    <s v="Activo"/>
    <n v="1391975"/>
    <x v="2"/>
  </r>
  <r>
    <n v="2026"/>
    <n v="3"/>
    <s v="31-03-2026"/>
    <n v="11393"/>
    <s v="1101-04"/>
    <n v="69990"/>
    <n v="0"/>
    <s v="Centralización recaudaciones marzo 2026 #3083 - #3083"/>
    <n v="69990"/>
    <s v="Activo"/>
    <n v="69990"/>
    <x v="2"/>
  </r>
  <r>
    <n v="2026"/>
    <n v="3"/>
    <s v="31-03-2026"/>
    <n v="11407"/>
    <s v="1101-04"/>
    <n v="56980"/>
    <n v="0"/>
    <s v="Centralización recaudaciones marzo 2026 #3097 - #3097"/>
    <n v="56980"/>
    <s v="Activo"/>
    <n v="56980"/>
    <x v="2"/>
  </r>
  <r>
    <n v="2026"/>
    <n v="3"/>
    <s v="31-03-2026"/>
    <n v="11418"/>
    <s v="1101-04"/>
    <n v="69980"/>
    <n v="0"/>
    <s v="Centralización recaudaciones marzo 2026 #3108 - #3108"/>
    <n v="69980"/>
    <s v="Activo"/>
    <n v="69980"/>
    <x v="2"/>
  </r>
  <r>
    <n v="2026"/>
    <n v="3"/>
    <s v="31-03-2026"/>
    <n v="11419"/>
    <s v="1101-04"/>
    <n v="49970"/>
    <n v="0"/>
    <s v="Centralización recaudaciones marzo 2026 #3109 - #3109"/>
    <n v="49970"/>
    <s v="Activo"/>
    <n v="49970"/>
    <x v="2"/>
  </r>
  <r>
    <n v="2026"/>
    <n v="3"/>
    <s v="31-03-2026"/>
    <n v="11427"/>
    <s v="1101-04"/>
    <n v="58990"/>
    <n v="0"/>
    <s v="Centralización recaudaciones marzo 2026 #3117 - #3117"/>
    <n v="58990"/>
    <s v="Activo"/>
    <n v="58990"/>
    <x v="2"/>
  </r>
  <r>
    <n v="2026"/>
    <n v="3"/>
    <s v="31-03-2026"/>
    <n v="11428"/>
    <s v="1101-04"/>
    <n v="60980"/>
    <n v="0"/>
    <s v="Centralización recaudaciones marzo 2026 #3118 - #3118"/>
    <n v="60980"/>
    <s v="Activo"/>
    <n v="60980"/>
    <x v="2"/>
  </r>
  <r>
    <n v="2026"/>
    <n v="3"/>
    <s v="31-03-2026"/>
    <n v="11454"/>
    <s v="1101-04"/>
    <n v="30000"/>
    <n v="0"/>
    <s v="Centralización recaudaciones marzo 2026 #3144 - #3144"/>
    <n v="30000"/>
    <s v="Activo"/>
    <n v="30000"/>
    <x v="2"/>
  </r>
  <r>
    <n v="2026"/>
    <n v="3"/>
    <s v="31-03-2026"/>
    <n v="11530"/>
    <s v="1101-04"/>
    <n v="72970"/>
    <n v="0"/>
    <s v="Centralización recaudaciones marzo 2026 #3220 - #3220"/>
    <n v="72970"/>
    <s v="Activo"/>
    <n v="72970"/>
    <x v="2"/>
  </r>
  <r>
    <n v="2026"/>
    <n v="3"/>
    <s v="31-03-2026"/>
    <n v="11595"/>
    <s v="1101-04"/>
    <n v="60940"/>
    <n v="0"/>
    <s v="Centralización recaudaciones marzo 2026 #3285 - #3285"/>
    <n v="60940"/>
    <s v="Activo"/>
    <n v="60940"/>
    <x v="2"/>
  </r>
  <r>
    <n v="2026"/>
    <n v="3"/>
    <s v="31-03-2026"/>
    <n v="11596"/>
    <s v="1101-04"/>
    <n v="50000"/>
    <n v="0"/>
    <s v="Centralización recaudaciones marzo 2026 #3286 - #3286"/>
    <n v="50000"/>
    <s v="Activo"/>
    <n v="50000"/>
    <x v="2"/>
  </r>
  <r>
    <n v="2026"/>
    <n v="3"/>
    <s v="31-03-2026"/>
    <n v="11611"/>
    <s v="1101-04"/>
    <n v="200789"/>
    <n v="0"/>
    <s v="Centralización recaudaciones marzo 2026 #3301 - #3301"/>
    <n v="200789"/>
    <s v="Activo"/>
    <n v="200789"/>
    <x v="2"/>
  </r>
  <r>
    <n v="2026"/>
    <n v="3"/>
    <s v="31-03-2026"/>
    <n v="11620"/>
    <s v="1101-04"/>
    <n v="69990"/>
    <n v="0"/>
    <s v="Centralización recaudaciones marzo 2026 #3310 - #3310"/>
    <n v="69990"/>
    <s v="Activo"/>
    <n v="69990"/>
    <x v="2"/>
  </r>
  <r>
    <n v="2026"/>
    <n v="3"/>
    <s v="31-03-2026"/>
    <n v="11624"/>
    <s v="1101-04"/>
    <n v="69980"/>
    <n v="0"/>
    <s v="Centralización recaudaciones marzo 2026 #3314 - #3314"/>
    <n v="69980"/>
    <s v="Activo"/>
    <n v="69980"/>
    <x v="2"/>
  </r>
  <r>
    <n v="2026"/>
    <n v="3"/>
    <s v="31-03-2026"/>
    <n v="11637"/>
    <s v="1101-04"/>
    <n v="6020"/>
    <n v="0"/>
    <s v="Centralización recaudaciones marzo 2026 #3327 - #3327"/>
    <n v="6020"/>
    <s v="Activo"/>
    <n v="6020"/>
    <x v="2"/>
  </r>
  <r>
    <n v="2026"/>
    <n v="3"/>
    <s v="31-03-2026"/>
    <n v="11654"/>
    <s v="1101-04"/>
    <n v="86052"/>
    <n v="0"/>
    <s v="Centralización recaudaciones marzo 2026 #3344 - #3344"/>
    <n v="86052"/>
    <s v="Activo"/>
    <n v="86052"/>
    <x v="2"/>
  </r>
  <r>
    <n v="2026"/>
    <n v="3"/>
    <s v="31-03-2026"/>
    <n v="11707"/>
    <s v="1101-04"/>
    <n v="49980"/>
    <n v="0"/>
    <s v="Centralización recaudaciones marzo 2026 #3396 - #3396"/>
    <n v="49980"/>
    <s v="Activo"/>
    <n v="49980"/>
    <x v="2"/>
  </r>
  <r>
    <n v="2026"/>
    <n v="3"/>
    <s v="31-03-2026"/>
    <n v="11743"/>
    <s v="1101-04"/>
    <n v="47490"/>
    <n v="0"/>
    <s v="Centralización recaudaciones marzo 2026 #3432 - #3432"/>
    <n v="47490"/>
    <s v="Activo"/>
    <n v="47490"/>
    <x v="2"/>
  </r>
  <r>
    <n v="2026"/>
    <n v="3"/>
    <s v="31-03-2026"/>
    <n v="11777"/>
    <s v="1101-04"/>
    <n v="54990"/>
    <n v="0"/>
    <s v="Centralización recaudaciones marzo 2026 #3466 - #3466"/>
    <n v="54990"/>
    <s v="Activo"/>
    <n v="54990"/>
    <x v="2"/>
  </r>
  <r>
    <n v="2026"/>
    <n v="3"/>
    <s v="31-03-2026"/>
    <n v="11778"/>
    <s v="1101-04"/>
    <n v="56519"/>
    <n v="0"/>
    <s v="Centralización recaudaciones marzo 2026 #3467 - #3467"/>
    <n v="56519"/>
    <s v="Activo"/>
    <n v="56519"/>
    <x v="2"/>
  </r>
  <r>
    <n v="2026"/>
    <n v="4"/>
    <s v="01-04-2026"/>
    <n v="11796"/>
    <s v="1101-04"/>
    <n v="0"/>
    <n v="5000000"/>
    <s v="0765406986 transf. 0207015225"/>
    <n v="-5000000"/>
    <s v="Activo"/>
    <n v="-5000000"/>
    <x v="2"/>
  </r>
  <r>
    <n v="2026"/>
    <n v="4"/>
    <s v="02-04-2026"/>
    <n v="11799"/>
    <s v="1101-04"/>
    <n v="0"/>
    <n v="5000000"/>
    <s v="0765406986 transf. 0207015225"/>
    <n v="-5000000"/>
    <s v="Activo"/>
    <n v="-5000000"/>
    <x v="2"/>
  </r>
  <r>
    <n v="2026"/>
    <n v="4"/>
    <s v="02-04-2026"/>
    <n v="11800"/>
    <s v="1101-04"/>
    <n v="0"/>
    <n v="2000000"/>
    <s v="0765406986 transf. 0207015225"/>
    <n v="-2000000"/>
    <s v="Activo"/>
    <n v="-2000000"/>
    <x v="2"/>
  </r>
  <r>
    <n v="2026"/>
    <n v="4"/>
    <s v="02-04-2026"/>
    <n v="10759"/>
    <s v="1101-04"/>
    <n v="4500000"/>
    <n v="0"/>
    <s v="Transf. de tlink spa"/>
    <n v="4500000"/>
    <s v="Activo"/>
    <n v="4500000"/>
    <x v="2"/>
  </r>
  <r>
    <n v="2026"/>
    <n v="4"/>
    <s v="06-04-2026"/>
    <n v="7689"/>
    <s v="1101-04"/>
    <n v="0"/>
    <n v="7570"/>
    <s v="Centralización pagos abril 2026 #583 - #583"/>
    <n v="-7570"/>
    <s v="Activo"/>
    <n v="-7570"/>
    <x v="2"/>
  </r>
  <r>
    <n v="2026"/>
    <n v="4"/>
    <s v="06-04-2026"/>
    <n v="7690"/>
    <s v="1101-04"/>
    <n v="0"/>
    <n v="1438"/>
    <s v="Centralización pagos abril 2026 #584 - #584"/>
    <n v="-1438"/>
    <s v="Activo"/>
    <n v="-1438"/>
    <x v="2"/>
  </r>
  <r>
    <n v="2026"/>
    <n v="4"/>
    <s v="06-04-2026"/>
    <n v="11803"/>
    <s v="1101-04"/>
    <n v="0"/>
    <n v="5000000"/>
    <s v="0765406986 transf. 0207015225"/>
    <n v="-5000000"/>
    <s v="Activo"/>
    <n v="-5000000"/>
    <x v="2"/>
  </r>
  <r>
    <n v="2026"/>
    <n v="4"/>
    <s v="06-04-2026"/>
    <n v="11804"/>
    <s v="1101-04"/>
    <n v="0"/>
    <n v="5000000"/>
    <s v="0765406986 transf. 0207015225"/>
    <n v="-5000000"/>
    <s v="Activo"/>
    <n v="-5000000"/>
    <x v="2"/>
  </r>
  <r>
    <n v="2026"/>
    <n v="4"/>
    <s v="06-04-2026"/>
    <n v="11805"/>
    <s v="1101-04"/>
    <n v="0"/>
    <n v="5000000"/>
    <s v="0765406986 transf. 0207015225"/>
    <n v="-5000000"/>
    <s v="Activo"/>
    <n v="-5000000"/>
    <x v="2"/>
  </r>
  <r>
    <n v="2026"/>
    <n v="4"/>
    <s v="06-04-2026"/>
    <n v="11808"/>
    <s v="1101-04"/>
    <n v="0"/>
    <n v="4714104"/>
    <s v="0765406986 transf. 0207015225"/>
    <n v="-4714104"/>
    <s v="Activo"/>
    <n v="-4714104"/>
    <x v="2"/>
  </r>
  <r>
    <n v="2026"/>
    <n v="4"/>
    <s v="06-04-2026"/>
    <n v="10760"/>
    <s v="1101-04"/>
    <n v="5000000"/>
    <n v="0"/>
    <s v="Transf. de tlink spa"/>
    <n v="5000000"/>
    <s v="Activo"/>
    <n v="5000000"/>
    <x v="2"/>
  </r>
  <r>
    <n v="2026"/>
    <n v="4"/>
    <s v="06-04-2026"/>
    <n v="10761"/>
    <s v="1101-04"/>
    <n v="5000000"/>
    <n v="0"/>
    <s v="Transf. de tlink spa"/>
    <n v="5000000"/>
    <s v="Activo"/>
    <n v="5000000"/>
    <x v="2"/>
  </r>
  <r>
    <n v="2026"/>
    <n v="4"/>
    <s v="06-04-2026"/>
    <n v="10762"/>
    <s v="1101-04"/>
    <n v="4714104"/>
    <n v="0"/>
    <s v="Transf. de tlink spa"/>
    <n v="4714104"/>
    <s v="Activo"/>
    <n v="4714104"/>
    <x v="2"/>
  </r>
  <r>
    <n v="2026"/>
    <n v="4"/>
    <s v="06-04-2026"/>
    <n v="10763"/>
    <s v="1101-04"/>
    <n v="0"/>
    <n v="5000000"/>
    <s v="Transf. a tlink spa"/>
    <n v="-5000000"/>
    <s v="Activo"/>
    <n v="-5000000"/>
    <x v="2"/>
  </r>
  <r>
    <n v="2026"/>
    <n v="4"/>
    <s v="06-04-2026"/>
    <n v="10764"/>
    <s v="1101-04"/>
    <n v="5000000"/>
    <n v="0"/>
    <s v="Transf. de tlink spa"/>
    <n v="5000000"/>
    <s v="Activo"/>
    <n v="5000000"/>
    <x v="2"/>
  </r>
  <r>
    <n v="2026"/>
    <n v="4"/>
    <s v="06-04-2026"/>
    <n v="10767"/>
    <s v="1101-04"/>
    <n v="0"/>
    <n v="5494703"/>
    <s v="Pago cuota 10 de 37 - tlink spa credito itau 60529874"/>
    <n v="-5494703"/>
    <s v="Activo"/>
    <n v="-5494703"/>
    <x v="2"/>
  </r>
  <r>
    <n v="2026"/>
    <n v="4"/>
    <s v="07-04-2026"/>
    <n v="10765"/>
    <s v="1101-04"/>
    <n v="0"/>
    <n v="5000000"/>
    <s v="Transf. a tlink spa"/>
    <n v="-5000000"/>
    <s v="Activo"/>
    <n v="-5000000"/>
    <x v="2"/>
  </r>
  <r>
    <n v="2026"/>
    <n v="4"/>
    <s v="07-04-2026"/>
    <n v="10766"/>
    <s v="1101-04"/>
    <n v="0"/>
    <n v="1885126"/>
    <s v="Transf. a tlink spa"/>
    <n v="-1885126"/>
    <s v="Activo"/>
    <n v="-1885126"/>
    <x v="2"/>
  </r>
  <r>
    <n v="2026"/>
    <n v="4"/>
    <s v="08-04-2026"/>
    <n v="7679"/>
    <s v="1101-04"/>
    <n v="0"/>
    <n v="165000"/>
    <s v="Pago arriendo arriendo oficina csa"/>
    <n v="-165000"/>
    <s v="Activo"/>
    <n v="-165000"/>
    <x v="2"/>
  </r>
  <r>
    <n v="2026"/>
    <n v="4"/>
    <s v="09-04-2026"/>
    <n v="10768"/>
    <s v="1101-04"/>
    <n v="0"/>
    <n v="5000000"/>
    <s v="Transf. a tlink spa"/>
    <n v="-5000000"/>
    <s v="Activo"/>
    <n v="-5000000"/>
    <x v="2"/>
  </r>
  <r>
    <n v="2026"/>
    <n v="4"/>
    <s v="10-04-2026"/>
    <n v="7571"/>
    <s v="1101-04"/>
    <n v="5000000"/>
    <n v="0"/>
    <s v="0765406986 transf. 0207015225"/>
    <n v="5000000"/>
    <s v="Activo"/>
    <n v="5000000"/>
    <x v="2"/>
  </r>
  <r>
    <n v="2026"/>
    <n v="4"/>
    <s v="10-04-2026"/>
    <n v="7572"/>
    <s v="1101-04"/>
    <n v="5000000"/>
    <n v="0"/>
    <s v="0765406986 transf. 0207015225"/>
    <n v="5000000"/>
    <s v="Activo"/>
    <n v="5000000"/>
    <x v="2"/>
  </r>
  <r>
    <n v="2026"/>
    <n v="4"/>
    <s v="10-04-2026"/>
    <n v="7574"/>
    <s v="1101-04"/>
    <n v="2500000"/>
    <n v="0"/>
    <s v="0765406986 transf. 0207015225"/>
    <n v="2500000"/>
    <s v="Activo"/>
    <n v="2500000"/>
    <x v="2"/>
  </r>
  <r>
    <n v="2026"/>
    <n v="4"/>
    <s v="10-04-2026"/>
    <n v="7680"/>
    <s v="1101-04"/>
    <n v="0"/>
    <n v="3306583"/>
    <s v="Bdp previred 23081105329"/>
    <n v="-3306583"/>
    <s v="Activo"/>
    <n v="-3306583"/>
    <x v="2"/>
  </r>
  <r>
    <n v="2026"/>
    <n v="4"/>
    <s v="10-04-2026"/>
    <n v="7680"/>
    <s v="1101-04"/>
    <n v="0"/>
    <n v="6716208"/>
    <s v="Bdp previred 23081105386"/>
    <n v="-6716208"/>
    <s v="Activo"/>
    <n v="-6716208"/>
    <x v="2"/>
  </r>
  <r>
    <n v="2026"/>
    <n v="4"/>
    <s v="10-04-2026"/>
    <n v="7680"/>
    <s v="1101-04"/>
    <n v="0"/>
    <n v="7838588"/>
    <s v="Bdp previred 23081105480"/>
    <n v="-7838588"/>
    <s v="Activo"/>
    <n v="-7838588"/>
    <x v="2"/>
  </r>
  <r>
    <n v="2026"/>
    <n v="4"/>
    <s v="13-04-2026"/>
    <n v="7677"/>
    <s v="1101-04"/>
    <n v="0"/>
    <n v="1113470"/>
    <s v="Centralización pagos abril 2026 #581 - #581"/>
    <n v="-1113470"/>
    <s v="Activo"/>
    <n v="-1113470"/>
    <x v="2"/>
  </r>
  <r>
    <n v="2026"/>
    <n v="4"/>
    <s v="13-04-2026"/>
    <n v="7681"/>
    <s v="1101-04"/>
    <n v="0"/>
    <n v="57415"/>
    <s v="Transf. a tlink spa"/>
    <n v="-57415"/>
    <s v="Activo"/>
    <n v="-57415"/>
    <x v="2"/>
  </r>
  <r>
    <n v="2026"/>
    <n v="4"/>
    <s v="13-04-2026"/>
    <n v="11818"/>
    <s v="1101-04"/>
    <n v="0"/>
    <n v="5000000"/>
    <s v="0765406986 transf. 0207015225"/>
    <n v="-5000000"/>
    <s v="Activo"/>
    <n v="-5000000"/>
    <x v="2"/>
  </r>
  <r>
    <n v="2026"/>
    <n v="4"/>
    <s v="13-04-2026"/>
    <n v="11825"/>
    <s v="1101-04"/>
    <n v="0"/>
    <n v="2000000"/>
    <s v="0765406986 transf. 0207015225"/>
    <n v="-2000000"/>
    <s v="Activo"/>
    <n v="-2000000"/>
    <x v="2"/>
  </r>
  <r>
    <n v="2026"/>
    <n v="4"/>
    <s v="13-04-2026"/>
    <n v="11860"/>
    <s v="1101-04"/>
    <n v="5000000"/>
    <n v="0"/>
    <s v="Transf. de tlink spa"/>
    <n v="5000000"/>
    <s v="Activo"/>
    <n v="5000000"/>
    <x v="2"/>
  </r>
  <r>
    <n v="2026"/>
    <n v="4"/>
    <s v="14-04-2026"/>
    <n v="7682"/>
    <s v="1101-04"/>
    <n v="0"/>
    <n v="2300"/>
    <s v="Pago bdp tgr 23081190307"/>
    <n v="-2300"/>
    <s v="Activo"/>
    <n v="-2300"/>
    <x v="2"/>
  </r>
  <r>
    <n v="2026"/>
    <n v="4"/>
    <s v="16-04-2026"/>
    <n v="7683"/>
    <s v="1101-04"/>
    <n v="0"/>
    <n v="1574905"/>
    <s v="Pago bdp tgr 23081224531"/>
    <n v="-1574905"/>
    <s v="Activo"/>
    <n v="-1574905"/>
    <x v="2"/>
  </r>
  <r>
    <n v="2026"/>
    <n v="4"/>
    <s v="16-04-2026"/>
    <n v="7684"/>
    <s v="1101-04"/>
    <n v="0"/>
    <n v="1906455"/>
    <s v="300161336266 khipu n"/>
    <n v="-1906455"/>
    <s v="Activo"/>
    <n v="-1906455"/>
    <x v="2"/>
  </r>
  <r>
    <n v="2026"/>
    <n v="4"/>
    <s v="16-04-2026"/>
    <n v="11833"/>
    <s v="1101-04"/>
    <n v="0"/>
    <n v="3376784"/>
    <s v="0765406986 transf. 0207015225"/>
    <n v="-3376784"/>
    <s v="Activo"/>
    <n v="-3376784"/>
    <x v="2"/>
  </r>
  <r>
    <n v="2026"/>
    <n v="4"/>
    <s v="16-04-2026"/>
    <n v="11834"/>
    <s v="1101-04"/>
    <n v="0"/>
    <n v="2000000"/>
    <s v="0765406986 transf. 0207015225"/>
    <n v="-2000000"/>
    <s v="Activo"/>
    <n v="-2000000"/>
    <x v="2"/>
  </r>
  <r>
    <n v="2026"/>
    <n v="4"/>
    <s v="16-04-2026"/>
    <n v="11861"/>
    <s v="1101-04"/>
    <n v="2000000"/>
    <n v="0"/>
    <s v="Transf. de tlink spa"/>
    <n v="2000000"/>
    <s v="Activo"/>
    <n v="2000000"/>
    <x v="2"/>
  </r>
  <r>
    <n v="2026"/>
    <n v="4"/>
    <s v="16-04-2026"/>
    <n v="11862"/>
    <s v="1101-04"/>
    <n v="2000000"/>
    <n v="0"/>
    <s v="Transf. de tlink spa"/>
    <n v="2000000"/>
    <s v="Activo"/>
    <n v="2000000"/>
    <x v="2"/>
  </r>
  <r>
    <n v="2026"/>
    <n v="4"/>
    <s v="17-04-2026"/>
    <n v="7685"/>
    <s v="1101-04"/>
    <n v="0"/>
    <n v="2000000"/>
    <s v="Transf. a tlink spa"/>
    <n v="-2000000"/>
    <s v="Activo"/>
    <n v="-2000000"/>
    <x v="2"/>
  </r>
  <r>
    <n v="2026"/>
    <n v="4"/>
    <s v="20-04-2026"/>
    <n v="7629"/>
    <s v="1101-04"/>
    <n v="3581424"/>
    <n v="0"/>
    <s v="0765406986 transf. 0207015225"/>
    <n v="3581424"/>
    <s v="Activo"/>
    <n v="3581424"/>
    <x v="2"/>
  </r>
  <r>
    <n v="2026"/>
    <n v="4"/>
    <s v="20-04-2026"/>
    <n v="7686"/>
    <s v="1101-04"/>
    <n v="0"/>
    <n v="1000000"/>
    <s v="Transf. a tlink spa"/>
    <n v="-1000000"/>
    <s v="Activo"/>
    <n v="-1000000"/>
    <x v="2"/>
  </r>
  <r>
    <n v="2026"/>
    <n v="4"/>
    <s v="21-04-2026"/>
    <n v="7678"/>
    <s v="1101-04"/>
    <n v="0"/>
    <n v="3581424"/>
    <s v="Centralización pagos abril 2026 #582 - #582"/>
    <n v="-3581424"/>
    <s v="Activo"/>
    <n v="-3581424"/>
    <x v="2"/>
  </r>
  <r>
    <n v="2026"/>
    <n v="4"/>
    <s v="27-04-2026"/>
    <n v="7687"/>
    <s v="1101-04"/>
    <n v="0"/>
    <n v="3114382"/>
    <s v="Pago cuota 0237 - tlink spa credito itau 60630876"/>
    <n v="-3114382"/>
    <s v="Activo"/>
    <n v="-3114382"/>
    <x v="2"/>
  </r>
  <r>
    <n v="2026"/>
    <n v="4"/>
    <s v="29-04-2026"/>
    <n v="7688"/>
    <s v="1101-04"/>
    <n v="0"/>
    <n v="1000000"/>
    <s v="Transf. a tlink spa"/>
    <n v="-1000000"/>
    <s v="Activo"/>
    <n v="-1000000"/>
    <x v="2"/>
  </r>
  <r>
    <n v="2026"/>
    <n v="4"/>
    <s v="30-04-2026"/>
    <n v="11863"/>
    <s v="1101-04"/>
    <n v="58017957"/>
    <n v="0"/>
    <s v="Centralización recaudaciones abril 2026 - #3495; 3496; 3497; 3498; 3499; 3500; 3501; 3502; 3503; 3504; 3505; 3506; 3507; 3508; 3509; 3510; 3511; 3512; 3513; 3514; 3515; 3516; 3517; 3518; 3519; 3520; 3521; 3522; 3523; 3524; 3525; 3526; 3527; 3528; 3529; 3530; 3531; 3532; 3533; 3534; 3535; 3536; 3537; 3538; 3539; 3540; 3541; 3542; 3543; 3544; 3545; 3546; 3547;"/>
    <n v="58017957"/>
    <s v="Activo"/>
    <n v="58017957"/>
    <x v="2"/>
  </r>
  <r>
    <n v="2026"/>
    <n v="5"/>
    <s v="04-05-2026"/>
    <n v="7698"/>
    <s v="1101-04"/>
    <n v="0"/>
    <n v="5494703"/>
    <s v="Banco itau pago cuota 1137"/>
    <n v="-5494703"/>
    <s v="Activo"/>
    <n v="-5494703"/>
    <x v="2"/>
  </r>
  <r>
    <n v="2026"/>
    <n v="5"/>
    <s v="04-05-2026"/>
    <n v="11871"/>
    <s v="1101-04"/>
    <n v="1"/>
    <n v="0"/>
    <s v="Transferencia de carrillo re"/>
    <n v="1"/>
    <s v="Activo"/>
    <n v="1"/>
    <x v="2"/>
  </r>
  <r>
    <n v="2026"/>
    <n v="5"/>
    <s v="04-05-2026"/>
    <n v="11874"/>
    <s v="1101-04"/>
    <n v="0"/>
    <n v="5000000"/>
    <s v="0765406986 transf."/>
    <n v="-5000000"/>
    <s v="Activo"/>
    <n v="-5000000"/>
    <x v="2"/>
  </r>
  <r>
    <n v="2026"/>
    <n v="5"/>
    <s v="04-05-2026"/>
    <n v="11875"/>
    <s v="1101-04"/>
    <n v="0"/>
    <n v="5000000"/>
    <s v="0765406986 transf."/>
    <n v="-5000000"/>
    <s v="Activo"/>
    <n v="-5000000"/>
    <x v="2"/>
  </r>
  <r>
    <n v="2026"/>
    <n v="5"/>
    <s v="04-05-2026"/>
    <n v="11878"/>
    <s v="1101-04"/>
    <n v="0"/>
    <n v="4000000"/>
    <s v="0765406986 transf."/>
    <n v="-4000000"/>
    <s v="Activo"/>
    <n v="-4000000"/>
    <x v="2"/>
  </r>
  <r>
    <n v="2026"/>
    <n v="5"/>
    <s v="04-05-2026"/>
    <n v="11879"/>
    <s v="1101-04"/>
    <n v="0"/>
    <n v="4000000"/>
    <s v="0765406986 transf."/>
    <n v="-4000000"/>
    <s v="Activo"/>
    <n v="-4000000"/>
    <x v="2"/>
  </r>
  <r>
    <n v="2026"/>
    <n v="5"/>
    <s v="04-05-2026"/>
    <n v="11880"/>
    <s v="1101-04"/>
    <n v="0"/>
    <n v="1000000"/>
    <s v="0765406986 transf."/>
    <n v="-1000000"/>
    <s v="Activo"/>
    <n v="-1000000"/>
    <x v="2"/>
  </r>
  <r>
    <n v="2026"/>
    <n v="5"/>
    <s v="05-05-2026"/>
    <n v="7700"/>
    <s v="1101-04"/>
    <n v="0"/>
    <n v="7635"/>
    <s v="Pago f 7822368 iatau"/>
    <n v="-7635"/>
    <s v="Activo"/>
    <n v="-7635"/>
    <x v="2"/>
  </r>
  <r>
    <n v="2026"/>
    <n v="5"/>
    <s v="05-05-2026"/>
    <n v="7700"/>
    <s v="1101-04"/>
    <n v="0"/>
    <n v="1451"/>
    <s v="Pago f 7822368 iatau"/>
    <n v="-1451"/>
    <s v="Activo"/>
    <n v="-1451"/>
    <x v="2"/>
  </r>
  <r>
    <n v="2026"/>
    <n v="5"/>
    <s v="05-05-2026"/>
    <n v="11883"/>
    <s v="1101-04"/>
    <n v="0"/>
    <n v="600000"/>
    <s v="0765406986 transf."/>
    <n v="-600000"/>
    <s v="Activo"/>
    <n v="-600000"/>
    <x v="2"/>
  </r>
  <r>
    <n v="2026"/>
    <n v="5"/>
    <s v="05-05-2026"/>
    <n v="11884"/>
    <s v="1101-04"/>
    <n v="0"/>
    <n v="500000"/>
    <s v="0765406986 transf."/>
    <n v="-500000"/>
    <s v="Activo"/>
    <n v="-500000"/>
    <x v="2"/>
  </r>
  <r>
    <n v="2026"/>
    <n v="5"/>
    <s v="06-05-2026"/>
    <n v="7699"/>
    <s v="1101-04"/>
    <n v="1199584"/>
    <n v="0"/>
    <s v="Generico 230434690 transf. a tlink spa"/>
    <n v="1199584"/>
    <s v="Activo"/>
    <n v="1199584"/>
    <x v="2"/>
  </r>
  <r>
    <n v="2026"/>
    <n v="5"/>
    <s v="06-05-2026"/>
    <n v="7699"/>
    <s v="1101-04"/>
    <n v="849782"/>
    <n v="0"/>
    <s v="Generico 230434690 transf. a tlink spa"/>
    <n v="849782"/>
    <s v="Activo"/>
    <n v="849782"/>
    <x v="2"/>
  </r>
  <r>
    <n v="2026"/>
    <n v="5"/>
    <s v="06-05-2026"/>
    <n v="11886"/>
    <s v="1101-04"/>
    <n v="0"/>
    <n v="2000000"/>
    <s v="0765406986 transf."/>
    <n v="-2000000"/>
    <s v="Activo"/>
    <n v="-2000000"/>
    <x v="2"/>
  </r>
  <r>
    <n v="2026"/>
    <n v="5"/>
    <s v="06-05-2026"/>
    <n v="11887"/>
    <s v="1101-04"/>
    <n v="0"/>
    <n v="1199584"/>
    <s v="0765406986 transf."/>
    <n v="-1199584"/>
    <s v="Activo"/>
    <n v="-1199584"/>
    <x v="2"/>
  </r>
  <r>
    <n v="2026"/>
    <n v="5"/>
    <s v="06-05-2026"/>
    <n v="11888"/>
    <s v="1101-04"/>
    <n v="0"/>
    <n v="849782"/>
    <s v="0765406986 transf."/>
    <n v="-849782"/>
    <s v="Activo"/>
    <n v="-849782"/>
    <x v="2"/>
  </r>
  <r>
    <n v="2026"/>
    <n v="5"/>
    <s v="11-05-2026"/>
    <n v="7701"/>
    <s v="1101-04"/>
    <n v="0"/>
    <n v="2000000"/>
    <s v="Generico 230434690 transf. de tlink spa"/>
    <n v="-2000000"/>
    <s v="Activo"/>
    <n v="-2000000"/>
    <x v="2"/>
  </r>
  <r>
    <n v="2026"/>
    <n v="5"/>
    <s v="11-05-2026"/>
    <n v="11895"/>
    <s v="1101-04"/>
    <n v="0"/>
    <n v="4000000"/>
    <s v="0765406986 transf."/>
    <n v="-4000000"/>
    <s v="Activo"/>
    <n v="-4000000"/>
    <x v="2"/>
  </r>
  <r>
    <n v="2026"/>
    <n v="5"/>
    <s v="13-05-2026"/>
    <n v="11901"/>
    <s v="1101-04"/>
    <n v="0"/>
    <n v="2000000"/>
    <s v="0765406986 transf."/>
    <n v="-2000000"/>
    <s v="Activo"/>
    <n v="-2000000"/>
    <x v="2"/>
  </r>
  <r>
    <n v="2026"/>
    <n v="5"/>
    <s v="19-05-2026"/>
    <n v="7702"/>
    <s v="1101-04"/>
    <n v="0"/>
    <n v="49308"/>
    <s v="Pago bdp tgr     23081677346"/>
    <n v="-49308"/>
    <s v="Activo"/>
    <n v="-49308"/>
    <x v="2"/>
  </r>
  <r>
    <n v="2026"/>
    <n v="5"/>
    <s v="25-05-2026"/>
    <n v="7703"/>
    <s v="1101-04"/>
    <n v="0"/>
    <n v="3114382"/>
    <s v="Pago cuota 337 - tlink spa credito itau 60630876 "/>
    <n v="-3114382"/>
    <s v="Activo"/>
    <n v="-3114382"/>
    <x v="2"/>
  </r>
  <r>
    <n v="2026"/>
    <n v="5"/>
    <s v="25-05-2026"/>
    <n v="11931"/>
    <s v="1101-04"/>
    <n v="0"/>
    <n v="2000000"/>
    <s v="0765406986 transf."/>
    <n v="-2000000"/>
    <s v="Activo"/>
    <n v="-2000000"/>
    <x v="2"/>
  </r>
  <r>
    <n v="2026"/>
    <n v="5"/>
    <s v="27-05-2026"/>
    <n v="11937"/>
    <s v="1101-04"/>
    <n v="0"/>
    <n v="3716315"/>
    <s v="0765406986 transf."/>
    <n v="-3716315"/>
    <s v="Activo"/>
    <n v="-3716315"/>
    <x v="2"/>
  </r>
  <r>
    <n v="2026"/>
    <n v="5"/>
    <s v="28-05-2026"/>
    <n v="7704"/>
    <s v="1101-04"/>
    <n v="0"/>
    <n v="1000000"/>
    <s v="Generico 230434690 transf. de tlink spa"/>
    <n v="-1000000"/>
    <s v="Activo"/>
    <n v="-1000000"/>
    <x v="2"/>
  </r>
  <r>
    <n v="2026"/>
    <n v="5"/>
    <s v="28-05-2026"/>
    <n v="11940"/>
    <s v="1101-04"/>
    <n v="0"/>
    <n v="3000000"/>
    <s v="0765406986 transf."/>
    <n v="-3000000"/>
    <s v="Activo"/>
    <n v="-3000000"/>
    <x v="2"/>
  </r>
  <r>
    <n v="2026"/>
    <n v="5"/>
    <s v="29-05-2026"/>
    <n v="7705"/>
    <s v="1101-04"/>
    <n v="0"/>
    <n v="75449"/>
    <s v="Remesa transf extranjero web"/>
    <n v="-75449"/>
    <s v="Activo"/>
    <n v="-75449"/>
    <x v="2"/>
  </r>
  <r>
    <n v="2026"/>
    <n v="5"/>
    <s v="29-05-2026"/>
    <n v="7705"/>
    <s v="1101-04"/>
    <n v="0"/>
    <n v="2172679"/>
    <s v="Remesa transf extranjero web"/>
    <n v="-2172679"/>
    <s v="Activo"/>
    <n v="-2172679"/>
    <x v="2"/>
  </r>
  <r>
    <n v="2026"/>
    <n v="5"/>
    <s v="31-05-2026"/>
    <n v="11872"/>
    <s v="1101-04"/>
    <n v="38544115"/>
    <n v="0"/>
    <s v="Centralización recaudaciones mayo 2026 - #4094; 4095; 4096; 4097; 4098; 4099; 4100; 4101; 4102; 4103; 4104; 4105; 4106; 4107; 4108; 4109; 4110; 4111; 4112; 4113; 4114; 4115; 4116; 4117; 4118; 4119; 4120; 4121; 4122; 4123; 4124; 4125; 4126; 4127; 4128; 4129; 4130; 4131; 4132; 4133; 4134; 4135; 4136; 4137; 4138; 4139; 4140; 4141; 4142; 4143; 4144; 4145; 4146; "/>
    <n v="38544115"/>
    <s v="Activo"/>
    <n v="38544115"/>
    <x v="2"/>
  </r>
  <r>
    <n v="2026"/>
    <n v="6"/>
    <s v="01-06-2026"/>
    <n v="11954"/>
    <s v="1101-04"/>
    <n v="980"/>
    <n v="0"/>
    <s v="Centralización recaudaciones junio 2026 #4660 - #4660"/>
    <n v="980"/>
    <s v="Activo"/>
    <n v="980"/>
    <x v="2"/>
  </r>
  <r>
    <n v="2026"/>
    <n v="6"/>
    <s v="01-06-2026"/>
    <n v="11961"/>
    <s v="1101-04"/>
    <n v="115310"/>
    <n v="0"/>
    <s v="Centralización recaudaciones junio 2026 #4667 - #4667"/>
    <n v="115310"/>
    <s v="Activo"/>
    <n v="115310"/>
    <x v="2"/>
  </r>
  <r>
    <n v="2026"/>
    <n v="6"/>
    <s v="01-06-2026"/>
    <n v="11969"/>
    <s v="1101-04"/>
    <n v="30000"/>
    <n v="0"/>
    <s v="Centralización recaudaciones junio 2026 #4674 - #4674"/>
    <n v="30000"/>
    <s v="Activo"/>
    <n v="30000"/>
    <x v="2"/>
  </r>
  <r>
    <n v="2026"/>
    <n v="6"/>
    <s v="01-06-2026"/>
    <n v="11972"/>
    <s v="1101-04"/>
    <n v="50000"/>
    <n v="0"/>
    <s v="Centralización recaudaciones junio 2026 #4677 - #4677"/>
    <n v="50000"/>
    <s v="Activo"/>
    <n v="50000"/>
    <x v="2"/>
  </r>
  <r>
    <n v="2026"/>
    <n v="6"/>
    <s v="01-06-2026"/>
    <n v="11977"/>
    <s v="1101-04"/>
    <n v="30000"/>
    <n v="0"/>
    <s v="Centralización recaudaciones junio 2026 #4682 - #4682"/>
    <n v="30000"/>
    <s v="Activo"/>
    <n v="30000"/>
    <x v="2"/>
  </r>
  <r>
    <n v="2026"/>
    <n v="6"/>
    <s v="01-06-2026"/>
    <n v="11984"/>
    <s v="1101-04"/>
    <n v="30000"/>
    <n v="0"/>
    <s v="Centralización recaudaciones junio 2026 #4689 - #4689"/>
    <n v="30000"/>
    <s v="Activo"/>
    <n v="30000"/>
    <x v="2"/>
  </r>
  <r>
    <n v="2026"/>
    <n v="6"/>
    <s v="01-06-2026"/>
    <n v="11988"/>
    <s v="1101-04"/>
    <n v="60000"/>
    <n v="0"/>
    <s v="Centralización recaudaciones junio 2026 #4693 - #4693"/>
    <n v="60000"/>
    <s v="Activo"/>
    <n v="60000"/>
    <x v="2"/>
  </r>
  <r>
    <n v="2026"/>
    <n v="6"/>
    <s v="01-06-2026"/>
    <n v="11989"/>
    <s v="1101-04"/>
    <n v="60000"/>
    <n v="0"/>
    <s v="Centralización recaudaciones junio 2026 #4694 - #4694"/>
    <n v="60000"/>
    <s v="Activo"/>
    <n v="60000"/>
    <x v="2"/>
  </r>
  <r>
    <n v="2026"/>
    <n v="6"/>
    <s v="01-06-2026"/>
    <n v="11993"/>
    <s v="1101-04"/>
    <n v="70052"/>
    <n v="0"/>
    <s v="Centralización recaudaciones junio 2026 #4698 - #4698"/>
    <n v="70052"/>
    <s v="Activo"/>
    <n v="70052"/>
    <x v="2"/>
  </r>
  <r>
    <n v="2026"/>
    <n v="6"/>
    <s v="01-06-2026"/>
    <n v="11995"/>
    <s v="1101-04"/>
    <n v="30000"/>
    <n v="0"/>
    <s v="Centralización recaudaciones junio 2026 #4700 - #4700"/>
    <n v="30000"/>
    <s v="Activo"/>
    <n v="30000"/>
    <x v="2"/>
  </r>
  <r>
    <n v="2026"/>
    <n v="6"/>
    <s v="01-06-2026"/>
    <n v="11997"/>
    <s v="1101-04"/>
    <n v="30000"/>
    <n v="0"/>
    <s v="Centralización recaudaciones junio 2026 #4702 - #4702"/>
    <n v="30000"/>
    <s v="Activo"/>
    <n v="30000"/>
    <x v="2"/>
  </r>
  <r>
    <n v="2026"/>
    <n v="6"/>
    <s v="01-06-2026"/>
    <n v="12006"/>
    <s v="1101-04"/>
    <n v="30000"/>
    <n v="0"/>
    <s v="Centralización recaudaciones junio 2026 #4711 - #4711"/>
    <n v="30000"/>
    <s v="Activo"/>
    <n v="30000"/>
    <x v="2"/>
  </r>
  <r>
    <n v="2026"/>
    <n v="6"/>
    <s v="01-06-2026"/>
    <n v="12007"/>
    <s v="1101-04"/>
    <n v="30000"/>
    <n v="0"/>
    <s v="Centralización recaudaciones junio 2026 #4712 - #4712"/>
    <n v="30000"/>
    <s v="Activo"/>
    <n v="30000"/>
    <x v="2"/>
  </r>
  <r>
    <n v="2026"/>
    <n v="6"/>
    <s v="01-06-2026"/>
    <n v="12009"/>
    <s v="1101-04"/>
    <n v="30000"/>
    <n v="0"/>
    <s v="Centralización recaudaciones junio 2026 #4714 - #4714"/>
    <n v="30000"/>
    <s v="Activo"/>
    <n v="30000"/>
    <x v="2"/>
  </r>
  <r>
    <n v="2026"/>
    <n v="6"/>
    <s v="01-06-2026"/>
    <n v="12010"/>
    <s v="1101-04"/>
    <n v="30000"/>
    <n v="0"/>
    <s v="Centralización recaudaciones junio 2026 #4715 - #4715"/>
    <n v="30000"/>
    <s v="Activo"/>
    <n v="30000"/>
    <x v="2"/>
  </r>
  <r>
    <n v="2026"/>
    <n v="6"/>
    <s v="01-06-2026"/>
    <n v="12013"/>
    <s v="1101-04"/>
    <n v="40000"/>
    <n v="0"/>
    <s v="Centralización recaudaciones junio 2026 #4718 - #4718"/>
    <n v="40000"/>
    <s v="Activo"/>
    <n v="40000"/>
    <x v="2"/>
  </r>
  <r>
    <n v="2026"/>
    <n v="6"/>
    <s v="01-06-2026"/>
    <n v="12015"/>
    <s v="1101-04"/>
    <n v="32990"/>
    <n v="0"/>
    <s v="Centralización recaudaciones junio 2026 #4720 - #4720"/>
    <n v="32990"/>
    <s v="Activo"/>
    <n v="32990"/>
    <x v="2"/>
  </r>
  <r>
    <n v="2026"/>
    <n v="6"/>
    <s v="01-06-2026"/>
    <n v="12024"/>
    <s v="1101-04"/>
    <n v="43990"/>
    <n v="0"/>
    <s v="Centralización recaudaciones junio 2026 #4729 - #4729"/>
    <n v="43990"/>
    <s v="Activo"/>
    <n v="43990"/>
    <x v="2"/>
  </r>
  <r>
    <n v="2026"/>
    <n v="6"/>
    <s v="01-06-2026"/>
    <n v="12027"/>
    <s v="1101-04"/>
    <n v="296114"/>
    <n v="0"/>
    <s v="Centralización recaudaciones junio 2026 #4732 - #4732"/>
    <n v="296114"/>
    <s v="Activo"/>
    <n v="296114"/>
    <x v="2"/>
  </r>
  <r>
    <n v="2026"/>
    <n v="6"/>
    <s v="01-06-2026"/>
    <n v="12028"/>
    <s v="1101-04"/>
    <n v="30000"/>
    <n v="0"/>
    <s v="Centralización recaudaciones junio 2026 #4733 - #4733"/>
    <n v="30000"/>
    <s v="Activo"/>
    <n v="30000"/>
    <x v="2"/>
  </r>
  <r>
    <n v="2026"/>
    <n v="6"/>
    <s v="01-06-2026"/>
    <n v="12031"/>
    <s v="1101-04"/>
    <n v="30000"/>
    <n v="0"/>
    <s v="Centralización recaudaciones junio 2026 #4736 - #4736"/>
    <n v="30000"/>
    <s v="Activo"/>
    <n v="30000"/>
    <x v="2"/>
  </r>
  <r>
    <n v="2026"/>
    <n v="6"/>
    <s v="01-06-2026"/>
    <n v="12035"/>
    <s v="1101-04"/>
    <n v="30000"/>
    <n v="0"/>
    <s v="Centralización recaudaciones junio 2026 #4740 - #4740"/>
    <n v="30000"/>
    <s v="Activo"/>
    <n v="30000"/>
    <x v="2"/>
  </r>
  <r>
    <n v="2026"/>
    <n v="6"/>
    <s v="01-06-2026"/>
    <n v="12039"/>
    <s v="1101-04"/>
    <n v="40000"/>
    <n v="0"/>
    <s v="Centralización recaudaciones junio 2026 #4744 - #4744"/>
    <n v="40000"/>
    <s v="Activo"/>
    <n v="40000"/>
    <x v="2"/>
  </r>
  <r>
    <n v="2026"/>
    <n v="6"/>
    <s v="01-06-2026"/>
    <n v="12040"/>
    <s v="1101-04"/>
    <n v="30000"/>
    <n v="0"/>
    <s v="Centralización recaudaciones junio 2026 #4745 - #4745"/>
    <n v="30000"/>
    <s v="Activo"/>
    <n v="30000"/>
    <x v="2"/>
  </r>
  <r>
    <n v="2026"/>
    <n v="6"/>
    <s v="01-06-2026"/>
    <n v="12044"/>
    <s v="1101-04"/>
    <n v="33990"/>
    <n v="0"/>
    <s v="Centralización recaudaciones junio 2026 #4749 - #4749"/>
    <n v="33990"/>
    <s v="Activo"/>
    <n v="33990"/>
    <x v="2"/>
  </r>
  <r>
    <n v="2026"/>
    <n v="6"/>
    <s v="01-06-2026"/>
    <n v="12047"/>
    <s v="1101-04"/>
    <n v="30000"/>
    <n v="0"/>
    <s v="Centralización recaudaciones junio 2026 #4752 - #4752"/>
    <n v="30000"/>
    <s v="Activo"/>
    <n v="30000"/>
    <x v="2"/>
  </r>
  <r>
    <n v="2026"/>
    <n v="6"/>
    <s v="01-06-2026"/>
    <n v="12049"/>
    <s v="1101-04"/>
    <n v="30000"/>
    <n v="0"/>
    <s v="Centralización recaudaciones junio 2026 #4754 - #4754"/>
    <n v="30000"/>
    <s v="Activo"/>
    <n v="30000"/>
    <x v="2"/>
  </r>
  <r>
    <n v="2026"/>
    <n v="6"/>
    <s v="01-06-2026"/>
    <n v="12050"/>
    <s v="1101-04"/>
    <n v="30000"/>
    <n v="0"/>
    <s v="Centralización recaudaciones junio 2026 #4755 - #4755"/>
    <n v="30000"/>
    <s v="Activo"/>
    <n v="30000"/>
    <x v="2"/>
  </r>
  <r>
    <n v="2026"/>
    <n v="6"/>
    <s v="01-06-2026"/>
    <n v="12051"/>
    <s v="1101-04"/>
    <n v="40000"/>
    <n v="0"/>
    <s v="Centralización recaudaciones junio 2026 #4756 - #4756"/>
    <n v="40000"/>
    <s v="Activo"/>
    <n v="40000"/>
    <x v="2"/>
  </r>
  <r>
    <n v="2026"/>
    <n v="6"/>
    <s v="01-06-2026"/>
    <n v="12055"/>
    <s v="1101-04"/>
    <n v="21990"/>
    <n v="0"/>
    <s v="Centralización recaudaciones junio 2026 #4760 - #4760"/>
    <n v="21990"/>
    <s v="Activo"/>
    <n v="21990"/>
    <x v="2"/>
  </r>
  <r>
    <n v="2026"/>
    <n v="6"/>
    <s v="01-06-2026"/>
    <n v="12060"/>
    <s v="1101-04"/>
    <n v="21990"/>
    <n v="0"/>
    <s v="Centralización recaudaciones junio 2026 #4765 - #4765"/>
    <n v="21990"/>
    <s v="Activo"/>
    <n v="21990"/>
    <x v="2"/>
  </r>
  <r>
    <n v="2026"/>
    <n v="6"/>
    <s v="01-06-2026"/>
    <n v="12075"/>
    <s v="1101-04"/>
    <n v="101990"/>
    <n v="0"/>
    <s v="Centralización recaudaciones junio 2026 #5272 - #5272"/>
    <n v="101990"/>
    <s v="Activo"/>
    <n v="101990"/>
    <x v="2"/>
  </r>
  <r>
    <n v="2026"/>
    <n v="6"/>
    <s v="01-06-2026"/>
    <n v="12085"/>
    <s v="1101-04"/>
    <n v="30000"/>
    <n v="0"/>
    <s v="Centralización recaudaciones junio 2026 #4788 - #4788"/>
    <n v="30000"/>
    <s v="Activo"/>
    <n v="30000"/>
    <x v="2"/>
  </r>
  <r>
    <n v="2026"/>
    <n v="6"/>
    <s v="01-06-2026"/>
    <n v="12090"/>
    <s v="1101-04"/>
    <n v="30000"/>
    <n v="0"/>
    <s v="Centralización recaudaciones junio 2026 #4793 - #4793"/>
    <n v="30000"/>
    <s v="Activo"/>
    <n v="30000"/>
    <x v="2"/>
  </r>
  <r>
    <n v="2026"/>
    <n v="6"/>
    <s v="01-06-2026"/>
    <n v="12092"/>
    <s v="1101-04"/>
    <n v="90000"/>
    <n v="0"/>
    <s v="Centralización recaudaciones junio 2026 #4795 - #4795"/>
    <n v="90000"/>
    <s v="Activo"/>
    <n v="90000"/>
    <x v="2"/>
  </r>
  <r>
    <n v="2026"/>
    <n v="6"/>
    <s v="01-06-2026"/>
    <n v="12100"/>
    <s v="1101-04"/>
    <n v="33990"/>
    <n v="0"/>
    <s v="Centralización recaudaciones junio 2026 #4803 - #4803"/>
    <n v="33990"/>
    <s v="Activo"/>
    <n v="33990"/>
    <x v="2"/>
  </r>
  <r>
    <n v="2026"/>
    <n v="6"/>
    <s v="01-06-2026"/>
    <n v="12106"/>
    <s v="1101-04"/>
    <n v="21990"/>
    <n v="0"/>
    <s v="Centralización recaudaciones junio 2026 #4809 - #4809"/>
    <n v="21990"/>
    <s v="Activo"/>
    <n v="21990"/>
    <x v="2"/>
  </r>
  <r>
    <n v="2026"/>
    <n v="6"/>
    <s v="01-06-2026"/>
    <n v="12108"/>
    <s v="1101-04"/>
    <n v="30000"/>
    <n v="0"/>
    <s v="Centralización recaudaciones junio 2026 #4811 - #4811"/>
    <n v="30000"/>
    <s v="Activo"/>
    <n v="30000"/>
    <x v="2"/>
  </r>
  <r>
    <n v="2026"/>
    <n v="6"/>
    <s v="01-06-2026"/>
    <n v="12113"/>
    <s v="1101-04"/>
    <n v="30000"/>
    <n v="0"/>
    <s v="Centralización recaudaciones junio 2026 #4816 - #4816"/>
    <n v="30000"/>
    <s v="Activo"/>
    <n v="30000"/>
    <x v="2"/>
  </r>
  <r>
    <n v="2026"/>
    <n v="6"/>
    <s v="01-06-2026"/>
    <n v="12120"/>
    <s v="1101-04"/>
    <n v="47960"/>
    <n v="0"/>
    <s v="Centralización recaudaciones junio 2026 #4823 - #4823"/>
    <n v="47960"/>
    <s v="Activo"/>
    <n v="47960"/>
    <x v="2"/>
  </r>
  <r>
    <n v="2026"/>
    <n v="6"/>
    <s v="01-06-2026"/>
    <n v="12122"/>
    <s v="1101-04"/>
    <n v="5000"/>
    <n v="0"/>
    <s v="Centralización recaudaciones junio 2026 #4825 - #4825"/>
    <n v="5000"/>
    <s v="Activo"/>
    <n v="5000"/>
    <x v="2"/>
  </r>
  <r>
    <n v="2026"/>
    <n v="6"/>
    <s v="01-06-2026"/>
    <n v="12123"/>
    <s v="1101-04"/>
    <n v="38000"/>
    <n v="0"/>
    <s v="Centralización recaudaciones junio 2026 #4826 - #4826"/>
    <n v="38000"/>
    <s v="Activo"/>
    <n v="38000"/>
    <x v="2"/>
  </r>
  <r>
    <n v="2026"/>
    <n v="6"/>
    <s v="01-06-2026"/>
    <n v="12124"/>
    <s v="1101-04"/>
    <n v="40000"/>
    <n v="0"/>
    <s v="Centralización recaudaciones junio 2026 #4827 - #4827"/>
    <n v="40000"/>
    <s v="Activo"/>
    <n v="40000"/>
    <x v="2"/>
  </r>
  <r>
    <n v="2026"/>
    <n v="6"/>
    <s v="01-06-2026"/>
    <n v="12125"/>
    <s v="1101-04"/>
    <n v="64000"/>
    <n v="0"/>
    <s v="Centralización recaudaciones junio 2026 #4828 - #4828"/>
    <n v="64000"/>
    <s v="Activo"/>
    <n v="64000"/>
    <x v="2"/>
  </r>
  <r>
    <n v="2026"/>
    <n v="6"/>
    <s v="01-06-2026"/>
    <n v="12127"/>
    <s v="1101-04"/>
    <n v="30000"/>
    <n v="0"/>
    <s v="Centralización recaudaciones junio 2026 #4830 - #4830"/>
    <n v="30000"/>
    <s v="Activo"/>
    <n v="30000"/>
    <x v="2"/>
  </r>
  <r>
    <n v="2026"/>
    <n v="6"/>
    <s v="01-06-2026"/>
    <n v="12129"/>
    <s v="1101-04"/>
    <n v="29980"/>
    <n v="0"/>
    <s v="Centralización recaudaciones junio 2026 #4832 - #4832"/>
    <n v="29980"/>
    <s v="Activo"/>
    <n v="29980"/>
    <x v="2"/>
  </r>
  <r>
    <n v="2026"/>
    <n v="6"/>
    <s v="01-06-2026"/>
    <n v="12130"/>
    <s v="1101-04"/>
    <n v="50000"/>
    <n v="0"/>
    <s v="Centralización recaudaciones junio 2026 #4833 - #4833"/>
    <n v="50000"/>
    <s v="Activo"/>
    <n v="50000"/>
    <x v="2"/>
  </r>
  <r>
    <n v="2026"/>
    <n v="6"/>
    <s v="01-06-2026"/>
    <n v="12132"/>
    <s v="1101-04"/>
    <n v="33990"/>
    <n v="0"/>
    <s v="Centralización recaudaciones junio 2026 #4835 - #4835"/>
    <n v="33990"/>
    <s v="Activo"/>
    <n v="33990"/>
    <x v="2"/>
  </r>
  <r>
    <n v="2026"/>
    <n v="6"/>
    <s v="01-06-2026"/>
    <n v="12141"/>
    <s v="1101-04"/>
    <n v="30000"/>
    <n v="0"/>
    <s v="Centralización recaudaciones junio 2026 #4844 - #4844"/>
    <n v="30000"/>
    <s v="Activo"/>
    <n v="30000"/>
    <x v="2"/>
  </r>
  <r>
    <n v="2026"/>
    <n v="6"/>
    <s v="01-06-2026"/>
    <n v="12145"/>
    <s v="1101-04"/>
    <n v="30000"/>
    <n v="0"/>
    <s v="Centralización recaudaciones junio 2026 #4848 - #4848"/>
    <n v="30000"/>
    <s v="Activo"/>
    <n v="30000"/>
    <x v="2"/>
  </r>
  <r>
    <n v="2026"/>
    <n v="6"/>
    <s v="01-06-2026"/>
    <n v="12149"/>
    <s v="1101-04"/>
    <n v="30000"/>
    <n v="0"/>
    <s v="Centralización recaudaciones junio 2026 #4852 - #4852"/>
    <n v="30000"/>
    <s v="Activo"/>
    <n v="30000"/>
    <x v="2"/>
  </r>
  <r>
    <n v="2026"/>
    <n v="6"/>
    <s v="01-06-2026"/>
    <n v="12150"/>
    <s v="1101-04"/>
    <n v="36990"/>
    <n v="0"/>
    <s v="Centralización recaudaciones junio 2026 #4853 - #4853"/>
    <n v="36990"/>
    <s v="Activo"/>
    <n v="36990"/>
    <x v="2"/>
  </r>
  <r>
    <n v="2026"/>
    <n v="6"/>
    <s v="01-06-2026"/>
    <n v="12160"/>
    <s v="1101-04"/>
    <n v="35970"/>
    <n v="0"/>
    <s v="Centralización recaudaciones junio 2026 #4863 - #4863"/>
    <n v="35970"/>
    <s v="Activo"/>
    <n v="35970"/>
    <x v="2"/>
  </r>
  <r>
    <n v="2026"/>
    <n v="6"/>
    <s v="01-06-2026"/>
    <n v="12168"/>
    <s v="1101-04"/>
    <n v="30000"/>
    <n v="0"/>
    <s v="Centralización recaudaciones junio 2026 #4871 - #4871"/>
    <n v="30000"/>
    <s v="Activo"/>
    <n v="30000"/>
    <x v="2"/>
  </r>
  <r>
    <n v="2026"/>
    <n v="6"/>
    <s v="01-06-2026"/>
    <n v="12171"/>
    <s v="1101-04"/>
    <n v="21990"/>
    <n v="0"/>
    <s v="Centralización recaudaciones junio 2026 #4874 - #4874"/>
    <n v="21990"/>
    <s v="Activo"/>
    <n v="21990"/>
    <x v="2"/>
  </r>
  <r>
    <n v="2026"/>
    <n v="6"/>
    <s v="01-06-2026"/>
    <n v="12172"/>
    <s v="1101-04"/>
    <n v="21990"/>
    <n v="0"/>
    <s v="Centralización recaudaciones junio 2026 #4875 - #4875"/>
    <n v="21990"/>
    <s v="Activo"/>
    <n v="21990"/>
    <x v="2"/>
  </r>
  <r>
    <n v="2026"/>
    <n v="6"/>
    <s v="01-06-2026"/>
    <n v="12188"/>
    <s v="1101-04"/>
    <n v="43980"/>
    <n v="0"/>
    <s v="Centralización recaudaciones junio 2026 #4891 - #4891"/>
    <n v="43980"/>
    <s v="Activo"/>
    <n v="43980"/>
    <x v="2"/>
  </r>
  <r>
    <n v="2026"/>
    <n v="6"/>
    <s v="01-06-2026"/>
    <n v="12190"/>
    <s v="1101-04"/>
    <n v="14990"/>
    <n v="0"/>
    <s v="Centralización recaudaciones junio 2026 #4893 - #4893"/>
    <n v="14990"/>
    <s v="Activo"/>
    <n v="14990"/>
    <x v="2"/>
  </r>
  <r>
    <n v="2026"/>
    <n v="6"/>
    <s v="01-06-2026"/>
    <n v="12194"/>
    <s v="1101-04"/>
    <n v="172160"/>
    <n v="0"/>
    <s v="Centralización recaudaciones junio 2026 #4897 - #4897"/>
    <n v="172160"/>
    <s v="Activo"/>
    <n v="172160"/>
    <x v="2"/>
  </r>
  <r>
    <n v="2026"/>
    <n v="6"/>
    <s v="01-06-2026"/>
    <n v="12195"/>
    <s v="1101-04"/>
    <n v="21990"/>
    <n v="0"/>
    <s v="Centralización recaudaciones junio 2026 #4898 - #4898"/>
    <n v="21990"/>
    <s v="Activo"/>
    <n v="21990"/>
    <x v="2"/>
  </r>
  <r>
    <n v="2026"/>
    <n v="6"/>
    <s v="01-06-2026"/>
    <n v="12197"/>
    <s v="1101-04"/>
    <n v="22990"/>
    <n v="0"/>
    <s v="Centralización recaudaciones junio 2026 #4900 - #4900"/>
    <n v="22990"/>
    <s v="Activo"/>
    <n v="22990"/>
    <x v="2"/>
  </r>
  <r>
    <n v="2026"/>
    <n v="6"/>
    <s v="01-06-2026"/>
    <n v="12227"/>
    <s v="1101-04"/>
    <n v="14990"/>
    <n v="0"/>
    <s v="Centralización recaudaciones junio 2026 #4930 - #4930"/>
    <n v="14990"/>
    <s v="Activo"/>
    <n v="14990"/>
    <x v="2"/>
  </r>
  <r>
    <n v="2026"/>
    <n v="6"/>
    <s v="01-06-2026"/>
    <n v="12228"/>
    <s v="1101-04"/>
    <n v="34990"/>
    <n v="0"/>
    <s v="Centralización recaudaciones junio 2026 #4931 - #4931"/>
    <n v="34990"/>
    <s v="Activo"/>
    <n v="34990"/>
    <x v="2"/>
  </r>
  <r>
    <n v="2026"/>
    <n v="6"/>
    <s v="01-06-2026"/>
    <n v="12240"/>
    <s v="1101-04"/>
    <n v="19990"/>
    <n v="0"/>
    <s v="Centralización recaudaciones junio 2026 #4943 - #4943"/>
    <n v="19990"/>
    <s v="Activo"/>
    <n v="19990"/>
    <x v="2"/>
  </r>
  <r>
    <n v="2026"/>
    <n v="6"/>
    <s v="01-06-2026"/>
    <n v="12243"/>
    <s v="1101-04"/>
    <n v="28990"/>
    <n v="0"/>
    <s v="Centralización recaudaciones junio 2026 #4946 - #4946"/>
    <n v="28990"/>
    <s v="Activo"/>
    <n v="28990"/>
    <x v="2"/>
  </r>
  <r>
    <n v="2026"/>
    <n v="6"/>
    <s v="01-06-2026"/>
    <n v="12245"/>
    <s v="1101-04"/>
    <n v="40960"/>
    <n v="0"/>
    <s v="Centralización recaudaciones junio 2026 #4948 - #4948"/>
    <n v="40960"/>
    <s v="Activo"/>
    <n v="40960"/>
    <x v="2"/>
  </r>
  <r>
    <n v="2026"/>
    <n v="6"/>
    <s v="01-06-2026"/>
    <n v="12246"/>
    <s v="1101-04"/>
    <n v="40000"/>
    <n v="0"/>
    <s v="Centralización recaudaciones junio 2026 #4949 - #4949"/>
    <n v="40000"/>
    <s v="Activo"/>
    <n v="40000"/>
    <x v="2"/>
  </r>
  <r>
    <n v="2026"/>
    <n v="6"/>
    <s v="01-06-2026"/>
    <n v="12249"/>
    <s v="1101-04"/>
    <n v="21990"/>
    <n v="0"/>
    <s v="Centralización recaudaciones junio 2026 #4952 - #4952"/>
    <n v="21990"/>
    <s v="Activo"/>
    <n v="21990"/>
    <x v="2"/>
  </r>
  <r>
    <n v="2026"/>
    <n v="6"/>
    <s v="01-06-2026"/>
    <n v="12255"/>
    <s v="1101-04"/>
    <n v="30000"/>
    <n v="0"/>
    <s v="Centralización recaudaciones junio 2026 #4958 - #4958"/>
    <n v="30000"/>
    <s v="Activo"/>
    <n v="30000"/>
    <x v="2"/>
  </r>
  <r>
    <n v="2026"/>
    <n v="6"/>
    <s v="01-06-2026"/>
    <n v="12257"/>
    <s v="1101-04"/>
    <n v="60000"/>
    <n v="0"/>
    <s v="Centralización recaudaciones junio 2026 #4960 - #4960"/>
    <n v="60000"/>
    <s v="Activo"/>
    <n v="60000"/>
    <x v="2"/>
  </r>
  <r>
    <n v="2026"/>
    <n v="6"/>
    <s v="01-06-2026"/>
    <n v="12262"/>
    <s v="1101-04"/>
    <n v="6736"/>
    <n v="0"/>
    <s v="Centralización recaudaciones junio 2026 #4965 - #4965"/>
    <n v="6736"/>
    <s v="Activo"/>
    <n v="6736"/>
    <x v="2"/>
  </r>
  <r>
    <n v="2026"/>
    <n v="6"/>
    <s v="01-06-2026"/>
    <n v="12266"/>
    <s v="1101-04"/>
    <n v="26990"/>
    <n v="0"/>
    <s v="Centralización recaudaciones junio 2026 #4969 - #4969"/>
    <n v="26990"/>
    <s v="Activo"/>
    <n v="26990"/>
    <x v="2"/>
  </r>
  <r>
    <n v="2026"/>
    <n v="6"/>
    <s v="01-06-2026"/>
    <n v="12278"/>
    <s v="1101-04"/>
    <n v="14989"/>
    <n v="0"/>
    <s v="Centralización recaudaciones junio 2026 #4981 - #4981"/>
    <n v="14989"/>
    <s v="Activo"/>
    <n v="14989"/>
    <x v="2"/>
  </r>
  <r>
    <n v="2026"/>
    <n v="6"/>
    <s v="01-06-2026"/>
    <n v="12279"/>
    <s v="1101-04"/>
    <n v="24990"/>
    <n v="0"/>
    <s v="Centralización recaudaciones junio 2026 #4982 - #4982"/>
    <n v="24990"/>
    <s v="Activo"/>
    <n v="24990"/>
    <x v="2"/>
  </r>
  <r>
    <n v="2026"/>
    <n v="6"/>
    <s v="01-06-2026"/>
    <n v="12290"/>
    <s v="1101-04"/>
    <n v="17990"/>
    <n v="0"/>
    <s v="Centralización recaudaciones junio 2026 #4993 - #4993"/>
    <n v="17990"/>
    <s v="Activo"/>
    <n v="17990"/>
    <x v="2"/>
  </r>
  <r>
    <n v="2026"/>
    <n v="6"/>
    <s v="01-06-2026"/>
    <n v="12292"/>
    <s v="1101-04"/>
    <n v="70000"/>
    <n v="0"/>
    <s v="Centralización recaudaciones junio 2026 #4995 - #4995"/>
    <n v="70000"/>
    <s v="Activo"/>
    <n v="70000"/>
    <x v="2"/>
  </r>
  <r>
    <n v="2026"/>
    <n v="6"/>
    <s v="01-06-2026"/>
    <n v="12297"/>
    <s v="1101-04"/>
    <n v="14990"/>
    <n v="0"/>
    <s v="Centralización recaudaciones junio 2026 #5000 - #5000"/>
    <n v="14990"/>
    <s v="Activo"/>
    <n v="14990"/>
    <x v="2"/>
  </r>
  <r>
    <n v="2026"/>
    <n v="6"/>
    <s v="01-06-2026"/>
    <n v="12300"/>
    <s v="1101-04"/>
    <n v="35000"/>
    <n v="0"/>
    <s v="Centralización recaudaciones junio 2026 #5003 - #5003"/>
    <n v="35000"/>
    <s v="Activo"/>
    <n v="35000"/>
    <x v="2"/>
  </r>
  <r>
    <n v="2026"/>
    <n v="6"/>
    <s v="01-06-2026"/>
    <n v="12302"/>
    <s v="1101-04"/>
    <n v="21990"/>
    <n v="0"/>
    <s v="Centralización recaudaciones junio 2026 #5005 - #5005"/>
    <n v="21990"/>
    <s v="Activo"/>
    <n v="21990"/>
    <x v="2"/>
  </r>
  <r>
    <n v="2026"/>
    <n v="6"/>
    <s v="01-06-2026"/>
    <n v="12303"/>
    <s v="1101-04"/>
    <n v="22990"/>
    <n v="0"/>
    <s v="Centralización recaudaciones junio 2026 #5006 - #5006"/>
    <n v="22990"/>
    <s v="Activo"/>
    <n v="22990"/>
    <x v="2"/>
  </r>
  <r>
    <n v="2026"/>
    <n v="6"/>
    <s v="01-06-2026"/>
    <n v="12304"/>
    <s v="1101-04"/>
    <n v="51990"/>
    <n v="0"/>
    <s v="Centralización recaudaciones junio 2026 #5007 - #5007"/>
    <n v="51990"/>
    <s v="Activo"/>
    <n v="51990"/>
    <x v="2"/>
  </r>
  <r>
    <n v="2026"/>
    <n v="6"/>
    <s v="01-06-2026"/>
    <n v="12308"/>
    <s v="1101-04"/>
    <n v="48970"/>
    <n v="0"/>
    <s v="Centralización recaudaciones junio 2026 #5011 - #5011"/>
    <n v="48970"/>
    <s v="Activo"/>
    <n v="48970"/>
    <x v="2"/>
  </r>
  <r>
    <n v="2026"/>
    <n v="6"/>
    <s v="01-06-2026"/>
    <n v="12312"/>
    <s v="1101-04"/>
    <n v="46990"/>
    <n v="0"/>
    <s v="Centralización recaudaciones junio 2026 #5015 - #5015"/>
    <n v="46990"/>
    <s v="Activo"/>
    <n v="46990"/>
    <x v="2"/>
  </r>
  <r>
    <n v="2026"/>
    <n v="6"/>
    <s v="01-06-2026"/>
    <n v="12313"/>
    <s v="1101-04"/>
    <n v="39990"/>
    <n v="0"/>
    <s v="Centralización recaudaciones junio 2026 #5016 - #5016"/>
    <n v="39990"/>
    <s v="Activo"/>
    <n v="39990"/>
    <x v="2"/>
  </r>
  <r>
    <n v="2026"/>
    <n v="6"/>
    <s v="01-06-2026"/>
    <n v="12315"/>
    <s v="1101-04"/>
    <n v="36990"/>
    <n v="0"/>
    <s v="Centralización recaudaciones junio 2026 #5018 - #5018"/>
    <n v="36990"/>
    <s v="Activo"/>
    <n v="36990"/>
    <x v="2"/>
  </r>
  <r>
    <n v="2026"/>
    <n v="6"/>
    <s v="01-06-2026"/>
    <n v="12316"/>
    <s v="1101-04"/>
    <n v="480456"/>
    <n v="0"/>
    <s v="Centralización recaudaciones junio 2026 #5019 - #5019"/>
    <n v="480456"/>
    <s v="Activo"/>
    <n v="480456"/>
    <x v="2"/>
  </r>
  <r>
    <n v="2026"/>
    <n v="6"/>
    <s v="01-06-2026"/>
    <n v="12317"/>
    <s v="1101-04"/>
    <n v="14990"/>
    <n v="0"/>
    <s v="Centralización recaudaciones junio 2026 #5020 - #5020"/>
    <n v="14990"/>
    <s v="Activo"/>
    <n v="14990"/>
    <x v="2"/>
  </r>
  <r>
    <n v="2026"/>
    <n v="6"/>
    <s v="01-06-2026"/>
    <n v="12332"/>
    <s v="1101-04"/>
    <n v="50000"/>
    <n v="0"/>
    <s v="Centralización recaudaciones junio 2026 #5035 - #5035"/>
    <n v="50000"/>
    <s v="Activo"/>
    <n v="50000"/>
    <x v="2"/>
  </r>
  <r>
    <n v="2026"/>
    <n v="6"/>
    <s v="01-06-2026"/>
    <n v="12333"/>
    <s v="1101-04"/>
    <n v="50000"/>
    <n v="0"/>
    <s v="Centralización recaudaciones junio 2026 #5036 - #5036"/>
    <n v="50000"/>
    <s v="Activo"/>
    <n v="50000"/>
    <x v="2"/>
  </r>
  <r>
    <n v="2026"/>
    <n v="6"/>
    <s v="01-06-2026"/>
    <n v="12335"/>
    <s v="1101-04"/>
    <n v="39990"/>
    <n v="0"/>
    <s v="Centralización recaudaciones junio 2026 #5038 - #5038"/>
    <n v="39990"/>
    <s v="Activo"/>
    <n v="39990"/>
    <x v="2"/>
  </r>
  <r>
    <n v="2026"/>
    <n v="6"/>
    <s v="01-06-2026"/>
    <n v="12337"/>
    <s v="1101-04"/>
    <n v="33980"/>
    <n v="0"/>
    <s v="Centralización recaudaciones junio 2026 #5040 - #5040"/>
    <n v="33980"/>
    <s v="Activo"/>
    <n v="33980"/>
    <x v="2"/>
  </r>
  <r>
    <n v="2026"/>
    <n v="6"/>
    <s v="01-06-2026"/>
    <n v="12339"/>
    <s v="1101-04"/>
    <n v="29404"/>
    <n v="0"/>
    <s v="Centralización recaudaciones junio 2026 #5042 - #5042"/>
    <n v="29404"/>
    <s v="Activo"/>
    <n v="29404"/>
    <x v="2"/>
  </r>
  <r>
    <n v="2026"/>
    <n v="6"/>
    <s v="01-06-2026"/>
    <n v="12347"/>
    <s v="1101-04"/>
    <n v="28990"/>
    <n v="0"/>
    <s v="Centralización recaudaciones junio 2026 #5050 - #5050"/>
    <n v="28990"/>
    <s v="Activo"/>
    <n v="28990"/>
    <x v="2"/>
  </r>
  <r>
    <n v="2026"/>
    <n v="6"/>
    <s v="01-06-2026"/>
    <n v="12350"/>
    <s v="1101-04"/>
    <n v="200789"/>
    <n v="0"/>
    <s v="Centralización recaudaciones junio 2026 #5053 - #5053"/>
    <n v="200789"/>
    <s v="Activo"/>
    <n v="200789"/>
    <x v="2"/>
  </r>
  <r>
    <n v="2026"/>
    <n v="6"/>
    <s v="01-06-2026"/>
    <n v="12355"/>
    <s v="1101-04"/>
    <n v="84000"/>
    <n v="0"/>
    <s v="Centralización recaudaciones junio 2026 #5058 - #5058"/>
    <n v="84000"/>
    <s v="Activo"/>
    <n v="84000"/>
    <x v="2"/>
  </r>
  <r>
    <n v="2026"/>
    <n v="6"/>
    <s v="01-06-2026"/>
    <n v="12362"/>
    <s v="1101-04"/>
    <n v="24990"/>
    <n v="0"/>
    <s v="Centralización recaudaciones junio 2026 #5065 - #5065"/>
    <n v="24990"/>
    <s v="Activo"/>
    <n v="24990"/>
    <x v="2"/>
  </r>
  <r>
    <n v="2026"/>
    <n v="6"/>
    <s v="01-06-2026"/>
    <n v="12380"/>
    <s v="1101-04"/>
    <n v="64000"/>
    <n v="0"/>
    <s v="Centralización recaudaciones junio 2026 #5083 - #5083"/>
    <n v="64000"/>
    <s v="Activo"/>
    <n v="64000"/>
    <x v="2"/>
  </r>
  <r>
    <n v="2026"/>
    <n v="6"/>
    <s v="01-06-2026"/>
    <n v="12382"/>
    <s v="1101-04"/>
    <n v="36990"/>
    <n v="0"/>
    <s v="Centralización recaudaciones junio 2026 #5085 - #5085"/>
    <n v="36990"/>
    <s v="Activo"/>
    <n v="36990"/>
    <x v="2"/>
  </r>
  <r>
    <n v="2026"/>
    <n v="6"/>
    <s v="01-06-2026"/>
    <n v="12387"/>
    <s v="1101-04"/>
    <n v="30000"/>
    <n v="0"/>
    <s v="Centralización recaudaciones junio 2026 #5090 - #5090"/>
    <n v="30000"/>
    <s v="Activo"/>
    <n v="30000"/>
    <x v="2"/>
  </r>
  <r>
    <n v="2026"/>
    <n v="6"/>
    <s v="01-06-2026"/>
    <n v="12390"/>
    <s v="1101-04"/>
    <n v="17990"/>
    <n v="0"/>
    <s v="Centralización recaudaciones junio 2026 #5093 - #5093"/>
    <n v="17990"/>
    <s v="Activo"/>
    <n v="17990"/>
    <x v="2"/>
  </r>
  <r>
    <n v="2026"/>
    <n v="6"/>
    <s v="01-06-2026"/>
    <n v="12427"/>
    <s v="1101-04"/>
    <n v="30000"/>
    <n v="0"/>
    <s v="Centralización recaudaciones junio 2026 #5130 - #5130"/>
    <n v="30000"/>
    <s v="Activo"/>
    <n v="30000"/>
    <x v="2"/>
  </r>
  <r>
    <n v="2026"/>
    <n v="6"/>
    <s v="01-06-2026"/>
    <n v="12430"/>
    <s v="1101-04"/>
    <n v="16990"/>
    <n v="0"/>
    <s v="Centralización recaudaciones junio 2026 #5133 - #5133"/>
    <n v="16990"/>
    <s v="Activo"/>
    <n v="16990"/>
    <x v="2"/>
  </r>
  <r>
    <n v="2026"/>
    <n v="6"/>
    <s v="01-06-2026"/>
    <n v="12431"/>
    <s v="1101-04"/>
    <n v="14990"/>
    <n v="0"/>
    <s v="Centralización recaudaciones junio 2026 #5134 - #5134"/>
    <n v="14990"/>
    <s v="Activo"/>
    <n v="14990"/>
    <x v="2"/>
  </r>
  <r>
    <n v="2026"/>
    <n v="6"/>
    <s v="01-06-2026"/>
    <n v="12444"/>
    <s v="1101-04"/>
    <n v="30000"/>
    <n v="0"/>
    <s v="Centralización recaudaciones junio 2026 #5147 - #5147"/>
    <n v="30000"/>
    <s v="Activo"/>
    <n v="30000"/>
    <x v="2"/>
  </r>
  <r>
    <n v="2026"/>
    <n v="6"/>
    <s v="01-06-2026"/>
    <n v="12448"/>
    <s v="1101-04"/>
    <n v="33990"/>
    <n v="0"/>
    <s v="Centralización recaudaciones junio 2026 #5151 - #5151"/>
    <n v="33990"/>
    <s v="Activo"/>
    <n v="33990"/>
    <x v="2"/>
  </r>
  <r>
    <n v="2026"/>
    <n v="6"/>
    <s v="01-06-2026"/>
    <n v="12449"/>
    <s v="1101-04"/>
    <n v="28990"/>
    <n v="0"/>
    <s v="Centralización recaudaciones junio 2026 #5152 - #5152"/>
    <n v="28990"/>
    <s v="Activo"/>
    <n v="28990"/>
    <x v="2"/>
  </r>
  <r>
    <n v="2026"/>
    <n v="6"/>
    <s v="01-06-2026"/>
    <n v="12458"/>
    <s v="1101-04"/>
    <n v="28990"/>
    <n v="0"/>
    <s v="Centralización recaudaciones junio 2026 #5161 - #5161"/>
    <n v="28990"/>
    <s v="Activo"/>
    <n v="28990"/>
    <x v="2"/>
  </r>
  <r>
    <n v="2026"/>
    <n v="6"/>
    <s v="01-06-2026"/>
    <n v="12459"/>
    <s v="1101-04"/>
    <n v="8566"/>
    <n v="0"/>
    <s v="Centralización recaudaciones junio 2026 #5273 - #5273"/>
    <n v="8566"/>
    <s v="Activo"/>
    <n v="8566"/>
    <x v="2"/>
  </r>
  <r>
    <n v="2026"/>
    <n v="6"/>
    <s v="01-06-2026"/>
    <n v="12463"/>
    <s v="1101-04"/>
    <n v="11662"/>
    <n v="0"/>
    <s v="Centralización recaudaciones junio 2026 #5165 - #5165"/>
    <n v="11662"/>
    <s v="Activo"/>
    <n v="11662"/>
    <x v="2"/>
  </r>
  <r>
    <n v="2026"/>
    <n v="6"/>
    <s v="01-06-2026"/>
    <n v="12468"/>
    <s v="1101-04"/>
    <n v="14990"/>
    <n v="0"/>
    <s v="Centralización recaudaciones junio 2026 #5170 - #5170"/>
    <n v="14990"/>
    <s v="Activo"/>
    <n v="14990"/>
    <x v="2"/>
  </r>
  <r>
    <n v="2026"/>
    <n v="6"/>
    <s v="01-06-2026"/>
    <n v="12470"/>
    <s v="1101-04"/>
    <n v="232730"/>
    <n v="0"/>
    <s v="Centralización recaudaciones junio 2026 #5172 - #5172"/>
    <n v="232730"/>
    <s v="Activo"/>
    <n v="232730"/>
    <x v="2"/>
  </r>
  <r>
    <n v="2026"/>
    <n v="6"/>
    <s v="01-06-2026"/>
    <n v="12472"/>
    <s v="1101-04"/>
    <n v="14990"/>
    <n v="0"/>
    <s v="Centralización recaudaciones junio 2026 #5174 - #5174"/>
    <n v="14990"/>
    <s v="Activo"/>
    <n v="14990"/>
    <x v="2"/>
  </r>
  <r>
    <n v="2026"/>
    <n v="6"/>
    <s v="01-06-2026"/>
    <n v="12484"/>
    <s v="1101-04"/>
    <n v="14990"/>
    <n v="0"/>
    <s v="Centralización recaudaciones junio 2026 #5186 - #5186"/>
    <n v="14990"/>
    <s v="Activo"/>
    <n v="14990"/>
    <x v="2"/>
  </r>
  <r>
    <n v="2026"/>
    <n v="6"/>
    <s v="01-06-2026"/>
    <n v="12486"/>
    <s v="1101-04"/>
    <n v="34990"/>
    <n v="0"/>
    <s v="Centralización recaudaciones junio 2026 #5188 - #5188"/>
    <n v="34990"/>
    <s v="Activo"/>
    <n v="34990"/>
    <x v="2"/>
  </r>
  <r>
    <n v="2026"/>
    <n v="6"/>
    <s v="01-06-2026"/>
    <n v="12489"/>
    <s v="1101-04"/>
    <n v="24990"/>
    <n v="0"/>
    <s v="Centralización recaudaciones junio 2026 #5191 - #5191"/>
    <n v="24990"/>
    <s v="Activo"/>
    <n v="24990"/>
    <x v="2"/>
  </r>
  <r>
    <n v="2026"/>
    <n v="6"/>
    <s v="01-06-2026"/>
    <n v="12495"/>
    <s v="1101-04"/>
    <n v="33000"/>
    <n v="0"/>
    <s v="Centralización recaudaciones junio 2026 #5197 - #5197"/>
    <n v="33000"/>
    <s v="Activo"/>
    <n v="33000"/>
    <x v="2"/>
  </r>
  <r>
    <n v="2026"/>
    <n v="6"/>
    <s v="01-06-2026"/>
    <n v="12500"/>
    <s v="1101-04"/>
    <n v="30000"/>
    <n v="0"/>
    <s v="Centralización recaudaciones junio 2026 #5202 - #5202"/>
    <n v="30000"/>
    <s v="Activo"/>
    <n v="30000"/>
    <x v="2"/>
  </r>
  <r>
    <n v="2026"/>
    <n v="6"/>
    <s v="01-06-2026"/>
    <n v="12502"/>
    <s v="1101-04"/>
    <n v="17990"/>
    <n v="0"/>
    <s v="Centralización recaudaciones junio 2026 #5204 - #5204"/>
    <n v="17990"/>
    <s v="Activo"/>
    <n v="17990"/>
    <x v="2"/>
  </r>
  <r>
    <n v="2026"/>
    <n v="6"/>
    <s v="01-06-2026"/>
    <n v="12514"/>
    <s v="1101-04"/>
    <n v="54990"/>
    <n v="0"/>
    <s v="Centralización recaudaciones junio 2026 #5216 - #5216"/>
    <n v="54990"/>
    <s v="Activo"/>
    <n v="54990"/>
    <x v="2"/>
  </r>
  <r>
    <n v="2026"/>
    <n v="6"/>
    <s v="01-06-2026"/>
    <n v="12528"/>
    <s v="1101-04"/>
    <n v="14990"/>
    <n v="0"/>
    <s v="Centralización recaudaciones junio 2026 #5230 - #5230"/>
    <n v="14990"/>
    <s v="Activo"/>
    <n v="14990"/>
    <x v="2"/>
  </r>
  <r>
    <n v="2026"/>
    <n v="6"/>
    <s v="01-06-2026"/>
    <n v="12529"/>
    <s v="1101-04"/>
    <n v="14990"/>
    <n v="0"/>
    <s v="Centralización recaudaciones junio 2026 #5231 - #5231"/>
    <n v="14990"/>
    <s v="Activo"/>
    <n v="14990"/>
    <x v="2"/>
  </r>
  <r>
    <n v="2026"/>
    <n v="6"/>
    <s v="01-06-2026"/>
    <n v="12530"/>
    <s v="1101-04"/>
    <n v="14990"/>
    <n v="0"/>
    <s v="Centralización recaudaciones junio 2026 #5232 - #5232"/>
    <n v="14990"/>
    <s v="Activo"/>
    <n v="14990"/>
    <x v="2"/>
  </r>
  <r>
    <n v="2026"/>
    <n v="6"/>
    <s v="01-06-2026"/>
    <n v="12531"/>
    <s v="1101-04"/>
    <n v="30000"/>
    <n v="0"/>
    <s v="Centralización recaudaciones junio 2026 #5233 - #5233"/>
    <n v="30000"/>
    <s v="Activo"/>
    <n v="30000"/>
    <x v="2"/>
  </r>
  <r>
    <n v="2026"/>
    <n v="6"/>
    <s v="01-06-2026"/>
    <n v="12540"/>
    <s v="1101-04"/>
    <n v="14990"/>
    <n v="0"/>
    <s v="Centralización recaudaciones junio 2026 #5242 - #5242"/>
    <n v="14990"/>
    <s v="Activo"/>
    <n v="14990"/>
    <x v="2"/>
  </r>
  <r>
    <n v="2026"/>
    <n v="6"/>
    <s v="01-06-2026"/>
    <n v="12544"/>
    <s v="1101-04"/>
    <n v="14990"/>
    <n v="0"/>
    <s v="Centralización recaudaciones junio 2026 #5246 - #5246"/>
    <n v="14990"/>
    <s v="Activo"/>
    <n v="14990"/>
    <x v="2"/>
  </r>
  <r>
    <n v="2026"/>
    <n v="6"/>
    <s v="01-06-2026"/>
    <n v="12548"/>
    <s v="1101-04"/>
    <n v="35000"/>
    <n v="0"/>
    <s v="Centralización recaudaciones junio 2026 #5250 - #5250"/>
    <n v="35000"/>
    <s v="Activo"/>
    <n v="35000"/>
    <x v="2"/>
  </r>
  <r>
    <n v="2026"/>
    <n v="6"/>
    <s v="01-06-2026"/>
    <n v="12550"/>
    <s v="1101-04"/>
    <n v="540000"/>
    <n v="0"/>
    <s v="Centralización recaudaciones junio 2026 #5252 - #5252"/>
    <n v="540000"/>
    <s v="Activo"/>
    <n v="540000"/>
    <x v="2"/>
  </r>
  <r>
    <n v="2026"/>
    <n v="6"/>
    <s v="01-06-2026"/>
    <n v="12554"/>
    <s v="1101-04"/>
    <n v="30000"/>
    <n v="0"/>
    <s v="Centralización recaudaciones junio 2026 #5256 - #5256"/>
    <n v="30000"/>
    <s v="Activo"/>
    <n v="30000"/>
    <x v="2"/>
  </r>
  <r>
    <n v="2026"/>
    <n v="6"/>
    <s v="01-06-2026"/>
    <n v="12558"/>
    <s v="1101-04"/>
    <n v="30000"/>
    <n v="0"/>
    <s v="Centralización recaudaciones junio 2026 #5260 - #5260"/>
    <n v="30000"/>
    <s v="Activo"/>
    <n v="30000"/>
    <x v="2"/>
  </r>
  <r>
    <n v="2026"/>
    <n v="6"/>
    <s v="01-06-2026"/>
    <n v="12561"/>
    <s v="1101-04"/>
    <n v="34450"/>
    <n v="0"/>
    <s v="Centralización recaudaciones junio 2026 #5263 - #5263"/>
    <n v="34450"/>
    <s v="Activo"/>
    <n v="34450"/>
    <x v="2"/>
  </r>
  <r>
    <n v="2026"/>
    <n v="6"/>
    <s v="01-06-2026"/>
    <n v="12562"/>
    <s v="1101-04"/>
    <n v="13998"/>
    <n v="0"/>
    <s v="Centralización recaudaciones junio 2026 #5264 - #5264"/>
    <n v="13998"/>
    <s v="Activo"/>
    <n v="13998"/>
    <x v="2"/>
  </r>
  <r>
    <n v="2026"/>
    <n v="6"/>
    <s v="02-06-2026"/>
    <n v="11955"/>
    <s v="1101-04"/>
    <n v="64000"/>
    <n v="0"/>
    <s v="Centralización recaudaciones junio 2026 #4661 - #4661"/>
    <n v="64000"/>
    <s v="Activo"/>
    <n v="64000"/>
    <x v="2"/>
  </r>
  <r>
    <n v="2026"/>
    <n v="6"/>
    <s v="02-06-2026"/>
    <n v="11965"/>
    <s v="1101-04"/>
    <n v="56980"/>
    <n v="0"/>
    <s v="Centralización recaudaciones junio 2026 #4670 - #4670"/>
    <n v="56980"/>
    <s v="Activo"/>
    <n v="56980"/>
    <x v="2"/>
  </r>
  <r>
    <n v="2026"/>
    <n v="6"/>
    <s v="02-06-2026"/>
    <n v="11966"/>
    <s v="1101-04"/>
    <n v="30000"/>
    <n v="0"/>
    <s v="Centralización recaudaciones junio 2026 #4671 - #4671"/>
    <n v="30000"/>
    <s v="Activo"/>
    <n v="30000"/>
    <x v="2"/>
  </r>
  <r>
    <n v="2026"/>
    <n v="6"/>
    <s v="02-06-2026"/>
    <n v="11968"/>
    <s v="1101-04"/>
    <n v="30000"/>
    <n v="0"/>
    <s v="Centralización recaudaciones junio 2026 #4673 - #4673"/>
    <n v="30000"/>
    <s v="Activo"/>
    <n v="30000"/>
    <x v="2"/>
  </r>
  <r>
    <n v="2026"/>
    <n v="6"/>
    <s v="02-06-2026"/>
    <n v="11971"/>
    <s v="1101-04"/>
    <n v="29990"/>
    <n v="0"/>
    <s v="Centralización recaudaciones junio 2026 #4676 - #4676"/>
    <n v="29990"/>
    <s v="Activo"/>
    <n v="29990"/>
    <x v="2"/>
  </r>
  <r>
    <n v="2026"/>
    <n v="6"/>
    <s v="02-06-2026"/>
    <n v="11976"/>
    <s v="1101-04"/>
    <n v="30000"/>
    <n v="0"/>
    <s v="Centralización recaudaciones junio 2026 #4681 - #4681"/>
    <n v="30000"/>
    <s v="Activo"/>
    <n v="30000"/>
    <x v="2"/>
  </r>
  <r>
    <n v="2026"/>
    <n v="6"/>
    <s v="02-06-2026"/>
    <n v="11981"/>
    <s v="1101-04"/>
    <n v="60000"/>
    <n v="0"/>
    <s v="Centralización recaudaciones junio 2026 #4686 - #4686"/>
    <n v="60000"/>
    <s v="Activo"/>
    <n v="60000"/>
    <x v="2"/>
  </r>
  <r>
    <n v="2026"/>
    <n v="6"/>
    <s v="02-06-2026"/>
    <n v="11983"/>
    <s v="1101-04"/>
    <n v="30000"/>
    <n v="0"/>
    <s v="Centralización recaudaciones junio 2026 #4688 - #4688"/>
    <n v="30000"/>
    <s v="Activo"/>
    <n v="30000"/>
    <x v="2"/>
  </r>
  <r>
    <n v="2026"/>
    <n v="6"/>
    <s v="02-06-2026"/>
    <n v="11985"/>
    <s v="1101-04"/>
    <n v="30000"/>
    <n v="0"/>
    <s v="Centralización recaudaciones junio 2026 #4690 - #4690"/>
    <n v="30000"/>
    <s v="Activo"/>
    <n v="30000"/>
    <x v="2"/>
  </r>
  <r>
    <n v="2026"/>
    <n v="6"/>
    <s v="02-06-2026"/>
    <n v="11986"/>
    <s v="1101-04"/>
    <n v="30000"/>
    <n v="0"/>
    <s v="Centralización recaudaciones junio 2026 #4691 - #4691"/>
    <n v="30000"/>
    <s v="Activo"/>
    <n v="30000"/>
    <x v="2"/>
  </r>
  <r>
    <n v="2026"/>
    <n v="6"/>
    <s v="02-06-2026"/>
    <n v="11991"/>
    <s v="1101-04"/>
    <n v="30000"/>
    <n v="0"/>
    <s v="Centralización recaudaciones junio 2026 #4696 - #4696"/>
    <n v="30000"/>
    <s v="Activo"/>
    <n v="30000"/>
    <x v="2"/>
  </r>
  <r>
    <n v="2026"/>
    <n v="6"/>
    <s v="02-06-2026"/>
    <n v="11992"/>
    <s v="1101-04"/>
    <n v="30000"/>
    <n v="0"/>
    <s v="Centralización recaudaciones junio 2026 #4697 - #4697"/>
    <n v="30000"/>
    <s v="Activo"/>
    <n v="30000"/>
    <x v="2"/>
  </r>
  <r>
    <n v="2026"/>
    <n v="6"/>
    <s v="02-06-2026"/>
    <n v="11996"/>
    <s v="1101-04"/>
    <n v="30000"/>
    <n v="0"/>
    <s v="Centralización recaudaciones junio 2026 #4701 - #4701"/>
    <n v="30000"/>
    <s v="Activo"/>
    <n v="30000"/>
    <x v="2"/>
  </r>
  <r>
    <n v="2026"/>
    <n v="6"/>
    <s v="02-06-2026"/>
    <n v="12001"/>
    <s v="1101-04"/>
    <n v="30000"/>
    <n v="0"/>
    <s v="Centralización recaudaciones junio 2026 #4706 - #4706"/>
    <n v="30000"/>
    <s v="Activo"/>
    <n v="30000"/>
    <x v="2"/>
  </r>
  <r>
    <n v="2026"/>
    <n v="6"/>
    <s v="02-06-2026"/>
    <n v="12008"/>
    <s v="1101-04"/>
    <n v="38990"/>
    <n v="0"/>
    <s v="Centralización recaudaciones junio 2026 #4713 - #4713"/>
    <n v="38990"/>
    <s v="Activo"/>
    <n v="38990"/>
    <x v="2"/>
  </r>
  <r>
    <n v="2026"/>
    <n v="6"/>
    <s v="02-06-2026"/>
    <n v="12011"/>
    <s v="1101-04"/>
    <n v="19990"/>
    <n v="0"/>
    <s v="Centralización recaudaciones junio 2026 #4716 - #4716"/>
    <n v="19990"/>
    <s v="Activo"/>
    <n v="19990"/>
    <x v="2"/>
  </r>
  <r>
    <n v="2026"/>
    <n v="6"/>
    <s v="02-06-2026"/>
    <n v="12017"/>
    <s v="1101-04"/>
    <n v="40000"/>
    <n v="0"/>
    <s v="Centralización recaudaciones junio 2026 #4722 - #4722"/>
    <n v="40000"/>
    <s v="Activo"/>
    <n v="40000"/>
    <x v="2"/>
  </r>
  <r>
    <n v="2026"/>
    <n v="6"/>
    <s v="02-06-2026"/>
    <n v="12026"/>
    <s v="1101-04"/>
    <n v="30000"/>
    <n v="0"/>
    <s v="Centralización recaudaciones junio 2026 #4731 - #4731"/>
    <n v="30000"/>
    <s v="Activo"/>
    <n v="30000"/>
    <x v="2"/>
  </r>
  <r>
    <n v="2026"/>
    <n v="6"/>
    <s v="02-06-2026"/>
    <n v="12030"/>
    <s v="1101-04"/>
    <n v="30000"/>
    <n v="0"/>
    <s v="Centralización recaudaciones junio 2026 #4735 - #4735"/>
    <n v="30000"/>
    <s v="Activo"/>
    <n v="30000"/>
    <x v="2"/>
  </r>
  <r>
    <n v="2026"/>
    <n v="6"/>
    <s v="02-06-2026"/>
    <n v="12032"/>
    <s v="1101-04"/>
    <n v="30000"/>
    <n v="0"/>
    <s v="Centralización recaudaciones junio 2026 #4737 - #4737"/>
    <n v="30000"/>
    <s v="Activo"/>
    <n v="30000"/>
    <x v="2"/>
  </r>
  <r>
    <n v="2026"/>
    <n v="6"/>
    <s v="02-06-2026"/>
    <n v="12037"/>
    <s v="1101-04"/>
    <n v="43980"/>
    <n v="0"/>
    <s v="Centralización recaudaciones junio 2026 #4742 - #4742"/>
    <n v="43980"/>
    <s v="Activo"/>
    <n v="43980"/>
    <x v="2"/>
  </r>
  <r>
    <n v="2026"/>
    <n v="6"/>
    <s v="02-06-2026"/>
    <n v="12048"/>
    <s v="1101-04"/>
    <n v="60000"/>
    <n v="0"/>
    <s v="Centralización recaudaciones junio 2026 #4753 - #4753"/>
    <n v="60000"/>
    <s v="Activo"/>
    <n v="60000"/>
    <x v="2"/>
  </r>
  <r>
    <n v="2026"/>
    <n v="6"/>
    <s v="02-06-2026"/>
    <n v="12052"/>
    <s v="1101-04"/>
    <n v="30000"/>
    <n v="0"/>
    <s v="Centralización recaudaciones junio 2026 #4757 - #4757"/>
    <n v="30000"/>
    <s v="Activo"/>
    <n v="30000"/>
    <x v="2"/>
  </r>
  <r>
    <n v="2026"/>
    <n v="6"/>
    <s v="02-06-2026"/>
    <n v="12053"/>
    <s v="1101-04"/>
    <n v="30000"/>
    <n v="0"/>
    <s v="Centralización recaudaciones junio 2026 #4758 - #4758"/>
    <n v="30000"/>
    <s v="Activo"/>
    <n v="30000"/>
    <x v="2"/>
  </r>
  <r>
    <n v="2026"/>
    <n v="6"/>
    <s v="02-06-2026"/>
    <n v="12069"/>
    <s v="1101-04"/>
    <n v="194094"/>
    <n v="0"/>
    <s v="Centralización recaudaciones junio 2026 #4774 - #4774"/>
    <n v="194094"/>
    <s v="Activo"/>
    <n v="194094"/>
    <x v="2"/>
  </r>
  <r>
    <n v="2026"/>
    <n v="6"/>
    <s v="02-06-2026"/>
    <n v="12072"/>
    <s v="1101-04"/>
    <n v="21990"/>
    <n v="0"/>
    <s v="Centralización recaudaciones junio 2026 #4777 - #4777"/>
    <n v="21990"/>
    <s v="Activo"/>
    <n v="21990"/>
    <x v="2"/>
  </r>
  <r>
    <n v="2026"/>
    <n v="6"/>
    <s v="02-06-2026"/>
    <n v="12074"/>
    <s v="1101-04"/>
    <n v="30000"/>
    <n v="0"/>
    <s v="Centralización recaudaciones junio 2026 #5271 - #5271"/>
    <n v="30000"/>
    <s v="Activo"/>
    <n v="30000"/>
    <x v="2"/>
  </r>
  <r>
    <n v="2026"/>
    <n v="6"/>
    <s v="02-06-2026"/>
    <n v="12077"/>
    <s v="1101-04"/>
    <n v="38990"/>
    <n v="0"/>
    <s v="Centralización recaudaciones junio 2026 #4780 - #4780"/>
    <n v="38990"/>
    <s v="Activo"/>
    <n v="38990"/>
    <x v="2"/>
  </r>
  <r>
    <n v="2026"/>
    <n v="6"/>
    <s v="02-06-2026"/>
    <n v="12083"/>
    <s v="1101-04"/>
    <n v="86302"/>
    <n v="0"/>
    <s v="Centralización recaudaciones junio 2026 #4786 - #4786"/>
    <n v="86302"/>
    <s v="Activo"/>
    <n v="86302"/>
    <x v="2"/>
  </r>
  <r>
    <n v="2026"/>
    <n v="6"/>
    <s v="02-06-2026"/>
    <n v="12089"/>
    <s v="1101-04"/>
    <n v="29990"/>
    <n v="0"/>
    <s v="Centralización recaudaciones junio 2026 #4792 - #4792"/>
    <n v="29990"/>
    <s v="Activo"/>
    <n v="29990"/>
    <x v="2"/>
  </r>
  <r>
    <n v="2026"/>
    <n v="6"/>
    <s v="02-06-2026"/>
    <n v="12091"/>
    <s v="1101-04"/>
    <n v="30000"/>
    <n v="0"/>
    <s v="Centralización recaudaciones junio 2026 #4794 - #4794"/>
    <n v="30000"/>
    <s v="Activo"/>
    <n v="30000"/>
    <x v="2"/>
  </r>
  <r>
    <n v="2026"/>
    <n v="6"/>
    <s v="02-06-2026"/>
    <n v="12094"/>
    <s v="1101-04"/>
    <n v="12990"/>
    <n v="0"/>
    <s v="Centralización recaudaciones junio 2026 #4797 - #4797"/>
    <n v="12990"/>
    <s v="Activo"/>
    <n v="12990"/>
    <x v="2"/>
  </r>
  <r>
    <n v="2026"/>
    <n v="6"/>
    <s v="02-06-2026"/>
    <n v="12099"/>
    <s v="1101-04"/>
    <n v="30000"/>
    <n v="0"/>
    <s v="Centralización recaudaciones junio 2026 #4802 - #4802"/>
    <n v="30000"/>
    <s v="Activo"/>
    <n v="30000"/>
    <x v="2"/>
  </r>
  <r>
    <n v="2026"/>
    <n v="6"/>
    <s v="02-06-2026"/>
    <n v="12107"/>
    <s v="1101-04"/>
    <n v="43990"/>
    <n v="0"/>
    <s v="Centralización recaudaciones junio 2026 #4810 - #4810"/>
    <n v="43990"/>
    <s v="Activo"/>
    <n v="43990"/>
    <x v="2"/>
  </r>
  <r>
    <n v="2026"/>
    <n v="6"/>
    <s v="02-06-2026"/>
    <n v="12109"/>
    <s v="1101-04"/>
    <n v="30000"/>
    <n v="0"/>
    <s v="Centralización recaudaciones junio 2026 #4812 - #4812"/>
    <n v="30000"/>
    <s v="Activo"/>
    <n v="30000"/>
    <x v="2"/>
  </r>
  <r>
    <n v="2026"/>
    <n v="6"/>
    <s v="02-06-2026"/>
    <n v="12126"/>
    <s v="1101-04"/>
    <n v="30000"/>
    <n v="0"/>
    <s v="Centralización recaudaciones junio 2026 #4829 - #4829"/>
    <n v="30000"/>
    <s v="Activo"/>
    <n v="30000"/>
    <x v="2"/>
  </r>
  <r>
    <n v="2026"/>
    <n v="6"/>
    <s v="02-06-2026"/>
    <n v="12128"/>
    <s v="1101-04"/>
    <n v="30000"/>
    <n v="0"/>
    <s v="Centralización recaudaciones junio 2026 #4831 - #4831"/>
    <n v="30000"/>
    <s v="Activo"/>
    <n v="30000"/>
    <x v="2"/>
  </r>
  <r>
    <n v="2026"/>
    <n v="6"/>
    <s v="02-06-2026"/>
    <n v="12142"/>
    <s v="1101-04"/>
    <n v="30000"/>
    <n v="0"/>
    <s v="Centralización recaudaciones junio 2026 #4845 - #4845"/>
    <n v="30000"/>
    <s v="Activo"/>
    <n v="30000"/>
    <x v="2"/>
  </r>
  <r>
    <n v="2026"/>
    <n v="6"/>
    <s v="02-06-2026"/>
    <n v="12148"/>
    <s v="1101-04"/>
    <n v="30000"/>
    <n v="0"/>
    <s v="Centralización recaudaciones junio 2026 #4851 - #4851"/>
    <n v="30000"/>
    <s v="Activo"/>
    <n v="30000"/>
    <x v="2"/>
  </r>
  <r>
    <n v="2026"/>
    <n v="6"/>
    <s v="02-06-2026"/>
    <n v="12151"/>
    <s v="1101-04"/>
    <n v="40000"/>
    <n v="0"/>
    <s v="Centralización recaudaciones junio 2026 #4854 - #4854"/>
    <n v="40000"/>
    <s v="Activo"/>
    <n v="40000"/>
    <x v="2"/>
  </r>
  <r>
    <n v="2026"/>
    <n v="6"/>
    <s v="02-06-2026"/>
    <n v="12153"/>
    <s v="1101-04"/>
    <n v="61980"/>
    <n v="0"/>
    <s v="Centralización recaudaciones junio 2026 #4856 - #4856"/>
    <n v="61980"/>
    <s v="Activo"/>
    <n v="61980"/>
    <x v="2"/>
  </r>
  <r>
    <n v="2026"/>
    <n v="6"/>
    <s v="02-06-2026"/>
    <n v="12154"/>
    <s v="1101-04"/>
    <n v="28990"/>
    <n v="0"/>
    <s v="Centralización recaudaciones junio 2026 #4857 - #4857"/>
    <n v="28990"/>
    <s v="Activo"/>
    <n v="28990"/>
    <x v="2"/>
  </r>
  <r>
    <n v="2026"/>
    <n v="6"/>
    <s v="02-06-2026"/>
    <n v="12155"/>
    <s v="1101-04"/>
    <n v="34990"/>
    <n v="0"/>
    <s v="Centralización recaudaciones junio 2026 #4858 - #4858"/>
    <n v="34990"/>
    <s v="Activo"/>
    <n v="34990"/>
    <x v="2"/>
  </r>
  <r>
    <n v="2026"/>
    <n v="6"/>
    <s v="02-06-2026"/>
    <n v="12184"/>
    <s v="1101-04"/>
    <n v="40000"/>
    <n v="0"/>
    <s v="Centralización recaudaciones junio 2026 #4887 - #4887"/>
    <n v="40000"/>
    <s v="Activo"/>
    <n v="40000"/>
    <x v="2"/>
  </r>
  <r>
    <n v="2026"/>
    <n v="6"/>
    <s v="02-06-2026"/>
    <n v="12187"/>
    <s v="1101-04"/>
    <n v="35980"/>
    <n v="0"/>
    <s v="Centralización recaudaciones junio 2026 #4890 - #4890"/>
    <n v="35980"/>
    <s v="Activo"/>
    <n v="35980"/>
    <x v="2"/>
  </r>
  <r>
    <n v="2026"/>
    <n v="6"/>
    <s v="02-06-2026"/>
    <n v="12223"/>
    <s v="1101-04"/>
    <n v="48000"/>
    <n v="0"/>
    <s v="Centralización recaudaciones junio 2026 #4926 - #4926"/>
    <n v="48000"/>
    <s v="Activo"/>
    <n v="48000"/>
    <x v="2"/>
  </r>
  <r>
    <n v="2026"/>
    <n v="6"/>
    <s v="02-06-2026"/>
    <n v="12239"/>
    <s v="1101-04"/>
    <n v="37990"/>
    <n v="0"/>
    <s v="Centralización recaudaciones junio 2026 #4942 - #4942"/>
    <n v="37990"/>
    <s v="Activo"/>
    <n v="37990"/>
    <x v="2"/>
  </r>
  <r>
    <n v="2026"/>
    <n v="6"/>
    <s v="02-06-2026"/>
    <n v="12263"/>
    <s v="1101-04"/>
    <n v="50"/>
    <n v="0"/>
    <s v="Centralización recaudaciones junio 2026 #4966 - #4966"/>
    <n v="50"/>
    <s v="Activo"/>
    <n v="50"/>
    <x v="2"/>
  </r>
  <r>
    <n v="2026"/>
    <n v="6"/>
    <s v="02-06-2026"/>
    <n v="12285"/>
    <s v="1101-04"/>
    <n v="168160"/>
    <n v="0"/>
    <s v="Centralización recaudaciones junio 2026 #4988 - #4988"/>
    <n v="168160"/>
    <s v="Activo"/>
    <n v="168160"/>
    <x v="2"/>
  </r>
  <r>
    <n v="2026"/>
    <n v="6"/>
    <s v="02-06-2026"/>
    <n v="12296"/>
    <s v="1101-04"/>
    <n v="21990"/>
    <n v="0"/>
    <s v="Centralización recaudaciones junio 2026 #4999 - #4999"/>
    <n v="21990"/>
    <s v="Activo"/>
    <n v="21990"/>
    <x v="2"/>
  </r>
  <r>
    <n v="2026"/>
    <n v="6"/>
    <s v="02-06-2026"/>
    <n v="12338"/>
    <s v="1101-04"/>
    <n v="28990"/>
    <n v="0"/>
    <s v="Centralización recaudaciones junio 2026 #5041 - #5041"/>
    <n v="28990"/>
    <s v="Activo"/>
    <n v="28990"/>
    <x v="2"/>
  </r>
  <r>
    <n v="2026"/>
    <n v="6"/>
    <s v="02-06-2026"/>
    <n v="12345"/>
    <s v="1101-04"/>
    <n v="29990"/>
    <n v="0"/>
    <s v="Centralización recaudaciones junio 2026 #5048 - #5048"/>
    <n v="29990"/>
    <s v="Activo"/>
    <n v="29990"/>
    <x v="2"/>
  </r>
  <r>
    <n v="2026"/>
    <n v="6"/>
    <s v="02-06-2026"/>
    <n v="12349"/>
    <s v="1101-04"/>
    <n v="33490"/>
    <n v="0"/>
    <s v="Centralización recaudaciones junio 2026 #5052 - #5052"/>
    <n v="33490"/>
    <s v="Activo"/>
    <n v="33490"/>
    <x v="2"/>
  </r>
  <r>
    <n v="2026"/>
    <n v="6"/>
    <s v="02-06-2026"/>
    <n v="12357"/>
    <s v="1101-04"/>
    <n v="60000"/>
    <n v="0"/>
    <s v="Centralización recaudaciones junio 2026 #5060 - #5060"/>
    <n v="60000"/>
    <s v="Activo"/>
    <n v="60000"/>
    <x v="2"/>
  </r>
  <r>
    <n v="2026"/>
    <n v="6"/>
    <s v="02-06-2026"/>
    <n v="12374"/>
    <s v="1101-04"/>
    <n v="45980"/>
    <n v="0"/>
    <s v="Centralización recaudaciones junio 2026 #5077 - #5077"/>
    <n v="45980"/>
    <s v="Activo"/>
    <n v="45980"/>
    <x v="2"/>
  </r>
  <r>
    <n v="2026"/>
    <n v="6"/>
    <s v="02-06-2026"/>
    <n v="12381"/>
    <s v="1101-04"/>
    <n v="990"/>
    <n v="0"/>
    <s v="Centralización recaudaciones junio 2026 #5084 - #5084"/>
    <n v="990"/>
    <s v="Activo"/>
    <n v="990"/>
    <x v="2"/>
  </r>
  <r>
    <n v="2026"/>
    <n v="6"/>
    <s v="02-06-2026"/>
    <n v="12388"/>
    <s v="1101-04"/>
    <n v="40000"/>
    <n v="0"/>
    <s v="Centralización recaudaciones junio 2026 #5091 - #5091"/>
    <n v="40000"/>
    <s v="Activo"/>
    <n v="40000"/>
    <x v="2"/>
  </r>
  <r>
    <n v="2026"/>
    <n v="6"/>
    <s v="02-06-2026"/>
    <n v="12412"/>
    <s v="1101-04"/>
    <n v="46990"/>
    <n v="0"/>
    <s v="Centralización recaudaciones junio 2026 #5115 - #5115"/>
    <n v="46990"/>
    <s v="Activo"/>
    <n v="46990"/>
    <x v="2"/>
  </r>
  <r>
    <n v="2026"/>
    <n v="6"/>
    <s v="02-06-2026"/>
    <n v="12423"/>
    <s v="1101-04"/>
    <n v="14990"/>
    <n v="0"/>
    <s v="Centralización recaudaciones junio 2026 #5126 - #5126"/>
    <n v="14990"/>
    <s v="Activo"/>
    <n v="14990"/>
    <x v="2"/>
  </r>
  <r>
    <n v="2026"/>
    <n v="6"/>
    <s v="02-06-2026"/>
    <n v="12445"/>
    <s v="1101-04"/>
    <n v="38980"/>
    <n v="0"/>
    <s v="Centralización recaudaciones junio 2026 #5148 - #5148"/>
    <n v="38980"/>
    <s v="Activo"/>
    <n v="38980"/>
    <x v="2"/>
  </r>
  <r>
    <n v="2026"/>
    <n v="6"/>
    <s v="02-06-2026"/>
    <n v="12447"/>
    <s v="1101-04"/>
    <n v="30000"/>
    <n v="0"/>
    <s v="Centralización recaudaciones junio 2026 #5150 - #5150"/>
    <n v="30000"/>
    <s v="Activo"/>
    <n v="30000"/>
    <x v="2"/>
  </r>
  <r>
    <n v="2026"/>
    <n v="6"/>
    <s v="02-06-2026"/>
    <n v="12453"/>
    <s v="1101-04"/>
    <n v="21990"/>
    <n v="0"/>
    <s v="Centralización recaudaciones junio 2026 #5156 - #5156"/>
    <n v="21990"/>
    <s v="Activo"/>
    <n v="21990"/>
    <x v="2"/>
  </r>
  <r>
    <n v="2026"/>
    <n v="6"/>
    <s v="02-06-2026"/>
    <n v="12482"/>
    <s v="1101-04"/>
    <n v="60000"/>
    <n v="0"/>
    <s v="Centralización recaudaciones junio 2026 #5184 - #5184"/>
    <n v="60000"/>
    <s v="Activo"/>
    <n v="60000"/>
    <x v="2"/>
  </r>
  <r>
    <n v="2026"/>
    <n v="6"/>
    <s v="02-06-2026"/>
    <n v="12490"/>
    <s v="1101-04"/>
    <n v="30000"/>
    <n v="0"/>
    <s v="Centralización recaudaciones junio 2026 #5192 - #5192"/>
    <n v="30000"/>
    <s v="Activo"/>
    <n v="30000"/>
    <x v="2"/>
  </r>
  <r>
    <n v="2026"/>
    <n v="6"/>
    <s v="02-06-2026"/>
    <n v="12497"/>
    <s v="1101-04"/>
    <n v="28990"/>
    <n v="0"/>
    <s v="Centralización recaudaciones junio 2026 #5199 - #5199"/>
    <n v="28990"/>
    <s v="Activo"/>
    <n v="28990"/>
    <x v="2"/>
  </r>
  <r>
    <n v="2026"/>
    <n v="6"/>
    <s v="02-06-2026"/>
    <n v="12513"/>
    <s v="1101-04"/>
    <n v="21990"/>
    <n v="0"/>
    <s v="Centralización recaudaciones junio 2026 #5215 - #5215"/>
    <n v="21990"/>
    <s v="Activo"/>
    <n v="21990"/>
    <x v="2"/>
  </r>
  <r>
    <n v="2026"/>
    <n v="6"/>
    <s v="02-06-2026"/>
    <n v="12532"/>
    <s v="1101-04"/>
    <n v="30000"/>
    <n v="0"/>
    <s v="Centralización recaudaciones junio 2026 #5234 - #5234"/>
    <n v="30000"/>
    <s v="Activo"/>
    <n v="30000"/>
    <x v="2"/>
  </r>
  <r>
    <n v="2026"/>
    <n v="6"/>
    <s v="02-06-2026"/>
    <n v="12538"/>
    <s v="1101-04"/>
    <n v="30000"/>
    <n v="0"/>
    <s v="Centralización recaudaciones junio 2026 #5240 - #5240"/>
    <n v="30000"/>
    <s v="Activo"/>
    <n v="30000"/>
    <x v="2"/>
  </r>
  <r>
    <n v="2026"/>
    <n v="6"/>
    <s v="02-06-2026"/>
    <n v="12546"/>
    <s v="1101-04"/>
    <n v="30000"/>
    <n v="0"/>
    <s v="Centralización recaudaciones junio 2026 #5248 - #5248"/>
    <n v="30000"/>
    <s v="Activo"/>
    <n v="30000"/>
    <x v="2"/>
  </r>
  <r>
    <n v="2026"/>
    <n v="6"/>
    <s v="02-06-2026"/>
    <n v="12551"/>
    <s v="1101-04"/>
    <n v="15491"/>
    <n v="0"/>
    <s v="Centralización recaudaciones junio 2026 #5253 - #5253"/>
    <n v="15491"/>
    <s v="Activo"/>
    <n v="15491"/>
    <x v="2"/>
  </r>
  <r>
    <n v="2026"/>
    <n v="6"/>
    <s v="02-06-2026"/>
    <n v="12556"/>
    <s v="1101-04"/>
    <n v="30000"/>
    <n v="0"/>
    <s v="Centralización recaudaciones junio 2026 #5258 - #5258"/>
    <n v="30000"/>
    <s v="Activo"/>
    <n v="30000"/>
    <x v="2"/>
  </r>
  <r>
    <n v="2026"/>
    <n v="6"/>
    <s v="02-06-2026"/>
    <n v="12560"/>
    <s v="1101-04"/>
    <n v="36990"/>
    <n v="0"/>
    <s v="Centralización recaudaciones junio 2026 #5262 - #5262"/>
    <n v="36990"/>
    <s v="Activo"/>
    <n v="36990"/>
    <x v="2"/>
  </r>
  <r>
    <n v="2026"/>
    <n v="6"/>
    <s v="03-06-2026"/>
    <n v="7897"/>
    <s v="1101-04"/>
    <n v="0"/>
    <n v="9194"/>
    <s v="Centralización pagos junio 2026 #585 - #585"/>
    <n v="-9194"/>
    <s v="Activo"/>
    <n v="-9194"/>
    <x v="2"/>
  </r>
  <r>
    <n v="2026"/>
    <n v="6"/>
    <s v="03-06-2026"/>
    <n v="11952"/>
    <s v="1101-04"/>
    <n v="29990"/>
    <n v="0"/>
    <s v="Centralización recaudaciones junio 2026 #4658 - #4658"/>
    <n v="29990"/>
    <s v="Activo"/>
    <n v="29990"/>
    <x v="2"/>
  </r>
  <r>
    <n v="2026"/>
    <n v="6"/>
    <s v="03-06-2026"/>
    <n v="11957"/>
    <s v="1101-04"/>
    <n v="57990"/>
    <n v="0"/>
    <s v="Centralización recaudaciones junio 2026 #4663 - #4663"/>
    <n v="57990"/>
    <s v="Activo"/>
    <n v="57990"/>
    <x v="2"/>
  </r>
  <r>
    <n v="2026"/>
    <n v="6"/>
    <s v="03-06-2026"/>
    <n v="11960"/>
    <s v="1101-04"/>
    <n v="70000"/>
    <n v="0"/>
    <s v="Centralización recaudaciones junio 2026 #4666 - #4666"/>
    <n v="70000"/>
    <s v="Activo"/>
    <n v="70000"/>
    <x v="2"/>
  </r>
  <r>
    <n v="2026"/>
    <n v="6"/>
    <s v="03-06-2026"/>
    <n v="11963"/>
    <s v="1101-04"/>
    <n v="244900"/>
    <n v="0"/>
    <s v="Centralización recaudaciones junio 2026 #5270 - #5270"/>
    <n v="244900"/>
    <s v="Activo"/>
    <n v="244900"/>
    <x v="2"/>
  </r>
  <r>
    <n v="2026"/>
    <n v="6"/>
    <s v="03-06-2026"/>
    <n v="11982"/>
    <s v="1101-04"/>
    <n v="40000"/>
    <n v="0"/>
    <s v="Centralización recaudaciones junio 2026 #4687 - #4687"/>
    <n v="40000"/>
    <s v="Activo"/>
    <n v="40000"/>
    <x v="2"/>
  </r>
  <r>
    <n v="2026"/>
    <n v="6"/>
    <s v="03-06-2026"/>
    <n v="12029"/>
    <s v="1101-04"/>
    <n v="37990"/>
    <n v="0"/>
    <s v="Centralización recaudaciones junio 2026 #4734 - #4734"/>
    <n v="37990"/>
    <s v="Activo"/>
    <n v="37990"/>
    <x v="2"/>
  </r>
  <r>
    <n v="2026"/>
    <n v="6"/>
    <s v="03-06-2026"/>
    <n v="12038"/>
    <s v="1101-04"/>
    <n v="34990"/>
    <n v="0"/>
    <s v="Centralización recaudaciones junio 2026 #4743 - #4743"/>
    <n v="34990"/>
    <s v="Activo"/>
    <n v="34990"/>
    <x v="2"/>
  </r>
  <r>
    <n v="2026"/>
    <n v="6"/>
    <s v="03-06-2026"/>
    <n v="12042"/>
    <s v="1101-04"/>
    <n v="29990"/>
    <n v="0"/>
    <s v="Centralización recaudaciones junio 2026 #4747 - #4747"/>
    <n v="29990"/>
    <s v="Activo"/>
    <n v="29990"/>
    <x v="2"/>
  </r>
  <r>
    <n v="2026"/>
    <n v="6"/>
    <s v="03-06-2026"/>
    <n v="12046"/>
    <s v="1101-04"/>
    <n v="29990"/>
    <n v="0"/>
    <s v="Centralización recaudaciones junio 2026 #4751 - #4751"/>
    <n v="29990"/>
    <s v="Activo"/>
    <n v="29990"/>
    <x v="2"/>
  </r>
  <r>
    <n v="2026"/>
    <n v="6"/>
    <s v="03-06-2026"/>
    <n v="12068"/>
    <s v="1101-04"/>
    <n v="35000"/>
    <n v="0"/>
    <s v="Centralización recaudaciones junio 2026 #4773 - #4773"/>
    <n v="35000"/>
    <s v="Activo"/>
    <n v="35000"/>
    <x v="2"/>
  </r>
  <r>
    <n v="2026"/>
    <n v="6"/>
    <s v="03-06-2026"/>
    <n v="12084"/>
    <s v="1101-04"/>
    <n v="626"/>
    <n v="0"/>
    <s v="Centralización recaudaciones junio 2026 #4787 - #4787"/>
    <n v="626"/>
    <s v="Activo"/>
    <n v="626"/>
    <x v="2"/>
  </r>
  <r>
    <n v="2026"/>
    <n v="6"/>
    <s v="03-06-2026"/>
    <n v="12096"/>
    <s v="1101-04"/>
    <n v="40000"/>
    <n v="0"/>
    <s v="Centralización recaudaciones junio 2026 #4799 - #4799"/>
    <n v="40000"/>
    <s v="Activo"/>
    <n v="40000"/>
    <x v="2"/>
  </r>
  <r>
    <n v="2026"/>
    <n v="6"/>
    <s v="03-06-2026"/>
    <n v="12139"/>
    <s v="1101-04"/>
    <n v="50000"/>
    <n v="0"/>
    <s v="Centralización recaudaciones junio 2026 #4842 - #4842"/>
    <n v="50000"/>
    <s v="Activo"/>
    <n v="50000"/>
    <x v="2"/>
  </r>
  <r>
    <n v="2026"/>
    <n v="6"/>
    <s v="03-06-2026"/>
    <n v="12140"/>
    <s v="1101-04"/>
    <n v="29990"/>
    <n v="0"/>
    <s v="Centralización recaudaciones junio 2026 #4843 - #4843"/>
    <n v="29990"/>
    <s v="Activo"/>
    <n v="29990"/>
    <x v="2"/>
  </r>
  <r>
    <n v="2026"/>
    <n v="6"/>
    <s v="03-06-2026"/>
    <n v="12161"/>
    <s v="1101-04"/>
    <n v="33490"/>
    <n v="0"/>
    <s v="Centralización recaudaciones junio 2026 #4864 - #4864"/>
    <n v="33490"/>
    <s v="Activo"/>
    <n v="33490"/>
    <x v="2"/>
  </r>
  <r>
    <n v="2026"/>
    <n v="6"/>
    <s v="03-06-2026"/>
    <n v="12165"/>
    <s v="1101-04"/>
    <n v="36990"/>
    <n v="0"/>
    <s v="Centralización recaudaciones junio 2026 #4868 - #4868"/>
    <n v="36990"/>
    <s v="Activo"/>
    <n v="36990"/>
    <x v="2"/>
  </r>
  <r>
    <n v="2026"/>
    <n v="6"/>
    <s v="03-06-2026"/>
    <n v="12169"/>
    <s v="1101-04"/>
    <n v="28990"/>
    <n v="0"/>
    <s v="Centralización recaudaciones junio 2026 #4872 - #4872"/>
    <n v="28990"/>
    <s v="Activo"/>
    <n v="28990"/>
    <x v="2"/>
  </r>
  <r>
    <n v="2026"/>
    <n v="6"/>
    <s v="03-06-2026"/>
    <n v="12170"/>
    <s v="1101-04"/>
    <n v="29990"/>
    <n v="0"/>
    <s v="Centralización recaudaciones junio 2026 #4873 - #4873"/>
    <n v="29990"/>
    <s v="Activo"/>
    <n v="29990"/>
    <x v="2"/>
  </r>
  <r>
    <n v="2026"/>
    <n v="6"/>
    <s v="03-06-2026"/>
    <n v="12183"/>
    <s v="1101-04"/>
    <n v="38990"/>
    <n v="0"/>
    <s v="Centralización recaudaciones junio 2026 #4886 - #4886"/>
    <n v="38990"/>
    <s v="Activo"/>
    <n v="38990"/>
    <x v="2"/>
  </r>
  <r>
    <n v="2026"/>
    <n v="6"/>
    <s v="03-06-2026"/>
    <n v="12192"/>
    <s v="1101-04"/>
    <n v="32990"/>
    <n v="0"/>
    <s v="Centralización recaudaciones junio 2026 #4895 - #4895"/>
    <n v="32990"/>
    <s v="Activo"/>
    <n v="32990"/>
    <x v="2"/>
  </r>
  <r>
    <n v="2026"/>
    <n v="6"/>
    <s v="03-06-2026"/>
    <n v="12201"/>
    <s v="1101-04"/>
    <n v="15687"/>
    <n v="0"/>
    <s v="Centralización recaudaciones junio 2026 #4904 - #4904"/>
    <n v="15687"/>
    <s v="Activo"/>
    <n v="15687"/>
    <x v="2"/>
  </r>
  <r>
    <n v="2026"/>
    <n v="6"/>
    <s v="03-06-2026"/>
    <n v="12204"/>
    <s v="1101-04"/>
    <n v="14990"/>
    <n v="0"/>
    <s v="Centralización recaudaciones junio 2026 #4907 - #4907"/>
    <n v="14990"/>
    <s v="Activo"/>
    <n v="14990"/>
    <x v="2"/>
  </r>
  <r>
    <n v="2026"/>
    <n v="6"/>
    <s v="03-06-2026"/>
    <n v="12206"/>
    <s v="1101-04"/>
    <n v="14990"/>
    <n v="0"/>
    <s v="Centralización recaudaciones junio 2026 #4909 - #4909"/>
    <n v="14990"/>
    <s v="Activo"/>
    <n v="14990"/>
    <x v="2"/>
  </r>
  <r>
    <n v="2026"/>
    <n v="6"/>
    <s v="03-06-2026"/>
    <n v="12214"/>
    <s v="1101-04"/>
    <n v="29990"/>
    <n v="0"/>
    <s v="Centralización recaudaciones junio 2026 #4917 - #4917"/>
    <n v="29990"/>
    <s v="Activo"/>
    <n v="29990"/>
    <x v="2"/>
  </r>
  <r>
    <n v="2026"/>
    <n v="6"/>
    <s v="03-06-2026"/>
    <n v="12216"/>
    <s v="1101-04"/>
    <n v="29990"/>
    <n v="0"/>
    <s v="Centralización recaudaciones junio 2026 #4919 - #4919"/>
    <n v="29990"/>
    <s v="Activo"/>
    <n v="29990"/>
    <x v="2"/>
  </r>
  <r>
    <n v="2026"/>
    <n v="6"/>
    <s v="03-06-2026"/>
    <n v="12221"/>
    <s v="1101-04"/>
    <n v="29990"/>
    <n v="0"/>
    <s v="Centralización recaudaciones junio 2026 #4924 - #4924"/>
    <n v="29990"/>
    <s v="Activo"/>
    <n v="29990"/>
    <x v="2"/>
  </r>
  <r>
    <n v="2026"/>
    <n v="6"/>
    <s v="03-06-2026"/>
    <n v="12244"/>
    <s v="1101-04"/>
    <n v="33490"/>
    <n v="0"/>
    <s v="Centralización recaudaciones junio 2026 #4947 - #4947"/>
    <n v="33490"/>
    <s v="Activo"/>
    <n v="33490"/>
    <x v="2"/>
  </r>
  <r>
    <n v="2026"/>
    <n v="6"/>
    <s v="03-06-2026"/>
    <n v="12250"/>
    <s v="1101-04"/>
    <n v="18000"/>
    <n v="0"/>
    <s v="Centralización recaudaciones junio 2026 #4953 - #4953"/>
    <n v="18000"/>
    <s v="Activo"/>
    <n v="18000"/>
    <x v="2"/>
  </r>
  <r>
    <n v="2026"/>
    <n v="6"/>
    <s v="03-06-2026"/>
    <n v="12254"/>
    <s v="1101-04"/>
    <n v="28990"/>
    <n v="0"/>
    <s v="Centralización recaudaciones junio 2026 #4957 - #4957"/>
    <n v="28990"/>
    <s v="Activo"/>
    <n v="28990"/>
    <x v="2"/>
  </r>
  <r>
    <n v="2026"/>
    <n v="6"/>
    <s v="03-06-2026"/>
    <n v="12258"/>
    <s v="1101-04"/>
    <n v="35980"/>
    <n v="0"/>
    <s v="Centralización recaudaciones junio 2026 #4961 - #4961"/>
    <n v="35980"/>
    <s v="Activo"/>
    <n v="35980"/>
    <x v="2"/>
  </r>
  <r>
    <n v="2026"/>
    <n v="6"/>
    <s v="03-06-2026"/>
    <n v="12259"/>
    <s v="1101-04"/>
    <n v="15000"/>
    <n v="0"/>
    <s v="Centralización recaudaciones junio 2026 #4962 - #4962"/>
    <n v="15000"/>
    <s v="Activo"/>
    <n v="15000"/>
    <x v="2"/>
  </r>
  <r>
    <n v="2026"/>
    <n v="6"/>
    <s v="03-06-2026"/>
    <n v="12264"/>
    <s v="1101-04"/>
    <n v="8204"/>
    <n v="0"/>
    <s v="Centralización recaudaciones junio 2026 #4967 - #4967"/>
    <n v="8204"/>
    <s v="Activo"/>
    <n v="8204"/>
    <x v="2"/>
  </r>
  <r>
    <n v="2026"/>
    <n v="6"/>
    <s v="03-06-2026"/>
    <n v="12268"/>
    <s v="1101-04"/>
    <n v="34990"/>
    <n v="0"/>
    <s v="Centralización recaudaciones junio 2026 #4971 - #4971"/>
    <n v="34990"/>
    <s v="Activo"/>
    <n v="34990"/>
    <x v="2"/>
  </r>
  <r>
    <n v="2026"/>
    <n v="6"/>
    <s v="03-06-2026"/>
    <n v="12307"/>
    <s v="1101-04"/>
    <n v="21990"/>
    <n v="0"/>
    <s v="Centralización recaudaciones junio 2026 #5010 - #5010"/>
    <n v="21990"/>
    <s v="Activo"/>
    <n v="21990"/>
    <x v="2"/>
  </r>
  <r>
    <n v="2026"/>
    <n v="6"/>
    <s v="03-06-2026"/>
    <n v="12314"/>
    <s v="1101-04"/>
    <n v="34990"/>
    <n v="0"/>
    <s v="Centralización recaudaciones junio 2026 #5017 - #5017"/>
    <n v="34990"/>
    <s v="Activo"/>
    <n v="34990"/>
    <x v="2"/>
  </r>
  <r>
    <n v="2026"/>
    <n v="6"/>
    <s v="03-06-2026"/>
    <n v="12327"/>
    <s v="1101-04"/>
    <n v="19990"/>
    <n v="0"/>
    <s v="Centralización recaudaciones junio 2026 #5030 - #5030"/>
    <n v="19990"/>
    <s v="Activo"/>
    <n v="19990"/>
    <x v="2"/>
  </r>
  <r>
    <n v="2026"/>
    <n v="6"/>
    <s v="03-06-2026"/>
    <n v="12329"/>
    <s v="1101-04"/>
    <n v="54030"/>
    <n v="0"/>
    <s v="Centralización recaudaciones junio 2026 #5032 - #5032"/>
    <n v="54030"/>
    <s v="Activo"/>
    <n v="54030"/>
    <x v="2"/>
  </r>
  <r>
    <n v="2026"/>
    <n v="6"/>
    <s v="03-06-2026"/>
    <n v="12340"/>
    <s v="1101-04"/>
    <n v="39990"/>
    <n v="0"/>
    <s v="Centralización recaudaciones junio 2026 #5043 - #5043"/>
    <n v="39990"/>
    <s v="Activo"/>
    <n v="39990"/>
    <x v="2"/>
  </r>
  <r>
    <n v="2026"/>
    <n v="6"/>
    <s v="03-06-2026"/>
    <n v="12375"/>
    <s v="1101-04"/>
    <n v="658"/>
    <n v="0"/>
    <s v="Centralización recaudaciones junio 2026 #5078 - #5078"/>
    <n v="658"/>
    <s v="Activo"/>
    <n v="658"/>
    <x v="2"/>
  </r>
  <r>
    <n v="2026"/>
    <n v="6"/>
    <s v="03-06-2026"/>
    <n v="12414"/>
    <s v="1101-04"/>
    <n v="53538"/>
    <n v="0"/>
    <s v="Centralización recaudaciones junio 2026 #5117 - #5117"/>
    <n v="53538"/>
    <s v="Activo"/>
    <n v="53538"/>
    <x v="2"/>
  </r>
  <r>
    <n v="2026"/>
    <n v="6"/>
    <s v="03-06-2026"/>
    <n v="12425"/>
    <s v="1101-04"/>
    <n v="14990"/>
    <n v="0"/>
    <s v="Centralización recaudaciones junio 2026 #5128 - #5128"/>
    <n v="14990"/>
    <s v="Activo"/>
    <n v="14990"/>
    <x v="2"/>
  </r>
  <r>
    <n v="2026"/>
    <n v="6"/>
    <s v="03-06-2026"/>
    <n v="12450"/>
    <s v="1101-04"/>
    <n v="28990"/>
    <n v="0"/>
    <s v="Centralización recaudaciones junio 2026 #5153 - #5153"/>
    <n v="28990"/>
    <s v="Activo"/>
    <n v="28990"/>
    <x v="2"/>
  </r>
  <r>
    <n v="2026"/>
    <n v="6"/>
    <s v="03-06-2026"/>
    <n v="12461"/>
    <s v="1101-04"/>
    <n v="40000"/>
    <n v="0"/>
    <s v="Centralización recaudaciones junio 2026 #5163 - #5163"/>
    <n v="40000"/>
    <s v="Activo"/>
    <n v="40000"/>
    <x v="2"/>
  </r>
  <r>
    <n v="2026"/>
    <n v="6"/>
    <s v="03-06-2026"/>
    <n v="12467"/>
    <s v="1101-04"/>
    <n v="34980"/>
    <n v="0"/>
    <s v="Centralización recaudaciones junio 2026 #5169 - #5169"/>
    <n v="34980"/>
    <s v="Activo"/>
    <n v="34980"/>
    <x v="2"/>
  </r>
  <r>
    <n v="2026"/>
    <n v="6"/>
    <s v="03-06-2026"/>
    <n v="12491"/>
    <s v="1101-04"/>
    <n v="21990"/>
    <n v="0"/>
    <s v="Centralización recaudaciones junio 2026 #5193 - #5193"/>
    <n v="21990"/>
    <s v="Activo"/>
    <n v="21990"/>
    <x v="2"/>
  </r>
  <r>
    <n v="2026"/>
    <n v="6"/>
    <s v="03-06-2026"/>
    <n v="12493"/>
    <s v="1101-04"/>
    <n v="2061402"/>
    <n v="0"/>
    <s v="Centralización recaudaciones junio 2026 #5195 - #5195"/>
    <n v="2061402"/>
    <s v="Activo"/>
    <n v="2061402"/>
    <x v="2"/>
  </r>
  <r>
    <n v="2026"/>
    <n v="6"/>
    <s v="03-06-2026"/>
    <n v="12501"/>
    <s v="1101-04"/>
    <n v="60000"/>
    <n v="0"/>
    <s v="Centralización recaudaciones junio 2026 #5203 - #5203"/>
    <n v="60000"/>
    <s v="Activo"/>
    <n v="60000"/>
    <x v="2"/>
  </r>
  <r>
    <n v="2026"/>
    <n v="6"/>
    <s v="03-06-2026"/>
    <n v="12525"/>
    <s v="1101-04"/>
    <n v="34000"/>
    <n v="0"/>
    <s v="Centralización recaudaciones junio 2026 #5227 - #5227"/>
    <n v="34000"/>
    <s v="Activo"/>
    <n v="34000"/>
    <x v="2"/>
  </r>
  <r>
    <n v="2026"/>
    <n v="6"/>
    <s v="03-06-2026"/>
    <n v="12536"/>
    <s v="1101-04"/>
    <n v="17838"/>
    <n v="0"/>
    <s v="Centralización recaudaciones junio 2026 #5238 - #5238"/>
    <n v="17838"/>
    <s v="Activo"/>
    <n v="17838"/>
    <x v="2"/>
  </r>
  <r>
    <n v="2026"/>
    <n v="6"/>
    <s v="03-06-2026"/>
    <n v="12552"/>
    <s v="1101-04"/>
    <n v="1429"/>
    <n v="0"/>
    <s v="Centralización recaudaciones junio 2026 #5254 - #5254"/>
    <n v="1429"/>
    <s v="Activo"/>
    <n v="1429"/>
    <x v="2"/>
  </r>
  <r>
    <n v="2026"/>
    <n v="6"/>
    <s v="03-06-2026"/>
    <n v="12557"/>
    <s v="1101-04"/>
    <n v="29990"/>
    <n v="0"/>
    <s v="Centralización recaudaciones junio 2026 #5259 - #5259"/>
    <n v="29990"/>
    <s v="Activo"/>
    <n v="29990"/>
    <x v="2"/>
  </r>
  <r>
    <n v="2026"/>
    <n v="6"/>
    <s v="03-06-2026"/>
    <n v="12567"/>
    <s v="1101-04"/>
    <n v="58000"/>
    <n v="0"/>
    <s v="Centralización recaudaciones junio 2026 #5269 - #5269"/>
    <n v="58000"/>
    <s v="Activo"/>
    <n v="58000"/>
    <x v="2"/>
  </r>
  <r>
    <n v="2026"/>
    <n v="6"/>
    <s v="03-06-2026"/>
    <n v="10799"/>
    <s v="1101-04"/>
    <n v="0"/>
    <n v="5494703"/>
    <s v="Pago cuota 1237 credito itau 60529874"/>
    <n v="-5494703"/>
    <s v="Activo"/>
    <n v="-5494703"/>
    <x v="2"/>
  </r>
  <r>
    <n v="2026"/>
    <n v="6"/>
    <s v="04-06-2026"/>
    <n v="11987"/>
    <s v="1101-04"/>
    <n v="35000"/>
    <n v="0"/>
    <s v="Centralización recaudaciones junio 2026 #4692 - #4692"/>
    <n v="35000"/>
    <s v="Activo"/>
    <n v="35000"/>
    <x v="2"/>
  </r>
  <r>
    <n v="2026"/>
    <n v="6"/>
    <s v="04-06-2026"/>
    <n v="12004"/>
    <s v="1101-04"/>
    <n v="32990"/>
    <n v="0"/>
    <s v="Centralización recaudaciones junio 2026 #4709 - #4709"/>
    <n v="32990"/>
    <s v="Activo"/>
    <n v="32990"/>
    <x v="2"/>
  </r>
  <r>
    <n v="2026"/>
    <n v="6"/>
    <s v="04-06-2026"/>
    <n v="12005"/>
    <s v="1101-04"/>
    <n v="40000"/>
    <n v="0"/>
    <s v="Centralización recaudaciones junio 2026 #4710 - #4710"/>
    <n v="40000"/>
    <s v="Activo"/>
    <n v="40000"/>
    <x v="2"/>
  </r>
  <r>
    <n v="2026"/>
    <n v="6"/>
    <s v="04-06-2026"/>
    <n v="12058"/>
    <s v="1101-04"/>
    <n v="14990"/>
    <n v="0"/>
    <s v="Centralización recaudaciones junio 2026 #4763 - #4763"/>
    <n v="14990"/>
    <s v="Activo"/>
    <n v="14990"/>
    <x v="2"/>
  </r>
  <r>
    <n v="2026"/>
    <n v="6"/>
    <s v="04-06-2026"/>
    <n v="12087"/>
    <s v="1101-04"/>
    <n v="60000"/>
    <n v="0"/>
    <s v="Centralización recaudaciones junio 2026 #4790 - #4790"/>
    <n v="60000"/>
    <s v="Activo"/>
    <n v="60000"/>
    <x v="2"/>
  </r>
  <r>
    <n v="2026"/>
    <n v="6"/>
    <s v="04-06-2026"/>
    <n v="12111"/>
    <s v="1101-04"/>
    <n v="59990"/>
    <n v="0"/>
    <s v="Centralización recaudaciones junio 2026 #4814 - #4814"/>
    <n v="59990"/>
    <s v="Activo"/>
    <n v="59990"/>
    <x v="2"/>
  </r>
  <r>
    <n v="2026"/>
    <n v="6"/>
    <s v="04-06-2026"/>
    <n v="12117"/>
    <s v="1101-04"/>
    <n v="14990"/>
    <n v="0"/>
    <s v="Centralización recaudaciones junio 2026 #4820 - #4820"/>
    <n v="14990"/>
    <s v="Activo"/>
    <n v="14990"/>
    <x v="2"/>
  </r>
  <r>
    <n v="2026"/>
    <n v="6"/>
    <s v="04-06-2026"/>
    <n v="12146"/>
    <s v="1101-04"/>
    <n v="1547586"/>
    <n v="0"/>
    <s v="Centralización recaudaciones junio 2026 #4849 - #4849"/>
    <n v="1547586"/>
    <s v="Activo"/>
    <n v="1547586"/>
    <x v="2"/>
  </r>
  <r>
    <n v="2026"/>
    <n v="6"/>
    <s v="04-06-2026"/>
    <n v="12156"/>
    <s v="1101-04"/>
    <n v="36990"/>
    <n v="0"/>
    <s v="Centralización recaudaciones junio 2026 #4859 - #4859"/>
    <n v="36990"/>
    <s v="Activo"/>
    <n v="36990"/>
    <x v="2"/>
  </r>
  <r>
    <n v="2026"/>
    <n v="6"/>
    <s v="04-06-2026"/>
    <n v="12163"/>
    <s v="1101-04"/>
    <n v="15990"/>
    <n v="0"/>
    <s v="Centralización recaudaciones junio 2026 #4866 - #4866"/>
    <n v="15990"/>
    <s v="Activo"/>
    <n v="15990"/>
    <x v="2"/>
  </r>
  <r>
    <n v="2026"/>
    <n v="6"/>
    <s v="04-06-2026"/>
    <n v="12199"/>
    <s v="1101-04"/>
    <n v="14990"/>
    <n v="0"/>
    <s v="Centralización recaudaciones junio 2026 #4902 - #4902"/>
    <n v="14990"/>
    <s v="Activo"/>
    <n v="14990"/>
    <x v="2"/>
  </r>
  <r>
    <n v="2026"/>
    <n v="6"/>
    <s v="04-06-2026"/>
    <n v="12203"/>
    <s v="1101-04"/>
    <n v="28990"/>
    <n v="0"/>
    <s v="Centralización recaudaciones junio 2026 #4906 - #4906"/>
    <n v="28990"/>
    <s v="Activo"/>
    <n v="28990"/>
    <x v="2"/>
  </r>
  <r>
    <n v="2026"/>
    <n v="6"/>
    <s v="04-06-2026"/>
    <n v="12210"/>
    <s v="1101-04"/>
    <n v="28000"/>
    <n v="0"/>
    <s v="Centralización recaudaciones junio 2026 #4913 - #4913"/>
    <n v="28000"/>
    <s v="Activo"/>
    <n v="28000"/>
    <x v="2"/>
  </r>
  <r>
    <n v="2026"/>
    <n v="6"/>
    <s v="04-06-2026"/>
    <n v="12225"/>
    <s v="1101-04"/>
    <n v="14973"/>
    <n v="0"/>
    <s v="Centralización recaudaciones junio 2026 #4928 - #4928"/>
    <n v="14973"/>
    <s v="Activo"/>
    <n v="14973"/>
    <x v="2"/>
  </r>
  <r>
    <n v="2026"/>
    <n v="6"/>
    <s v="04-06-2026"/>
    <n v="12234"/>
    <s v="1101-04"/>
    <n v="54990"/>
    <n v="0"/>
    <s v="Centralización recaudaciones junio 2026 #4937 - #4937"/>
    <n v="54990"/>
    <s v="Activo"/>
    <n v="54990"/>
    <x v="2"/>
  </r>
  <r>
    <n v="2026"/>
    <n v="6"/>
    <s v="04-06-2026"/>
    <n v="12236"/>
    <s v="1101-04"/>
    <n v="29990"/>
    <n v="0"/>
    <s v="Centralización recaudaciones junio 2026 #4939 - #4939"/>
    <n v="29990"/>
    <s v="Activo"/>
    <n v="29990"/>
    <x v="2"/>
  </r>
  <r>
    <n v="2026"/>
    <n v="6"/>
    <s v="04-06-2026"/>
    <n v="12247"/>
    <s v="1101-04"/>
    <n v="24990"/>
    <n v="0"/>
    <s v="Centralización recaudaciones junio 2026 #4950 - #4950"/>
    <n v="24990"/>
    <s v="Activo"/>
    <n v="24990"/>
    <x v="2"/>
  </r>
  <r>
    <n v="2026"/>
    <n v="6"/>
    <s v="04-06-2026"/>
    <n v="12251"/>
    <s v="1101-04"/>
    <n v="80"/>
    <n v="0"/>
    <s v="Centralización recaudaciones junio 2026 #4954 - #4954"/>
    <n v="80"/>
    <s v="Activo"/>
    <n v="80"/>
    <x v="2"/>
  </r>
  <r>
    <n v="2026"/>
    <n v="6"/>
    <s v="04-06-2026"/>
    <n v="12256"/>
    <s v="1101-04"/>
    <n v="29990"/>
    <n v="0"/>
    <s v="Centralización recaudaciones junio 2026 #4959 - #4959"/>
    <n v="29990"/>
    <s v="Activo"/>
    <n v="29990"/>
    <x v="2"/>
  </r>
  <r>
    <n v="2026"/>
    <n v="6"/>
    <s v="04-06-2026"/>
    <n v="12267"/>
    <s v="1101-04"/>
    <n v="29990"/>
    <n v="0"/>
    <s v="Centralización recaudaciones junio 2026 #4970 - #4970"/>
    <n v="29990"/>
    <s v="Activo"/>
    <n v="29990"/>
    <x v="2"/>
  </r>
  <r>
    <n v="2026"/>
    <n v="6"/>
    <s v="04-06-2026"/>
    <n v="12276"/>
    <s v="1101-04"/>
    <n v="32990"/>
    <n v="0"/>
    <s v="Centralización recaudaciones junio 2026 #4979 - #4979"/>
    <n v="32990"/>
    <s v="Activo"/>
    <n v="32990"/>
    <x v="2"/>
  </r>
  <r>
    <n v="2026"/>
    <n v="6"/>
    <s v="04-06-2026"/>
    <n v="12330"/>
    <s v="1101-04"/>
    <n v="960"/>
    <n v="0"/>
    <s v="Centralización recaudaciones junio 2026 #5033 - #5033"/>
    <n v="960"/>
    <s v="Activo"/>
    <n v="960"/>
    <x v="2"/>
  </r>
  <r>
    <n v="2026"/>
    <n v="6"/>
    <s v="04-06-2026"/>
    <n v="12348"/>
    <s v="1101-04"/>
    <n v="60000"/>
    <n v="0"/>
    <s v="Centralización recaudaciones junio 2026 #5051 - #5051"/>
    <n v="60000"/>
    <s v="Activo"/>
    <n v="60000"/>
    <x v="2"/>
  </r>
  <r>
    <n v="2026"/>
    <n v="6"/>
    <s v="04-06-2026"/>
    <n v="12352"/>
    <s v="1101-04"/>
    <n v="29990"/>
    <n v="0"/>
    <s v="Centralización recaudaciones junio 2026 #5055 - #5055"/>
    <n v="29990"/>
    <s v="Activo"/>
    <n v="29990"/>
    <x v="2"/>
  </r>
  <r>
    <n v="2026"/>
    <n v="6"/>
    <s v="04-06-2026"/>
    <n v="12358"/>
    <s v="1101-04"/>
    <n v="43980"/>
    <n v="0"/>
    <s v="Centralización recaudaciones junio 2026 #5061 - #5061"/>
    <n v="43980"/>
    <s v="Activo"/>
    <n v="43980"/>
    <x v="2"/>
  </r>
  <r>
    <n v="2026"/>
    <n v="6"/>
    <s v="04-06-2026"/>
    <n v="12389"/>
    <s v="1101-04"/>
    <n v="40000"/>
    <n v="0"/>
    <s v="Centralización recaudaciones junio 2026 #5092 - #5092"/>
    <n v="40000"/>
    <s v="Activo"/>
    <n v="40000"/>
    <x v="2"/>
  </r>
  <r>
    <n v="2026"/>
    <n v="6"/>
    <s v="04-06-2026"/>
    <n v="12401"/>
    <s v="1101-04"/>
    <n v="60000"/>
    <n v="0"/>
    <s v="Centralización recaudaciones junio 2026 #5104 - #5104"/>
    <n v="60000"/>
    <s v="Activo"/>
    <n v="60000"/>
    <x v="2"/>
  </r>
  <r>
    <n v="2026"/>
    <n v="6"/>
    <s v="04-06-2026"/>
    <n v="12405"/>
    <s v="1101-04"/>
    <n v="14990"/>
    <n v="0"/>
    <s v="Centralización recaudaciones junio 2026 #5108 - #5108"/>
    <n v="14990"/>
    <s v="Activo"/>
    <n v="14990"/>
    <x v="2"/>
  </r>
  <r>
    <n v="2026"/>
    <n v="6"/>
    <s v="04-06-2026"/>
    <n v="12434"/>
    <s v="1101-04"/>
    <n v="32990"/>
    <n v="0"/>
    <s v="Centralización recaudaciones junio 2026 #5137 - #5137"/>
    <n v="32990"/>
    <s v="Activo"/>
    <n v="32990"/>
    <x v="2"/>
  </r>
  <r>
    <n v="2026"/>
    <n v="6"/>
    <s v="04-06-2026"/>
    <n v="12438"/>
    <s v="1101-04"/>
    <n v="15000"/>
    <n v="0"/>
    <s v="Centralización recaudaciones junio 2026 #5141 - #5141"/>
    <n v="15000"/>
    <s v="Activo"/>
    <n v="15000"/>
    <x v="2"/>
  </r>
  <r>
    <n v="2026"/>
    <n v="6"/>
    <s v="04-06-2026"/>
    <n v="12498"/>
    <s v="1101-04"/>
    <n v="40000"/>
    <n v="0"/>
    <s v="Centralización recaudaciones junio 2026 #5200 - #5200"/>
    <n v="40000"/>
    <s v="Activo"/>
    <n v="40000"/>
    <x v="2"/>
  </r>
  <r>
    <n v="2026"/>
    <n v="6"/>
    <s v="04-06-2026"/>
    <n v="12526"/>
    <s v="1101-04"/>
    <n v="990"/>
    <n v="0"/>
    <s v="Centralización recaudaciones junio 2026 #5228 - #5228"/>
    <n v="990"/>
    <s v="Activo"/>
    <n v="990"/>
    <x v="2"/>
  </r>
  <r>
    <n v="2026"/>
    <n v="6"/>
    <s v="04-06-2026"/>
    <n v="12547"/>
    <s v="1101-04"/>
    <n v="29990"/>
    <n v="0"/>
    <s v="Centralización recaudaciones junio 2026 #5249 - #5249"/>
    <n v="29990"/>
    <s v="Activo"/>
    <n v="29990"/>
    <x v="2"/>
  </r>
  <r>
    <n v="2026"/>
    <n v="6"/>
    <s v="04-06-2026"/>
    <n v="12559"/>
    <s v="1101-04"/>
    <n v="61000"/>
    <n v="0"/>
    <s v="Centralización recaudaciones junio 2026 #5261 - #5261"/>
    <n v="61000"/>
    <s v="Activo"/>
    <n v="61000"/>
    <x v="2"/>
  </r>
  <r>
    <n v="2026"/>
    <n v="6"/>
    <s v="05-06-2026"/>
    <n v="11950"/>
    <s v="1101-04"/>
    <n v="40000"/>
    <n v="0"/>
    <s v="Centralización recaudaciones junio 2026 #4656 - #4656"/>
    <n v="40000"/>
    <s v="Activo"/>
    <n v="40000"/>
    <x v="2"/>
  </r>
  <r>
    <n v="2026"/>
    <n v="6"/>
    <s v="05-06-2026"/>
    <n v="11990"/>
    <s v="1101-04"/>
    <n v="40000"/>
    <n v="0"/>
    <s v="Centralización recaudaciones junio 2026 #4695 - #4695"/>
    <n v="40000"/>
    <s v="Activo"/>
    <n v="40000"/>
    <x v="2"/>
  </r>
  <r>
    <n v="2026"/>
    <n v="6"/>
    <s v="05-06-2026"/>
    <n v="12021"/>
    <s v="1101-04"/>
    <n v="33990"/>
    <n v="0"/>
    <s v="Centralización recaudaciones junio 2026 #4726 - #4726"/>
    <n v="33990"/>
    <s v="Activo"/>
    <n v="33990"/>
    <x v="2"/>
  </r>
  <r>
    <n v="2026"/>
    <n v="6"/>
    <s v="05-06-2026"/>
    <n v="12033"/>
    <s v="1101-04"/>
    <n v="29000"/>
    <n v="0"/>
    <s v="Centralización recaudaciones junio 2026 #4738 - #4738"/>
    <n v="29000"/>
    <s v="Activo"/>
    <n v="29000"/>
    <x v="2"/>
  </r>
  <r>
    <n v="2026"/>
    <n v="6"/>
    <s v="05-06-2026"/>
    <n v="12034"/>
    <s v="1101-04"/>
    <n v="29990"/>
    <n v="0"/>
    <s v="Centralización recaudaciones junio 2026 #4739 - #4739"/>
    <n v="29990"/>
    <s v="Activo"/>
    <n v="29990"/>
    <x v="2"/>
  </r>
  <r>
    <n v="2026"/>
    <n v="6"/>
    <s v="05-06-2026"/>
    <n v="12137"/>
    <s v="1101-04"/>
    <n v="27990"/>
    <n v="0"/>
    <s v="Centralización recaudaciones junio 2026 #4840 - #4840"/>
    <n v="27990"/>
    <s v="Activo"/>
    <n v="27990"/>
    <x v="2"/>
  </r>
  <r>
    <n v="2026"/>
    <n v="6"/>
    <s v="05-06-2026"/>
    <n v="12186"/>
    <s v="1101-04"/>
    <n v="29990"/>
    <n v="0"/>
    <s v="Centralización recaudaciones junio 2026 #4889 - #4889"/>
    <n v="29990"/>
    <s v="Activo"/>
    <n v="29990"/>
    <x v="2"/>
  </r>
  <r>
    <n v="2026"/>
    <n v="6"/>
    <s v="05-06-2026"/>
    <n v="12200"/>
    <s v="1101-04"/>
    <n v="5000"/>
    <n v="0"/>
    <s v="Centralización recaudaciones junio 2026 #4903 - #4903"/>
    <n v="5000"/>
    <s v="Activo"/>
    <n v="5000"/>
    <x v="2"/>
  </r>
  <r>
    <n v="2026"/>
    <n v="6"/>
    <s v="05-06-2026"/>
    <n v="12211"/>
    <s v="1101-04"/>
    <n v="2783"/>
    <n v="0"/>
    <s v="Centralización recaudaciones junio 2026 #4914 - #4914"/>
    <n v="2783"/>
    <s v="Activo"/>
    <n v="2783"/>
    <x v="2"/>
  </r>
  <r>
    <n v="2026"/>
    <n v="6"/>
    <s v="05-06-2026"/>
    <n v="12226"/>
    <s v="1101-04"/>
    <n v="5017"/>
    <n v="0"/>
    <s v="Centralización recaudaciones junio 2026 #4929 - #4929"/>
    <n v="5017"/>
    <s v="Activo"/>
    <n v="5017"/>
    <x v="2"/>
  </r>
  <r>
    <n v="2026"/>
    <n v="6"/>
    <s v="05-06-2026"/>
    <n v="12231"/>
    <s v="1101-04"/>
    <n v="29990"/>
    <n v="0"/>
    <s v="Centralización recaudaciones junio 2026 #4934 - #4934"/>
    <n v="29990"/>
    <s v="Activo"/>
    <n v="29990"/>
    <x v="2"/>
  </r>
  <r>
    <n v="2026"/>
    <n v="6"/>
    <s v="05-06-2026"/>
    <n v="12252"/>
    <s v="1101-04"/>
    <n v="50"/>
    <n v="0"/>
    <s v="Centralización recaudaciones junio 2026 #4955 - #4955"/>
    <n v="50"/>
    <s v="Activo"/>
    <n v="50"/>
    <x v="2"/>
  </r>
  <r>
    <n v="2026"/>
    <n v="6"/>
    <s v="05-06-2026"/>
    <n v="12363"/>
    <s v="1101-04"/>
    <n v="69980"/>
    <n v="0"/>
    <s v="Centralización recaudaciones junio 2026 #5066 - #5066"/>
    <n v="69980"/>
    <s v="Activo"/>
    <n v="69980"/>
    <x v="2"/>
  </r>
  <r>
    <n v="2026"/>
    <n v="6"/>
    <s v="05-06-2026"/>
    <n v="12385"/>
    <s v="1101-04"/>
    <n v="14990"/>
    <n v="0"/>
    <s v="Centralización recaudaciones junio 2026 #5088 - #5088"/>
    <n v="14990"/>
    <s v="Activo"/>
    <n v="14990"/>
    <x v="2"/>
  </r>
  <r>
    <n v="2026"/>
    <n v="6"/>
    <s v="05-06-2026"/>
    <n v="12391"/>
    <s v="1101-04"/>
    <n v="29990"/>
    <n v="0"/>
    <s v="Centralización recaudaciones junio 2026 #5094 - #5094"/>
    <n v="29990"/>
    <s v="Activo"/>
    <n v="29990"/>
    <x v="2"/>
  </r>
  <r>
    <n v="2026"/>
    <n v="6"/>
    <s v="05-06-2026"/>
    <n v="12406"/>
    <s v="1101-04"/>
    <n v="2200"/>
    <n v="0"/>
    <s v="Centralización recaudaciones junio 2026 #5109 - #5109"/>
    <n v="2200"/>
    <s v="Activo"/>
    <n v="2200"/>
    <x v="2"/>
  </r>
  <r>
    <n v="2026"/>
    <n v="6"/>
    <s v="05-06-2026"/>
    <n v="12471"/>
    <s v="1101-04"/>
    <n v="51980"/>
    <n v="0"/>
    <s v="Centralización recaudaciones junio 2026 #5173 - #5173"/>
    <n v="51980"/>
    <s v="Activo"/>
    <n v="51980"/>
    <x v="2"/>
  </r>
  <r>
    <n v="2026"/>
    <n v="6"/>
    <s v="05-06-2026"/>
    <n v="12478"/>
    <s v="1101-04"/>
    <n v="520000"/>
    <n v="0"/>
    <s v="Centralización recaudaciones junio 2026 #5180 - #5180"/>
    <n v="520000"/>
    <s v="Activo"/>
    <n v="520000"/>
    <x v="2"/>
  </r>
  <r>
    <n v="2026"/>
    <n v="6"/>
    <s v="05-06-2026"/>
    <n v="12533"/>
    <s v="1101-04"/>
    <n v="40000"/>
    <n v="0"/>
    <s v="Centralización recaudaciones junio 2026 #5235 - #5235"/>
    <n v="40000"/>
    <s v="Activo"/>
    <n v="40000"/>
    <x v="2"/>
  </r>
  <r>
    <n v="2026"/>
    <n v="6"/>
    <s v="05-06-2026"/>
    <n v="12535"/>
    <s v="1101-04"/>
    <n v="1706000"/>
    <n v="0"/>
    <s v="Centralización recaudaciones junio 2026 #5237 - #5237"/>
    <n v="1706000"/>
    <s v="Activo"/>
    <n v="1706000"/>
    <x v="2"/>
  </r>
  <r>
    <n v="2026"/>
    <n v="6"/>
    <s v="05-06-2026"/>
    <n v="12545"/>
    <s v="1101-04"/>
    <n v="50000"/>
    <n v="0"/>
    <s v="Centralización recaudaciones junio 2026 #5247 - #5247"/>
    <n v="50000"/>
    <s v="Activo"/>
    <n v="50000"/>
    <x v="2"/>
  </r>
  <r>
    <n v="2026"/>
    <n v="6"/>
    <s v="05-06-2026"/>
    <n v="12566"/>
    <s v="1101-04"/>
    <n v="137318"/>
    <n v="0"/>
    <s v="Centralización recaudaciones junio 2026 #5268 - #5268"/>
    <n v="137318"/>
    <s v="Activo"/>
    <n v="137318"/>
    <x v="2"/>
  </r>
  <r>
    <n v="2026"/>
    <n v="6"/>
    <s v="08-06-2026"/>
    <n v="7899"/>
    <s v="1101-04"/>
    <n v="0"/>
    <n v="2598237"/>
    <s v="Centralización pagos junio 2026 #586 - #586"/>
    <n v="-2598237"/>
    <s v="Activo"/>
    <n v="-2598237"/>
    <x v="2"/>
  </r>
  <r>
    <n v="2026"/>
    <n v="6"/>
    <s v="08-06-2026"/>
    <n v="11964"/>
    <s v="1101-04"/>
    <n v="66000"/>
    <n v="0"/>
    <s v="Centralización recaudaciones junio 2026 #4669 - #4669"/>
    <n v="66000"/>
    <s v="Activo"/>
    <n v="66000"/>
    <x v="2"/>
  </r>
  <r>
    <n v="2026"/>
    <n v="6"/>
    <s v="08-06-2026"/>
    <n v="11979"/>
    <s v="1101-04"/>
    <n v="59990"/>
    <n v="0"/>
    <s v="Centralización recaudaciones junio 2026 #4684 - #4684"/>
    <n v="59990"/>
    <s v="Activo"/>
    <n v="59990"/>
    <x v="2"/>
  </r>
  <r>
    <n v="2026"/>
    <n v="6"/>
    <s v="08-06-2026"/>
    <n v="12003"/>
    <s v="1101-04"/>
    <n v="28990"/>
    <n v="0"/>
    <s v="Centralización recaudaciones junio 2026 #4708 - #4708"/>
    <n v="28990"/>
    <s v="Activo"/>
    <n v="28990"/>
    <x v="2"/>
  </r>
  <r>
    <n v="2026"/>
    <n v="6"/>
    <s v="08-06-2026"/>
    <n v="12019"/>
    <s v="1101-04"/>
    <n v="50000"/>
    <n v="0"/>
    <s v="Centralización recaudaciones junio 2026 #4724 - #4724"/>
    <n v="50000"/>
    <s v="Activo"/>
    <n v="50000"/>
    <x v="2"/>
  </r>
  <r>
    <n v="2026"/>
    <n v="6"/>
    <s v="08-06-2026"/>
    <n v="12020"/>
    <s v="1101-04"/>
    <n v="31999"/>
    <n v="0"/>
    <s v="Centralización recaudaciones junio 2026 #4725 - #4725"/>
    <n v="31999"/>
    <s v="Activo"/>
    <n v="31999"/>
    <x v="2"/>
  </r>
  <r>
    <n v="2026"/>
    <n v="6"/>
    <s v="08-06-2026"/>
    <n v="12022"/>
    <s v="1101-04"/>
    <n v="1000"/>
    <n v="0"/>
    <s v="Centralización recaudaciones junio 2026 #4727 - #4727"/>
    <n v="1000"/>
    <s v="Activo"/>
    <n v="1000"/>
    <x v="2"/>
  </r>
  <r>
    <n v="2026"/>
    <n v="6"/>
    <s v="08-06-2026"/>
    <n v="12078"/>
    <s v="1101-04"/>
    <n v="118974"/>
    <n v="0"/>
    <s v="Centralización recaudaciones junio 2026 #4781 - #4781"/>
    <n v="118974"/>
    <s v="Activo"/>
    <n v="118974"/>
    <x v="2"/>
  </r>
  <r>
    <n v="2026"/>
    <n v="6"/>
    <s v="08-06-2026"/>
    <n v="12081"/>
    <s v="1101-04"/>
    <n v="50000"/>
    <n v="0"/>
    <s v="Centralización recaudaciones junio 2026 #4784 - #4784"/>
    <n v="50000"/>
    <s v="Activo"/>
    <n v="50000"/>
    <x v="2"/>
  </r>
  <r>
    <n v="2026"/>
    <n v="6"/>
    <s v="08-06-2026"/>
    <n v="12088"/>
    <s v="1101-04"/>
    <n v="40000"/>
    <n v="0"/>
    <s v="Centralización recaudaciones junio 2026 #4791 - #4791"/>
    <n v="40000"/>
    <s v="Activo"/>
    <n v="40000"/>
    <x v="2"/>
  </r>
  <r>
    <n v="2026"/>
    <n v="6"/>
    <s v="08-06-2026"/>
    <n v="12102"/>
    <s v="1101-04"/>
    <n v="29990"/>
    <n v="0"/>
    <s v="Centralización recaudaciones junio 2026 #4805 - #4805"/>
    <n v="29990"/>
    <s v="Activo"/>
    <n v="29990"/>
    <x v="2"/>
  </r>
  <r>
    <n v="2026"/>
    <n v="6"/>
    <s v="08-06-2026"/>
    <n v="12112"/>
    <s v="1101-04"/>
    <n v="31000"/>
    <n v="0"/>
    <s v="Centralización recaudaciones junio 2026 #4815 - #4815"/>
    <n v="31000"/>
    <s v="Activo"/>
    <n v="31000"/>
    <x v="2"/>
  </r>
  <r>
    <n v="2026"/>
    <n v="6"/>
    <s v="08-06-2026"/>
    <n v="12118"/>
    <s v="1101-04"/>
    <n v="7000"/>
    <n v="0"/>
    <s v="Centralización recaudaciones junio 2026 #4821 - #4821"/>
    <n v="7000"/>
    <s v="Activo"/>
    <n v="7000"/>
    <x v="2"/>
  </r>
  <r>
    <n v="2026"/>
    <n v="6"/>
    <s v="08-06-2026"/>
    <n v="12134"/>
    <s v="1101-04"/>
    <n v="2044896"/>
    <n v="0"/>
    <s v="Centralización recaudaciones junio 2026 #4837 - #4837"/>
    <n v="2044896"/>
    <s v="Activo"/>
    <n v="2044896"/>
    <x v="2"/>
  </r>
  <r>
    <n v="2026"/>
    <n v="6"/>
    <s v="08-06-2026"/>
    <n v="12135"/>
    <s v="1101-04"/>
    <n v="432411"/>
    <n v="0"/>
    <s v="Centralización recaudaciones junio 2026 #4838 - #4838"/>
    <n v="432411"/>
    <s v="Activo"/>
    <n v="432411"/>
    <x v="2"/>
  </r>
  <r>
    <n v="2026"/>
    <n v="6"/>
    <s v="08-06-2026"/>
    <n v="12147"/>
    <s v="1101-04"/>
    <n v="43960"/>
    <n v="0"/>
    <s v="Centralización recaudaciones junio 2026 #4850 - #4850"/>
    <n v="43960"/>
    <s v="Activo"/>
    <n v="43960"/>
    <x v="2"/>
  </r>
  <r>
    <n v="2026"/>
    <n v="6"/>
    <s v="08-06-2026"/>
    <n v="12152"/>
    <s v="1101-04"/>
    <n v="21990"/>
    <n v="0"/>
    <s v="Centralización recaudaciones junio 2026 #4855 - #4855"/>
    <n v="21990"/>
    <s v="Activo"/>
    <n v="21990"/>
    <x v="2"/>
  </r>
  <r>
    <n v="2026"/>
    <n v="6"/>
    <s v="08-06-2026"/>
    <n v="12157"/>
    <s v="1101-04"/>
    <n v="21990"/>
    <n v="0"/>
    <s v="Centralización recaudaciones junio 2026 #4860 - #4860"/>
    <n v="21990"/>
    <s v="Activo"/>
    <n v="21990"/>
    <x v="2"/>
  </r>
  <r>
    <n v="2026"/>
    <n v="6"/>
    <s v="08-06-2026"/>
    <n v="12158"/>
    <s v="1101-04"/>
    <n v="990"/>
    <n v="0"/>
    <s v="Centralización recaudaciones junio 2026 #4861 - #4861"/>
    <n v="990"/>
    <s v="Activo"/>
    <n v="990"/>
    <x v="2"/>
  </r>
  <r>
    <n v="2026"/>
    <n v="6"/>
    <s v="08-06-2026"/>
    <n v="12178"/>
    <s v="1101-04"/>
    <n v="25990"/>
    <n v="0"/>
    <s v="Centralización recaudaciones junio 2026 #4881 - #4881"/>
    <n v="25990"/>
    <s v="Activo"/>
    <n v="25990"/>
    <x v="2"/>
  </r>
  <r>
    <n v="2026"/>
    <n v="6"/>
    <s v="08-06-2026"/>
    <n v="12180"/>
    <s v="1101-04"/>
    <n v="40000"/>
    <n v="0"/>
    <s v="Centralización recaudaciones junio 2026 #4883 - #4883"/>
    <n v="40000"/>
    <s v="Activo"/>
    <n v="40000"/>
    <x v="2"/>
  </r>
  <r>
    <n v="2026"/>
    <n v="6"/>
    <s v="08-06-2026"/>
    <n v="12191"/>
    <s v="1101-04"/>
    <n v="21990"/>
    <n v="0"/>
    <s v="Centralización recaudaciones junio 2026 #4894 - #4894"/>
    <n v="21990"/>
    <s v="Activo"/>
    <n v="21990"/>
    <x v="2"/>
  </r>
  <r>
    <n v="2026"/>
    <n v="6"/>
    <s v="08-06-2026"/>
    <n v="12193"/>
    <s v="1101-04"/>
    <n v="29990"/>
    <n v="0"/>
    <s v="Centralización recaudaciones junio 2026 #4896 - #4896"/>
    <n v="29990"/>
    <s v="Activo"/>
    <n v="29990"/>
    <x v="2"/>
  </r>
  <r>
    <n v="2026"/>
    <n v="6"/>
    <s v="08-06-2026"/>
    <n v="12202"/>
    <s v="1101-04"/>
    <n v="4303"/>
    <n v="0"/>
    <s v="Centralización recaudaciones junio 2026 #4905 - #4905"/>
    <n v="4303"/>
    <s v="Activo"/>
    <n v="4303"/>
    <x v="2"/>
  </r>
  <r>
    <n v="2026"/>
    <n v="6"/>
    <s v="08-06-2026"/>
    <n v="12207"/>
    <s v="1101-04"/>
    <n v="2678"/>
    <n v="0"/>
    <s v="Centralización recaudaciones junio 2026 #4910 - #4910"/>
    <n v="2678"/>
    <s v="Activo"/>
    <n v="2678"/>
    <x v="2"/>
  </r>
  <r>
    <n v="2026"/>
    <n v="6"/>
    <s v="08-06-2026"/>
    <n v="12212"/>
    <s v="1101-04"/>
    <n v="16756"/>
    <n v="0"/>
    <s v="Centralización recaudaciones junio 2026 #4915 - #4915"/>
    <n v="16756"/>
    <s v="Activo"/>
    <n v="16756"/>
    <x v="2"/>
  </r>
  <r>
    <n v="2026"/>
    <n v="6"/>
    <s v="08-06-2026"/>
    <n v="12215"/>
    <s v="1101-04"/>
    <n v="26990"/>
    <n v="0"/>
    <s v="Centralización recaudaciones junio 2026 #4918 - #4918"/>
    <n v="26990"/>
    <s v="Activo"/>
    <n v="26990"/>
    <x v="2"/>
  </r>
  <r>
    <n v="2026"/>
    <n v="6"/>
    <s v="08-06-2026"/>
    <n v="12237"/>
    <s v="1101-04"/>
    <n v="990"/>
    <n v="0"/>
    <s v="Centralización recaudaciones junio 2026 #4940 - #4940"/>
    <n v="990"/>
    <s v="Activo"/>
    <n v="990"/>
    <x v="2"/>
  </r>
  <r>
    <n v="2026"/>
    <n v="6"/>
    <s v="08-06-2026"/>
    <n v="12248"/>
    <s v="1101-04"/>
    <n v="21990"/>
    <n v="0"/>
    <s v="Centralización recaudaciones junio 2026 #4951 - #4951"/>
    <n v="21990"/>
    <s v="Activo"/>
    <n v="21990"/>
    <x v="2"/>
  </r>
  <r>
    <n v="2026"/>
    <n v="6"/>
    <s v="08-06-2026"/>
    <n v="12253"/>
    <s v="1101-04"/>
    <n v="1860"/>
    <n v="0"/>
    <s v="Centralización recaudaciones junio 2026 #4956 - #4956"/>
    <n v="1860"/>
    <s v="Activo"/>
    <n v="1860"/>
    <x v="2"/>
  </r>
  <r>
    <n v="2026"/>
    <n v="6"/>
    <s v="08-06-2026"/>
    <n v="12260"/>
    <s v="1101-04"/>
    <n v="4990"/>
    <n v="0"/>
    <s v="Centralización recaudaciones junio 2026 #4963 - #4963"/>
    <n v="4990"/>
    <s v="Activo"/>
    <n v="4990"/>
    <x v="2"/>
  </r>
  <r>
    <n v="2026"/>
    <n v="6"/>
    <s v="08-06-2026"/>
    <n v="12277"/>
    <s v="1101-04"/>
    <n v="29990"/>
    <n v="0"/>
    <s v="Centralización recaudaciones junio 2026 #4980 - #4980"/>
    <n v="29990"/>
    <s v="Activo"/>
    <n v="29990"/>
    <x v="2"/>
  </r>
  <r>
    <n v="2026"/>
    <n v="6"/>
    <s v="08-06-2026"/>
    <n v="12280"/>
    <s v="1101-04"/>
    <n v="21990"/>
    <n v="0"/>
    <s v="Centralización recaudaciones junio 2026 #4983 - #4983"/>
    <n v="21990"/>
    <s v="Activo"/>
    <n v="21990"/>
    <x v="2"/>
  </r>
  <r>
    <n v="2026"/>
    <n v="6"/>
    <s v="08-06-2026"/>
    <n v="12287"/>
    <s v="1101-04"/>
    <n v="44000"/>
    <n v="0"/>
    <s v="Centralización recaudaciones junio 2026 #4990 - #4990"/>
    <n v="44000"/>
    <s v="Activo"/>
    <n v="44000"/>
    <x v="2"/>
  </r>
  <r>
    <n v="2026"/>
    <n v="6"/>
    <s v="08-06-2026"/>
    <n v="12294"/>
    <s v="1101-04"/>
    <n v="22990"/>
    <n v="0"/>
    <s v="Centralización recaudaciones junio 2026 #4997 - #4997"/>
    <n v="22990"/>
    <s v="Activo"/>
    <n v="22990"/>
    <x v="2"/>
  </r>
  <r>
    <n v="2026"/>
    <n v="6"/>
    <s v="08-06-2026"/>
    <n v="12295"/>
    <s v="1101-04"/>
    <n v="29990"/>
    <n v="0"/>
    <s v="Centralización recaudaciones junio 2026 #4998 - #4998"/>
    <n v="29990"/>
    <s v="Activo"/>
    <n v="29990"/>
    <x v="2"/>
  </r>
  <r>
    <n v="2026"/>
    <n v="6"/>
    <s v="08-06-2026"/>
    <n v="12299"/>
    <s v="1101-04"/>
    <n v="28990"/>
    <n v="0"/>
    <s v="Centralización recaudaciones junio 2026 #5002 - #5002"/>
    <n v="28990"/>
    <s v="Activo"/>
    <n v="28990"/>
    <x v="2"/>
  </r>
  <r>
    <n v="2026"/>
    <n v="6"/>
    <s v="08-06-2026"/>
    <n v="12325"/>
    <s v="1101-04"/>
    <n v="990"/>
    <n v="0"/>
    <s v="Centralización recaudaciones junio 2026 #5028 - #5028"/>
    <n v="990"/>
    <s v="Activo"/>
    <n v="990"/>
    <x v="2"/>
  </r>
  <r>
    <n v="2026"/>
    <n v="6"/>
    <s v="08-06-2026"/>
    <n v="12334"/>
    <s v="1101-04"/>
    <n v="50000"/>
    <n v="0"/>
    <s v="Centralización recaudaciones junio 2026 #5037 - #5037"/>
    <n v="50000"/>
    <s v="Activo"/>
    <n v="50000"/>
    <x v="2"/>
  </r>
  <r>
    <n v="2026"/>
    <n v="6"/>
    <s v="08-06-2026"/>
    <n v="12354"/>
    <s v="1101-04"/>
    <n v="816776"/>
    <n v="0"/>
    <s v="Centralización recaudaciones junio 2026 #5057 - #5057"/>
    <n v="816776"/>
    <s v="Activo"/>
    <n v="816776"/>
    <x v="2"/>
  </r>
  <r>
    <n v="2026"/>
    <n v="6"/>
    <s v="08-06-2026"/>
    <n v="12361"/>
    <s v="1101-04"/>
    <n v="21990"/>
    <n v="0"/>
    <s v="Centralización recaudaciones junio 2026 #5064 - #5064"/>
    <n v="21990"/>
    <s v="Activo"/>
    <n v="21990"/>
    <x v="2"/>
  </r>
  <r>
    <n v="2026"/>
    <n v="6"/>
    <s v="08-06-2026"/>
    <n v="12377"/>
    <s v="1101-04"/>
    <n v="29738"/>
    <n v="0"/>
    <s v="Centralización recaudaciones junio 2026 #5080 - #5080"/>
    <n v="29738"/>
    <s v="Activo"/>
    <n v="29738"/>
    <x v="2"/>
  </r>
  <r>
    <n v="2026"/>
    <n v="6"/>
    <s v="08-06-2026"/>
    <n v="12386"/>
    <s v="1101-04"/>
    <n v="7000"/>
    <n v="0"/>
    <s v="Centralización recaudaciones junio 2026 #5089 - #5089"/>
    <n v="7000"/>
    <s v="Activo"/>
    <n v="7000"/>
    <x v="2"/>
  </r>
  <r>
    <n v="2026"/>
    <n v="6"/>
    <s v="08-06-2026"/>
    <n v="12396"/>
    <s v="1101-04"/>
    <n v="21990"/>
    <n v="0"/>
    <s v="Centralización recaudaciones junio 2026 #5099 - #5099"/>
    <n v="21990"/>
    <s v="Activo"/>
    <n v="21990"/>
    <x v="2"/>
  </r>
  <r>
    <n v="2026"/>
    <n v="6"/>
    <s v="08-06-2026"/>
    <n v="12407"/>
    <s v="1101-04"/>
    <n v="122"/>
    <n v="0"/>
    <s v="Centralización recaudaciones junio 2026 #5110 - #5110"/>
    <n v="122"/>
    <s v="Activo"/>
    <n v="122"/>
    <x v="2"/>
  </r>
  <r>
    <n v="2026"/>
    <n v="6"/>
    <s v="08-06-2026"/>
    <n v="12424"/>
    <s v="1101-04"/>
    <n v="111399"/>
    <n v="0"/>
    <s v="Centralización recaudaciones junio 2026 #5127 - #5127"/>
    <n v="111399"/>
    <s v="Activo"/>
    <n v="111399"/>
    <x v="2"/>
  </r>
  <r>
    <n v="2026"/>
    <n v="6"/>
    <s v="08-06-2026"/>
    <n v="12432"/>
    <s v="1101-04"/>
    <n v="140"/>
    <n v="0"/>
    <s v="Centralización recaudaciones junio 2026 #5135 - #5135"/>
    <n v="140"/>
    <s v="Activo"/>
    <n v="140"/>
    <x v="2"/>
  </r>
  <r>
    <n v="2026"/>
    <n v="6"/>
    <s v="08-06-2026"/>
    <n v="12436"/>
    <s v="1101-04"/>
    <n v="7000"/>
    <n v="0"/>
    <s v="Centralización recaudaciones junio 2026 #5139 - #5139"/>
    <n v="7000"/>
    <s v="Activo"/>
    <n v="7000"/>
    <x v="2"/>
  </r>
  <r>
    <n v="2026"/>
    <n v="6"/>
    <s v="08-06-2026"/>
    <n v="12451"/>
    <s v="1101-04"/>
    <n v="29738"/>
    <n v="0"/>
    <s v="Centralización recaudaciones junio 2026 #5154 - #5154"/>
    <n v="29738"/>
    <s v="Activo"/>
    <n v="29738"/>
    <x v="2"/>
  </r>
  <r>
    <n v="2026"/>
    <n v="6"/>
    <s v="08-06-2026"/>
    <n v="12456"/>
    <s v="1101-04"/>
    <n v="28990"/>
    <n v="0"/>
    <s v="Centralización recaudaciones junio 2026 #5159 - #5159"/>
    <n v="28990"/>
    <s v="Activo"/>
    <n v="28990"/>
    <x v="2"/>
  </r>
  <r>
    <n v="2026"/>
    <n v="6"/>
    <s v="08-06-2026"/>
    <n v="12464"/>
    <s v="1101-04"/>
    <n v="21990"/>
    <n v="0"/>
    <s v="Centralización recaudaciones junio 2026 #5166 - #5166"/>
    <n v="21990"/>
    <s v="Activo"/>
    <n v="21990"/>
    <x v="2"/>
  </r>
  <r>
    <n v="2026"/>
    <n v="6"/>
    <s v="08-06-2026"/>
    <n v="12469"/>
    <s v="1101-04"/>
    <n v="21990"/>
    <n v="0"/>
    <s v="Centralización recaudaciones junio 2026 #5171 - #5171"/>
    <n v="21990"/>
    <s v="Activo"/>
    <n v="21990"/>
    <x v="2"/>
  </r>
  <r>
    <n v="2026"/>
    <n v="6"/>
    <s v="08-06-2026"/>
    <n v="12477"/>
    <s v="1101-04"/>
    <n v="34990"/>
    <n v="0"/>
    <s v="Centralización recaudaciones junio 2026 #5179 - #5179"/>
    <n v="34990"/>
    <s v="Activo"/>
    <n v="34990"/>
    <x v="2"/>
  </r>
  <r>
    <n v="2026"/>
    <n v="6"/>
    <s v="08-06-2026"/>
    <n v="12508"/>
    <s v="1101-04"/>
    <n v="21990"/>
    <n v="0"/>
    <s v="Centralización recaudaciones junio 2026 #5210 - #5210"/>
    <n v="21990"/>
    <s v="Activo"/>
    <n v="21990"/>
    <x v="2"/>
  </r>
  <r>
    <n v="2026"/>
    <n v="6"/>
    <s v="08-06-2026"/>
    <n v="12511"/>
    <s v="1101-04"/>
    <n v="40000"/>
    <n v="0"/>
    <s v="Centralización recaudaciones junio 2026 #5213 - #5213"/>
    <n v="40000"/>
    <s v="Activo"/>
    <n v="40000"/>
    <x v="2"/>
  </r>
  <r>
    <n v="2026"/>
    <n v="6"/>
    <s v="08-06-2026"/>
    <n v="12527"/>
    <s v="1101-04"/>
    <n v="576548"/>
    <n v="0"/>
    <s v="Centralización recaudaciones junio 2026 #5229 - #5229"/>
    <n v="576548"/>
    <s v="Activo"/>
    <n v="576548"/>
    <x v="2"/>
  </r>
  <r>
    <n v="2026"/>
    <n v="6"/>
    <s v="08-06-2026"/>
    <n v="12537"/>
    <s v="1101-04"/>
    <n v="29990"/>
    <n v="0"/>
    <s v="Centralización recaudaciones junio 2026 #5239 - #5239"/>
    <n v="29990"/>
    <s v="Activo"/>
    <n v="29990"/>
    <x v="2"/>
  </r>
  <r>
    <n v="2026"/>
    <n v="6"/>
    <s v="08-06-2026"/>
    <n v="12539"/>
    <s v="1101-04"/>
    <n v="29750"/>
    <n v="0"/>
    <s v="Centralización recaudaciones junio 2026 #5241 - #5241"/>
    <n v="29750"/>
    <s v="Activo"/>
    <n v="29750"/>
    <x v="2"/>
  </r>
  <r>
    <n v="2026"/>
    <n v="6"/>
    <s v="08-06-2026"/>
    <n v="12565"/>
    <s v="1101-04"/>
    <n v="45000"/>
    <n v="0"/>
    <s v="Centralización recaudaciones junio 2026 #5267 - #5267"/>
    <n v="45000"/>
    <s v="Activo"/>
    <n v="45000"/>
    <x v="2"/>
  </r>
  <r>
    <n v="2026"/>
    <n v="6"/>
    <s v="08-06-2026"/>
    <n v="10791"/>
    <s v="1101-04"/>
    <n v="1215282"/>
    <n v="0"/>
    <s v="Traspaso entre cuentas bancarias"/>
    <n v="1215282"/>
    <s v="Activo"/>
    <n v="1215282"/>
    <x v="2"/>
  </r>
  <r>
    <n v="2026"/>
    <n v="6"/>
    <s v="08-06-2026"/>
    <n v="10792"/>
    <s v="1101-04"/>
    <n v="2500000"/>
    <n v="0"/>
    <s v="Traspaso entre cuentas bancarias"/>
    <n v="2500000"/>
    <s v="Activo"/>
    <n v="2500000"/>
    <x v="2"/>
  </r>
  <r>
    <n v="2026"/>
    <n v="6"/>
    <s v="08-06-2026"/>
    <n v="10832"/>
    <s v="1101-04"/>
    <n v="0"/>
    <n v="1277541"/>
    <s v="Traspaso entre cuentas"/>
    <n v="-1277541"/>
    <s v="Activo"/>
    <n v="-1277541"/>
    <x v="2"/>
  </r>
  <r>
    <n v="2026"/>
    <n v="6"/>
    <s v="08-06-2026"/>
    <n v="10833"/>
    <s v="1101-04"/>
    <n v="0"/>
    <n v="5000000"/>
    <s v="Traspaso entre cuentas"/>
    <n v="-5000000"/>
    <s v="Activo"/>
    <n v="-5000000"/>
    <x v="2"/>
  </r>
  <r>
    <n v="2026"/>
    <n v="6"/>
    <s v="08-06-2026"/>
    <n v="10834"/>
    <s v="1101-04"/>
    <n v="0"/>
    <n v="2864466"/>
    <s v="Traspaso entre cuentas"/>
    <n v="-2864466"/>
    <s v="Activo"/>
    <n v="-2864466"/>
    <x v="2"/>
  </r>
  <r>
    <n v="2026"/>
    <n v="6"/>
    <s v="08-06-2026"/>
    <n v="10835"/>
    <s v="1101-04"/>
    <n v="0"/>
    <n v="5000000"/>
    <s v="Traspaso entre cuentas"/>
    <n v="-5000000"/>
    <s v="Activo"/>
    <n v="-5000000"/>
    <x v="2"/>
  </r>
  <r>
    <n v="2026"/>
    <n v="6"/>
    <s v="08-06-2026"/>
    <n v="10836"/>
    <s v="1101-04"/>
    <n v="0"/>
    <n v="5000000"/>
    <s v="Traspaso entre cuentas"/>
    <n v="-5000000"/>
    <s v="Activo"/>
    <n v="-5000000"/>
    <x v="2"/>
  </r>
  <r>
    <n v="2026"/>
    <n v="6"/>
    <s v="09-06-2026"/>
    <n v="12014"/>
    <s v="1101-04"/>
    <n v="28990"/>
    <n v="0"/>
    <s v="Centralización recaudaciones junio 2026 #4719 - #4719"/>
    <n v="28990"/>
    <s v="Activo"/>
    <n v="28990"/>
    <x v="2"/>
  </r>
  <r>
    <n v="2026"/>
    <n v="6"/>
    <s v="09-06-2026"/>
    <n v="12065"/>
    <s v="1101-04"/>
    <n v="556920"/>
    <n v="0"/>
    <s v="Centralización recaudaciones junio 2026 #4770 - #4770"/>
    <n v="556920"/>
    <s v="Activo"/>
    <n v="556920"/>
    <x v="2"/>
  </r>
  <r>
    <n v="2026"/>
    <n v="6"/>
    <s v="09-06-2026"/>
    <n v="12071"/>
    <s v="1101-04"/>
    <n v="28990"/>
    <n v="0"/>
    <s v="Centralización recaudaciones junio 2026 #4776 - #4776"/>
    <n v="28990"/>
    <s v="Activo"/>
    <n v="28990"/>
    <x v="2"/>
  </r>
  <r>
    <n v="2026"/>
    <n v="6"/>
    <s v="09-06-2026"/>
    <n v="12159"/>
    <s v="1101-04"/>
    <n v="30000"/>
    <n v="0"/>
    <s v="Centralización recaudaciones junio 2026 #4862 - #4862"/>
    <n v="30000"/>
    <s v="Activo"/>
    <n v="30000"/>
    <x v="2"/>
  </r>
  <r>
    <n v="2026"/>
    <n v="6"/>
    <s v="09-06-2026"/>
    <n v="12205"/>
    <s v="1101-04"/>
    <n v="5000"/>
    <n v="0"/>
    <s v="Centralización recaudaciones junio 2026 #4908 - #4908"/>
    <n v="5000"/>
    <s v="Activo"/>
    <n v="5000"/>
    <x v="2"/>
  </r>
  <r>
    <n v="2026"/>
    <n v="6"/>
    <s v="09-06-2026"/>
    <n v="12208"/>
    <s v="1101-04"/>
    <n v="2322"/>
    <n v="0"/>
    <s v="Centralización recaudaciones junio 2026 #4911 - #4911"/>
    <n v="2322"/>
    <s v="Activo"/>
    <n v="2322"/>
    <x v="2"/>
  </r>
  <r>
    <n v="2026"/>
    <n v="6"/>
    <s v="09-06-2026"/>
    <n v="12238"/>
    <s v="1101-04"/>
    <n v="34000"/>
    <n v="0"/>
    <s v="Centralización recaudaciones junio 2026 #4941 - #4941"/>
    <n v="34000"/>
    <s v="Activo"/>
    <n v="34000"/>
    <x v="2"/>
  </r>
  <r>
    <n v="2026"/>
    <n v="6"/>
    <s v="09-06-2026"/>
    <n v="12272"/>
    <s v="1101-04"/>
    <n v="14990"/>
    <n v="0"/>
    <s v="Centralización recaudaciones junio 2026 #4975 - #4975"/>
    <n v="14990"/>
    <s v="Activo"/>
    <n v="14990"/>
    <x v="2"/>
  </r>
  <r>
    <n v="2026"/>
    <n v="6"/>
    <s v="09-06-2026"/>
    <n v="12281"/>
    <s v="1101-04"/>
    <n v="4259785"/>
    <n v="0"/>
    <s v="Centralización recaudaciones junio 2026 #4984 - #4984"/>
    <n v="4259785"/>
    <s v="Activo"/>
    <n v="4259785"/>
    <x v="2"/>
  </r>
  <r>
    <n v="2026"/>
    <n v="6"/>
    <s v="09-06-2026"/>
    <n v="12311"/>
    <s v="1101-04"/>
    <n v="133280"/>
    <n v="0"/>
    <s v="Centralización recaudaciones junio 2026 #5014 - #5014"/>
    <n v="133280"/>
    <s v="Activo"/>
    <n v="133280"/>
    <x v="2"/>
  </r>
  <r>
    <n v="2026"/>
    <n v="6"/>
    <s v="09-06-2026"/>
    <n v="12326"/>
    <s v="1101-04"/>
    <n v="34000"/>
    <n v="0"/>
    <s v="Centralización recaudaciones junio 2026 #5029 - #5029"/>
    <n v="34000"/>
    <s v="Activo"/>
    <n v="34000"/>
    <x v="2"/>
  </r>
  <r>
    <n v="2026"/>
    <n v="6"/>
    <s v="09-06-2026"/>
    <n v="12356"/>
    <s v="1101-04"/>
    <n v="1554071"/>
    <n v="0"/>
    <s v="Centralización recaudaciones junio 2026 #5059 - #5059"/>
    <n v="1554071"/>
    <s v="Activo"/>
    <n v="1554071"/>
    <x v="2"/>
  </r>
  <r>
    <n v="2026"/>
    <n v="6"/>
    <s v="09-06-2026"/>
    <n v="12403"/>
    <s v="1101-04"/>
    <n v="21990"/>
    <n v="0"/>
    <s v="Centralización recaudaciones junio 2026 #5106 - #5106"/>
    <n v="21990"/>
    <s v="Activo"/>
    <n v="21990"/>
    <x v="2"/>
  </r>
  <r>
    <n v="2026"/>
    <n v="6"/>
    <s v="09-06-2026"/>
    <n v="12408"/>
    <s v="1101-04"/>
    <n v="2678"/>
    <n v="0"/>
    <s v="Centralización recaudaciones junio 2026 #5111 - #5111"/>
    <n v="2678"/>
    <s v="Activo"/>
    <n v="2678"/>
    <x v="2"/>
  </r>
  <r>
    <n v="2026"/>
    <n v="6"/>
    <s v="09-06-2026"/>
    <n v="12426"/>
    <s v="1101-04"/>
    <n v="5000"/>
    <n v="0"/>
    <s v="Centralización recaudaciones junio 2026 #5129 - #5129"/>
    <n v="5000"/>
    <s v="Activo"/>
    <n v="5000"/>
    <x v="2"/>
  </r>
  <r>
    <n v="2026"/>
    <n v="6"/>
    <s v="09-06-2026"/>
    <n v="12433"/>
    <s v="1101-04"/>
    <n v="24850"/>
    <n v="0"/>
    <s v="Centralización recaudaciones junio 2026 #5136 - #5136"/>
    <n v="24850"/>
    <s v="Activo"/>
    <n v="24850"/>
    <x v="2"/>
  </r>
  <r>
    <n v="2026"/>
    <n v="6"/>
    <s v="09-06-2026"/>
    <n v="12437"/>
    <s v="1101-04"/>
    <n v="14990"/>
    <n v="0"/>
    <s v="Centralización recaudaciones junio 2026 #5140 - #5140"/>
    <n v="14990"/>
    <s v="Activo"/>
    <n v="14990"/>
    <x v="2"/>
  </r>
  <r>
    <n v="2026"/>
    <n v="6"/>
    <s v="09-06-2026"/>
    <n v="12479"/>
    <s v="1101-04"/>
    <n v="520000"/>
    <n v="0"/>
    <s v="Centralización recaudaciones junio 2026 #5181 - #5181"/>
    <n v="520000"/>
    <s v="Activo"/>
    <n v="520000"/>
    <x v="2"/>
  </r>
  <r>
    <n v="2026"/>
    <n v="6"/>
    <s v="09-06-2026"/>
    <n v="12485"/>
    <s v="1101-04"/>
    <n v="520000"/>
    <n v="0"/>
    <s v="Centralización recaudaciones junio 2026 #5187 - #5187"/>
    <n v="520000"/>
    <s v="Activo"/>
    <n v="520000"/>
    <x v="2"/>
  </r>
  <r>
    <n v="2026"/>
    <n v="6"/>
    <s v="09-06-2026"/>
    <n v="12494"/>
    <s v="1101-04"/>
    <n v="1709480"/>
    <n v="0"/>
    <s v="Centralización recaudaciones junio 2026 #5196 - #5196"/>
    <n v="1709480"/>
    <s v="Activo"/>
    <n v="1709480"/>
    <x v="2"/>
  </r>
  <r>
    <n v="2026"/>
    <n v="6"/>
    <s v="10-06-2026"/>
    <n v="11998"/>
    <s v="1101-04"/>
    <n v="131578"/>
    <n v="0"/>
    <s v="Centralización recaudaciones junio 2026 #4703 - #4703"/>
    <n v="131578"/>
    <s v="Activo"/>
    <n v="131578"/>
    <x v="2"/>
  </r>
  <r>
    <n v="2026"/>
    <n v="6"/>
    <s v="10-06-2026"/>
    <n v="12057"/>
    <s v="1101-04"/>
    <n v="59990"/>
    <n v="0"/>
    <s v="Centralización recaudaciones junio 2026 #4762 - #4762"/>
    <n v="59990"/>
    <s v="Activo"/>
    <n v="59990"/>
    <x v="2"/>
  </r>
  <r>
    <n v="2026"/>
    <n v="6"/>
    <s v="10-06-2026"/>
    <n v="12059"/>
    <s v="1101-04"/>
    <n v="6910"/>
    <n v="0"/>
    <s v="Centralización recaudaciones junio 2026 #4764 - #4764"/>
    <n v="6910"/>
    <s v="Activo"/>
    <n v="6910"/>
    <x v="2"/>
  </r>
  <r>
    <n v="2026"/>
    <n v="6"/>
    <s v="10-06-2026"/>
    <n v="12103"/>
    <s v="1101-04"/>
    <n v="59990"/>
    <n v="0"/>
    <s v="Centralización recaudaciones junio 2026 #4806 - #4806"/>
    <n v="59990"/>
    <s v="Activo"/>
    <n v="59990"/>
    <x v="2"/>
  </r>
  <r>
    <n v="2026"/>
    <n v="6"/>
    <s v="10-06-2026"/>
    <n v="12164"/>
    <s v="1101-04"/>
    <n v="6000"/>
    <n v="0"/>
    <s v="Centralización recaudaciones junio 2026 #4867 - #4867"/>
    <n v="6000"/>
    <s v="Activo"/>
    <n v="6000"/>
    <x v="2"/>
  </r>
  <r>
    <n v="2026"/>
    <n v="6"/>
    <s v="10-06-2026"/>
    <n v="12213"/>
    <s v="1101-04"/>
    <n v="2265"/>
    <n v="0"/>
    <s v="Centralización recaudaciones junio 2026 #4916 - #4916"/>
    <n v="2265"/>
    <s v="Activo"/>
    <n v="2265"/>
    <x v="2"/>
  </r>
  <r>
    <n v="2026"/>
    <n v="6"/>
    <s v="10-06-2026"/>
    <n v="12235"/>
    <s v="1101-04"/>
    <n v="586"/>
    <n v="0"/>
    <s v="Centralización recaudaciones junio 2026 #4938 - #4938"/>
    <n v="586"/>
    <s v="Activo"/>
    <n v="586"/>
    <x v="2"/>
  </r>
  <r>
    <n v="2026"/>
    <n v="6"/>
    <s v="10-06-2026"/>
    <n v="12273"/>
    <s v="1101-04"/>
    <n v="8000"/>
    <n v="0"/>
    <s v="Centralización recaudaciones junio 2026 #4976 - #4976"/>
    <n v="8000"/>
    <s v="Activo"/>
    <n v="8000"/>
    <x v="2"/>
  </r>
  <r>
    <n v="2026"/>
    <n v="6"/>
    <s v="10-06-2026"/>
    <n v="12344"/>
    <s v="1101-04"/>
    <n v="432410"/>
    <n v="0"/>
    <s v="Centralización recaudaciones junio 2026 #5047 - #5047"/>
    <n v="432410"/>
    <s v="Activo"/>
    <n v="432410"/>
    <x v="2"/>
  </r>
  <r>
    <n v="2026"/>
    <n v="6"/>
    <s v="10-06-2026"/>
    <n v="12397"/>
    <s v="1101-04"/>
    <n v="22990"/>
    <n v="0"/>
    <s v="Centralización recaudaciones junio 2026 #5100 - #5100"/>
    <n v="22990"/>
    <s v="Activo"/>
    <n v="22990"/>
    <x v="2"/>
  </r>
  <r>
    <n v="2026"/>
    <n v="6"/>
    <s v="10-06-2026"/>
    <n v="12409"/>
    <s v="1101-04"/>
    <n v="2051"/>
    <n v="0"/>
    <s v="Centralización recaudaciones junio 2026 #5112 - #5112"/>
    <n v="2051"/>
    <s v="Activo"/>
    <n v="2051"/>
    <x v="2"/>
  </r>
  <r>
    <n v="2026"/>
    <n v="6"/>
    <s v="10-06-2026"/>
    <n v="12422"/>
    <s v="1101-04"/>
    <n v="32980"/>
    <n v="0"/>
    <s v="Centralización recaudaciones junio 2026 #5125 - #5125"/>
    <n v="32980"/>
    <s v="Activo"/>
    <n v="32980"/>
    <x v="2"/>
  </r>
  <r>
    <n v="2026"/>
    <n v="6"/>
    <s v="10-06-2026"/>
    <n v="12439"/>
    <s v="1101-04"/>
    <n v="6900"/>
    <n v="0"/>
    <s v="Centralización recaudaciones junio 2026 #5142 - #5142"/>
    <n v="6900"/>
    <s v="Activo"/>
    <n v="6900"/>
    <x v="2"/>
  </r>
  <r>
    <n v="2026"/>
    <n v="6"/>
    <s v="10-06-2026"/>
    <n v="12457"/>
    <s v="1101-04"/>
    <n v="21990"/>
    <n v="0"/>
    <s v="Centralización recaudaciones junio 2026 #5160 - #5160"/>
    <n v="21990"/>
    <s v="Activo"/>
    <n v="21990"/>
    <x v="2"/>
  </r>
  <r>
    <n v="2026"/>
    <n v="6"/>
    <s v="10-06-2026"/>
    <n v="12507"/>
    <s v="1101-04"/>
    <n v="195000"/>
    <n v="0"/>
    <s v="Centralización recaudaciones junio 2026 #5209 - #5209"/>
    <n v="195000"/>
    <s v="Activo"/>
    <n v="195000"/>
    <x v="2"/>
  </r>
  <r>
    <n v="2026"/>
    <n v="6"/>
    <s v="10-06-2026"/>
    <n v="12549"/>
    <s v="1101-04"/>
    <n v="174"/>
    <n v="0"/>
    <s v="Centralización recaudaciones junio 2026 #5251 - #5251"/>
    <n v="174"/>
    <s v="Activo"/>
    <n v="174"/>
    <x v="2"/>
  </r>
  <r>
    <n v="2026"/>
    <n v="6"/>
    <s v="11-06-2026"/>
    <n v="12062"/>
    <s v="1101-04"/>
    <n v="41980"/>
    <n v="0"/>
    <s v="Centralización recaudaciones junio 2026 #4767 - #4767"/>
    <n v="41980"/>
    <s v="Activo"/>
    <n v="41980"/>
    <x v="2"/>
  </r>
  <r>
    <n v="2026"/>
    <n v="6"/>
    <s v="11-06-2026"/>
    <n v="12410"/>
    <s v="1101-04"/>
    <n v="14990"/>
    <n v="0"/>
    <s v="Centralización recaudaciones junio 2026 #5113 - #5113"/>
    <n v="14990"/>
    <s v="Activo"/>
    <n v="14990"/>
    <x v="2"/>
  </r>
  <r>
    <n v="2026"/>
    <n v="6"/>
    <s v="11-06-2026"/>
    <n v="12419"/>
    <s v="1101-04"/>
    <n v="320462"/>
    <n v="0"/>
    <s v="Centralización recaudaciones junio 2026 #5122 - #5122"/>
    <n v="320462"/>
    <s v="Activo"/>
    <n v="320462"/>
    <x v="2"/>
  </r>
  <r>
    <n v="2026"/>
    <n v="6"/>
    <s v="11-06-2026"/>
    <n v="12487"/>
    <s v="1101-04"/>
    <n v="336320"/>
    <n v="0"/>
    <s v="Centralización recaudaciones junio 2026 #5189 - #5189"/>
    <n v="336320"/>
    <s v="Activo"/>
    <n v="336320"/>
    <x v="2"/>
  </r>
  <r>
    <n v="2026"/>
    <n v="6"/>
    <s v="12-06-2026"/>
    <n v="7898"/>
    <s v="1101-04"/>
    <n v="0"/>
    <n v="76813"/>
    <s v="Centralización pagos junio 2026 #587 - #587"/>
    <n v="-76813"/>
    <s v="Activo"/>
    <n v="-76813"/>
    <x v="2"/>
  </r>
  <r>
    <n v="2026"/>
    <n v="6"/>
    <s v="12-06-2026"/>
    <n v="7900"/>
    <s v="1101-04"/>
    <n v="0"/>
    <n v="2623195"/>
    <s v="Centralización pagos junio 2026 #588 - #588"/>
    <n v="-2623195"/>
    <s v="Activo"/>
    <n v="-2623195"/>
    <x v="2"/>
  </r>
  <r>
    <n v="2026"/>
    <n v="6"/>
    <s v="12-06-2026"/>
    <n v="12063"/>
    <s v="1101-04"/>
    <n v="20"/>
    <n v="0"/>
    <s v="Centralización recaudaciones junio 2026 #4768 - #4768"/>
    <n v="20"/>
    <s v="Activo"/>
    <n v="20"/>
    <x v="2"/>
  </r>
  <r>
    <n v="2026"/>
    <n v="6"/>
    <s v="12-06-2026"/>
    <n v="12121"/>
    <s v="1101-04"/>
    <n v="28990"/>
    <n v="0"/>
    <s v="Centralización recaudaciones junio 2026 #4824 - #4824"/>
    <n v="28990"/>
    <s v="Activo"/>
    <n v="28990"/>
    <x v="2"/>
  </r>
  <r>
    <n v="2026"/>
    <n v="6"/>
    <s v="12-06-2026"/>
    <n v="12275"/>
    <s v="1101-04"/>
    <n v="49990"/>
    <n v="0"/>
    <s v="Centralización recaudaciones junio 2026 #4978 - #4978"/>
    <n v="49990"/>
    <s v="Activo"/>
    <n v="49990"/>
    <x v="2"/>
  </r>
  <r>
    <n v="2026"/>
    <n v="6"/>
    <s v="12-06-2026"/>
    <n v="12411"/>
    <s v="1101-04"/>
    <n v="6749"/>
    <n v="0"/>
    <s v="Centralización recaudaciones junio 2026 #5114 - #5114"/>
    <n v="6749"/>
    <s v="Activo"/>
    <n v="6749"/>
    <x v="2"/>
  </r>
  <r>
    <n v="2026"/>
    <n v="6"/>
    <s v="12-06-2026"/>
    <n v="12474"/>
    <s v="1101-04"/>
    <n v="8221"/>
    <n v="0"/>
    <s v="Centralización recaudaciones junio 2026 #5176 - #5176"/>
    <n v="8221"/>
    <s v="Activo"/>
    <n v="8221"/>
    <x v="2"/>
  </r>
  <r>
    <n v="2026"/>
    <n v="6"/>
    <s v="12-06-2026"/>
    <n v="10793"/>
    <s v="1101-04"/>
    <n v="0"/>
    <n v="2500000"/>
    <s v="Traspaso entre cuentas bancarias"/>
    <n v="-2500000"/>
    <s v="Activo"/>
    <n v="-2500000"/>
    <x v="2"/>
  </r>
  <r>
    <n v="2026"/>
    <n v="6"/>
    <s v="12-06-2026"/>
    <n v="10827"/>
    <s v="1101-04"/>
    <n v="0"/>
    <n v="1000000"/>
    <s v="Traspaso entre cuentas"/>
    <n v="-1000000"/>
    <s v="Activo"/>
    <n v="-1000000"/>
    <x v="2"/>
  </r>
  <r>
    <n v="2026"/>
    <n v="6"/>
    <s v="12-06-2026"/>
    <n v="10828"/>
    <s v="1101-04"/>
    <n v="0"/>
    <n v="5000000"/>
    <s v="Traspaso entre cuentas"/>
    <n v="-5000000"/>
    <s v="Activo"/>
    <n v="-5000000"/>
    <x v="2"/>
  </r>
  <r>
    <n v="2026"/>
    <n v="6"/>
    <s v="15-06-2026"/>
    <n v="7896"/>
    <s v="1101-04"/>
    <n v="0"/>
    <n v="1509844"/>
    <s v="Remesa transf extranjero web"/>
    <n v="-1509844"/>
    <s v="Activo"/>
    <n v="-1509844"/>
    <x v="2"/>
  </r>
  <r>
    <n v="2026"/>
    <n v="6"/>
    <s v="15-06-2026"/>
    <n v="7901"/>
    <s v="1101-04"/>
    <n v="0"/>
    <n v="75991"/>
    <s v="Centralización pagos junio 2026 #589 - #589"/>
    <n v="-75991"/>
    <s v="Activo"/>
    <n v="-75991"/>
    <x v="2"/>
  </r>
  <r>
    <n v="2026"/>
    <n v="6"/>
    <s v="15-06-2026"/>
    <n v="12119"/>
    <s v="1101-04"/>
    <n v="67980"/>
    <n v="0"/>
    <s v="Centralización recaudaciones junio 2026 #4822 - #4822"/>
    <n v="67980"/>
    <s v="Activo"/>
    <n v="67980"/>
    <x v="2"/>
  </r>
  <r>
    <n v="2026"/>
    <n v="6"/>
    <s v="15-06-2026"/>
    <n v="12136"/>
    <s v="1101-04"/>
    <n v="128000"/>
    <n v="0"/>
    <s v="Centralización recaudaciones junio 2026 #4839 - #4839"/>
    <n v="128000"/>
    <s v="Activo"/>
    <n v="128000"/>
    <x v="2"/>
  </r>
  <r>
    <n v="2026"/>
    <n v="6"/>
    <s v="15-06-2026"/>
    <n v="12269"/>
    <s v="1101-04"/>
    <n v="429427"/>
    <n v="0"/>
    <s v="Centralización recaudaciones junio 2026 #4972 - #4972"/>
    <n v="429427"/>
    <s v="Activo"/>
    <n v="429427"/>
    <x v="2"/>
  </r>
  <r>
    <n v="2026"/>
    <n v="6"/>
    <s v="15-06-2026"/>
    <n v="12359"/>
    <s v="1101-04"/>
    <n v="424580"/>
    <n v="0"/>
    <s v="Centralización recaudaciones junio 2026 #5062 - #5062"/>
    <n v="424580"/>
    <s v="Activo"/>
    <n v="424580"/>
    <x v="2"/>
  </r>
  <r>
    <n v="2026"/>
    <n v="6"/>
    <s v="15-06-2026"/>
    <n v="12475"/>
    <s v="1101-04"/>
    <n v="15779"/>
    <n v="0"/>
    <s v="Centralización recaudaciones junio 2026 #5177 - #5177"/>
    <n v="15779"/>
    <s v="Activo"/>
    <n v="15779"/>
    <x v="2"/>
  </r>
  <r>
    <n v="2026"/>
    <n v="6"/>
    <s v="15-06-2026"/>
    <n v="12521"/>
    <s v="1101-04"/>
    <n v="7055"/>
    <n v="0"/>
    <s v="Centralización recaudaciones junio 2026 #5223 - #5223"/>
    <n v="7055"/>
    <s v="Activo"/>
    <n v="7055"/>
    <x v="2"/>
  </r>
  <r>
    <n v="2026"/>
    <n v="6"/>
    <s v="16-06-2026"/>
    <n v="12328"/>
    <s v="1101-04"/>
    <n v="69590"/>
    <n v="0"/>
    <s v="Centralización recaudaciones junio 2026 #5031 - #5031"/>
    <n v="69590"/>
    <s v="Activo"/>
    <n v="69590"/>
    <x v="2"/>
  </r>
  <r>
    <n v="2026"/>
    <n v="6"/>
    <s v="16-06-2026"/>
    <n v="12522"/>
    <s v="1101-04"/>
    <n v="14990"/>
    <n v="0"/>
    <s v="Centralización recaudaciones junio 2026 #5224 - #5224"/>
    <n v="14990"/>
    <s v="Activo"/>
    <n v="14990"/>
    <x v="2"/>
  </r>
  <r>
    <n v="2026"/>
    <n v="6"/>
    <s v="17-06-2026"/>
    <n v="7902"/>
    <s v="1101-04"/>
    <n v="0"/>
    <n v="3966151"/>
    <s v="Centralización pagos junio 2026 #590 - #590"/>
    <n v="-3966151"/>
    <s v="Activo"/>
    <n v="-3966151"/>
    <x v="2"/>
  </r>
  <r>
    <n v="2026"/>
    <n v="6"/>
    <s v="17-06-2026"/>
    <n v="12189"/>
    <s v="1101-04"/>
    <n v="28990"/>
    <n v="0"/>
    <s v="Centralización recaudaciones junio 2026 #4892 - #4892"/>
    <n v="28990"/>
    <s v="Activo"/>
    <n v="28990"/>
    <x v="2"/>
  </r>
  <r>
    <n v="2026"/>
    <n v="6"/>
    <s v="17-06-2026"/>
    <n v="12270"/>
    <s v="1101-04"/>
    <n v="429427"/>
    <n v="0"/>
    <s v="Centralización recaudaciones junio 2026 #4973 - #4973"/>
    <n v="429427"/>
    <s v="Activo"/>
    <n v="429427"/>
    <x v="2"/>
  </r>
  <r>
    <n v="2026"/>
    <n v="6"/>
    <s v="17-06-2026"/>
    <n v="12318"/>
    <s v="1101-04"/>
    <n v="14990"/>
    <n v="0"/>
    <s v="Centralización recaudaciones junio 2026 #5021 - #5021"/>
    <n v="14990"/>
    <s v="Activo"/>
    <n v="14990"/>
    <x v="2"/>
  </r>
  <r>
    <n v="2026"/>
    <n v="6"/>
    <s v="17-06-2026"/>
    <n v="12320"/>
    <s v="1101-04"/>
    <n v="21990"/>
    <n v="0"/>
    <s v="Centralización recaudaciones junio 2026 #5023 - #5023"/>
    <n v="21990"/>
    <s v="Activo"/>
    <n v="21990"/>
    <x v="2"/>
  </r>
  <r>
    <n v="2026"/>
    <n v="6"/>
    <s v="17-06-2026"/>
    <n v="12441"/>
    <s v="1101-04"/>
    <n v="40000"/>
    <n v="0"/>
    <s v="Centralización recaudaciones junio 2026 #5144 - #5144"/>
    <n v="40000"/>
    <s v="Activo"/>
    <n v="40000"/>
    <x v="2"/>
  </r>
  <r>
    <n v="2026"/>
    <n v="6"/>
    <s v="17-06-2026"/>
    <n v="12541"/>
    <s v="1101-04"/>
    <n v="46990"/>
    <n v="0"/>
    <s v="Centralización recaudaciones junio 2026 #5243 - #5243"/>
    <n v="46990"/>
    <s v="Activo"/>
    <n v="46990"/>
    <x v="2"/>
  </r>
  <r>
    <n v="2026"/>
    <n v="6"/>
    <s v="17-06-2026"/>
    <n v="10794"/>
    <s v="1101-04"/>
    <n v="4000000"/>
    <n v="0"/>
    <s v="Traspaso entre cuentas bancarias"/>
    <n v="4000000"/>
    <s v="Activo"/>
    <n v="4000000"/>
    <x v="2"/>
  </r>
  <r>
    <n v="2026"/>
    <n v="6"/>
    <s v="18-06-2026"/>
    <n v="12404"/>
    <s v="1101-04"/>
    <n v="94000"/>
    <n v="0"/>
    <s v="Centralización recaudaciones junio 2026 #5107 - #5107"/>
    <n v="94000"/>
    <s v="Activo"/>
    <n v="94000"/>
    <x v="2"/>
  </r>
  <r>
    <n v="2026"/>
    <n v="6"/>
    <s v="18-06-2026"/>
    <n v="12509"/>
    <s v="1101-04"/>
    <n v="25000"/>
    <n v="0"/>
    <s v="Centralización recaudaciones junio 2026 #5211 - #5211"/>
    <n v="25000"/>
    <s v="Activo"/>
    <n v="25000"/>
    <x v="2"/>
  </r>
  <r>
    <n v="2026"/>
    <n v="6"/>
    <s v="18-06-2026"/>
    <n v="12524"/>
    <s v="1101-04"/>
    <n v="35700"/>
    <n v="0"/>
    <s v="Centralización recaudaciones junio 2026 #5226 - #5226"/>
    <n v="35700"/>
    <s v="Activo"/>
    <n v="35700"/>
    <x v="2"/>
  </r>
  <r>
    <n v="2026"/>
    <n v="6"/>
    <s v="18-06-2026"/>
    <n v="12542"/>
    <s v="1101-04"/>
    <n v="31"/>
    <n v="0"/>
    <s v="Centralización recaudaciones junio 2026 #5244 - #5244"/>
    <n v="31"/>
    <s v="Activo"/>
    <n v="31"/>
    <x v="2"/>
  </r>
  <r>
    <n v="2026"/>
    <n v="6"/>
    <s v="18-06-2026"/>
    <n v="12555"/>
    <s v="1101-04"/>
    <n v="571800"/>
    <n v="0"/>
    <s v="Centralización recaudaciones junio 2026 #5257 - #5257"/>
    <n v="571800"/>
    <s v="Activo"/>
    <n v="571800"/>
    <x v="2"/>
  </r>
  <r>
    <n v="2026"/>
    <n v="6"/>
    <s v="19-06-2026"/>
    <n v="7894"/>
    <s v="1101-04"/>
    <n v="0"/>
    <n v="2300"/>
    <s v="Pago bh 15818611 conservador de bienes raices d"/>
    <n v="-2300"/>
    <s v="Activo"/>
    <n v="-2300"/>
    <x v="2"/>
  </r>
  <r>
    <n v="2026"/>
    <n v="6"/>
    <s v="19-06-2026"/>
    <n v="12012"/>
    <s v="1101-04"/>
    <n v="119613"/>
    <n v="0"/>
    <s v="Centralización recaudaciones junio 2026 #4717 - #4717"/>
    <n v="119613"/>
    <s v="Activo"/>
    <n v="119613"/>
    <x v="2"/>
  </r>
  <r>
    <n v="2026"/>
    <n v="6"/>
    <s v="19-06-2026"/>
    <n v="12070"/>
    <s v="1101-04"/>
    <n v="194094"/>
    <n v="0"/>
    <s v="Centralización recaudaciones junio 2026 #4775 - #4775"/>
    <n v="194094"/>
    <s v="Activo"/>
    <n v="194094"/>
    <x v="2"/>
  </r>
  <r>
    <n v="2026"/>
    <n v="6"/>
    <s v="19-06-2026"/>
    <n v="12082"/>
    <s v="1101-04"/>
    <n v="120114"/>
    <n v="0"/>
    <s v="Centralización recaudaciones junio 2026 #4785 - #4785"/>
    <n v="120114"/>
    <s v="Activo"/>
    <n v="120114"/>
    <x v="2"/>
  </r>
  <r>
    <n v="2026"/>
    <n v="6"/>
    <s v="19-06-2026"/>
    <n v="12319"/>
    <s v="1101-04"/>
    <n v="10000"/>
    <n v="0"/>
    <s v="Centralización recaudaciones junio 2026 #5022 - #5022"/>
    <n v="10000"/>
    <s v="Activo"/>
    <n v="10000"/>
    <x v="2"/>
  </r>
  <r>
    <n v="2026"/>
    <n v="6"/>
    <s v="19-06-2026"/>
    <n v="12321"/>
    <s v="1101-04"/>
    <n v="884792"/>
    <n v="0"/>
    <s v="Centralización recaudaciones junio 2026 #5024 - #5024"/>
    <n v="884792"/>
    <s v="Activo"/>
    <n v="884792"/>
    <x v="2"/>
  </r>
  <r>
    <n v="2026"/>
    <n v="6"/>
    <s v="19-06-2026"/>
    <n v="12384"/>
    <s v="1101-04"/>
    <n v="24990"/>
    <n v="0"/>
    <s v="Centralización recaudaciones junio 2026 #5087 - #5087"/>
    <n v="24990"/>
    <s v="Activo"/>
    <n v="24990"/>
    <x v="2"/>
  </r>
  <r>
    <n v="2026"/>
    <n v="6"/>
    <s v="19-06-2026"/>
    <n v="12394"/>
    <s v="1101-04"/>
    <n v="32990"/>
    <n v="0"/>
    <s v="Centralización recaudaciones junio 2026 #5097 - #5097"/>
    <n v="32990"/>
    <s v="Activo"/>
    <n v="32990"/>
    <x v="2"/>
  </r>
  <r>
    <n v="2026"/>
    <n v="6"/>
    <s v="19-06-2026"/>
    <n v="12440"/>
    <s v="1101-04"/>
    <n v="118964"/>
    <n v="0"/>
    <s v="Centralización recaudaciones junio 2026 #5143 - #5143"/>
    <n v="118964"/>
    <s v="Activo"/>
    <n v="118964"/>
    <x v="2"/>
  </r>
  <r>
    <n v="2026"/>
    <n v="6"/>
    <s v="19-06-2026"/>
    <n v="12473"/>
    <s v="1101-04"/>
    <n v="24990"/>
    <n v="0"/>
    <s v="Centralización recaudaciones junio 2026 #5175 - #5175"/>
    <n v="24990"/>
    <s v="Activo"/>
    <n v="24990"/>
    <x v="2"/>
  </r>
  <r>
    <n v="2026"/>
    <n v="6"/>
    <s v="19-06-2026"/>
    <n v="12476"/>
    <s v="1101-04"/>
    <n v="24990"/>
    <n v="0"/>
    <s v="Centralización recaudaciones junio 2026 #5178 - #5178"/>
    <n v="24990"/>
    <s v="Activo"/>
    <n v="24990"/>
    <x v="2"/>
  </r>
  <r>
    <n v="2026"/>
    <n v="6"/>
    <s v="19-06-2026"/>
    <n v="12516"/>
    <s v="1101-04"/>
    <n v="773"/>
    <n v="0"/>
    <s v="Centralización recaudaciones junio 2026 #5218 - #5218"/>
    <n v="773"/>
    <s v="Activo"/>
    <n v="773"/>
    <x v="2"/>
  </r>
  <r>
    <n v="2026"/>
    <n v="6"/>
    <s v="19-06-2026"/>
    <n v="12523"/>
    <s v="1101-04"/>
    <n v="1955"/>
    <n v="0"/>
    <s v="Centralización recaudaciones junio 2026 #5225 - #5225"/>
    <n v="1955"/>
    <s v="Activo"/>
    <n v="1955"/>
    <x v="2"/>
  </r>
  <r>
    <n v="2026"/>
    <n v="6"/>
    <s v="19-06-2026"/>
    <n v="12543"/>
    <s v="1101-04"/>
    <n v="579"/>
    <n v="0"/>
    <s v="Centralización recaudaciones junio 2026 #5245 - #5245"/>
    <n v="579"/>
    <s v="Activo"/>
    <n v="579"/>
    <x v="2"/>
  </r>
  <r>
    <n v="2026"/>
    <n v="6"/>
    <s v="19-06-2026"/>
    <n v="10820"/>
    <s v="1101-04"/>
    <n v="0"/>
    <n v="3000000"/>
    <s v="Traspaso entre cuentas"/>
    <n v="-3000000"/>
    <s v="Activo"/>
    <n v="-3000000"/>
    <x v="2"/>
  </r>
  <r>
    <n v="2026"/>
    <n v="6"/>
    <s v="22-06-2026"/>
    <n v="12016"/>
    <s v="1101-04"/>
    <n v="34990"/>
    <n v="0"/>
    <s v="Centralización recaudaciones junio 2026 #4721 - #4721"/>
    <n v="34990"/>
    <s v="Activo"/>
    <n v="34990"/>
    <x v="2"/>
  </r>
  <r>
    <n v="2026"/>
    <n v="6"/>
    <s v="22-06-2026"/>
    <n v="12098"/>
    <s v="1101-04"/>
    <n v="59980"/>
    <n v="0"/>
    <s v="Centralización recaudaciones junio 2026 #4801 - #4801"/>
    <n v="59980"/>
    <s v="Activo"/>
    <n v="59980"/>
    <x v="2"/>
  </r>
  <r>
    <n v="2026"/>
    <n v="6"/>
    <s v="22-06-2026"/>
    <n v="12116"/>
    <s v="1101-04"/>
    <n v="271337"/>
    <n v="0"/>
    <s v="Centralización recaudaciones junio 2026 #4819 - #4819"/>
    <n v="271337"/>
    <s v="Activo"/>
    <n v="271337"/>
    <x v="2"/>
  </r>
  <r>
    <n v="2026"/>
    <n v="6"/>
    <s v="22-06-2026"/>
    <n v="12143"/>
    <s v="1101-04"/>
    <n v="456433"/>
    <n v="0"/>
    <s v="Centralización recaudaciones junio 2026 #4846 - #4846"/>
    <n v="456433"/>
    <s v="Activo"/>
    <n v="456433"/>
    <x v="2"/>
  </r>
  <r>
    <n v="2026"/>
    <n v="6"/>
    <s v="22-06-2026"/>
    <n v="12265"/>
    <s v="1101-04"/>
    <n v="144137"/>
    <n v="0"/>
    <s v="Centralización recaudaciones junio 2026 #4968 - #4968"/>
    <n v="144137"/>
    <s v="Activo"/>
    <n v="144137"/>
    <x v="2"/>
  </r>
  <r>
    <n v="2026"/>
    <n v="6"/>
    <s v="22-06-2026"/>
    <n v="12310"/>
    <s v="1101-04"/>
    <n v="28971"/>
    <n v="0"/>
    <s v="Centralización recaudaciones junio 2026 #5013 - #5013"/>
    <n v="28971"/>
    <s v="Activo"/>
    <n v="28971"/>
    <x v="2"/>
  </r>
  <r>
    <n v="2026"/>
    <n v="6"/>
    <s v="22-06-2026"/>
    <n v="12353"/>
    <s v="1101-04"/>
    <n v="28990"/>
    <n v="0"/>
    <s v="Centralización recaudaciones junio 2026 #5056 - #5056"/>
    <n v="28990"/>
    <s v="Activo"/>
    <n v="28990"/>
    <x v="2"/>
  </r>
  <r>
    <n v="2026"/>
    <n v="6"/>
    <s v="22-06-2026"/>
    <n v="12368"/>
    <s v="1101-04"/>
    <n v="674102"/>
    <n v="0"/>
    <s v="Centralización recaudaciones junio 2026 #5071 - #5071"/>
    <n v="674102"/>
    <s v="Activo"/>
    <n v="674102"/>
    <x v="2"/>
  </r>
  <r>
    <n v="2026"/>
    <n v="6"/>
    <s v="22-06-2026"/>
    <n v="12370"/>
    <s v="1101-04"/>
    <n v="6462"/>
    <n v="0"/>
    <s v="Centralización recaudaciones junio 2026 #5073 - #5073"/>
    <n v="6462"/>
    <s v="Activo"/>
    <n v="6462"/>
    <x v="2"/>
  </r>
  <r>
    <n v="2026"/>
    <n v="6"/>
    <s v="22-06-2026"/>
    <n v="12376"/>
    <s v="1101-04"/>
    <n v="27360"/>
    <n v="0"/>
    <s v="Centralización recaudaciones junio 2026 #5079 - #5079"/>
    <n v="27360"/>
    <s v="Activo"/>
    <n v="27360"/>
    <x v="2"/>
  </r>
  <r>
    <n v="2026"/>
    <n v="6"/>
    <s v="22-06-2026"/>
    <n v="12503"/>
    <s v="1101-04"/>
    <n v="30000"/>
    <n v="0"/>
    <s v="Centralización recaudaciones junio 2026 #5205 - #5205"/>
    <n v="30000"/>
    <s v="Activo"/>
    <n v="30000"/>
    <x v="2"/>
  </r>
  <r>
    <n v="2026"/>
    <n v="6"/>
    <s v="22-06-2026"/>
    <n v="12517"/>
    <s v="1101-04"/>
    <n v="24217"/>
    <n v="0"/>
    <s v="Centralización recaudaciones junio 2026 #5219 - #5219"/>
    <n v="24217"/>
    <s v="Activo"/>
    <n v="24217"/>
    <x v="2"/>
  </r>
  <r>
    <n v="2026"/>
    <n v="6"/>
    <s v="23-06-2026"/>
    <n v="12079"/>
    <s v="1101-04"/>
    <n v="43980"/>
    <n v="0"/>
    <s v="Centralización recaudaciones junio 2026 #4782 - #4782"/>
    <n v="43980"/>
    <s v="Activo"/>
    <n v="43980"/>
    <x v="2"/>
  </r>
  <r>
    <n v="2026"/>
    <n v="6"/>
    <s v="23-06-2026"/>
    <n v="12104"/>
    <s v="1101-04"/>
    <n v="30000"/>
    <n v="0"/>
    <s v="Centralización recaudaciones junio 2026 #4807 - #4807"/>
    <n v="30000"/>
    <s v="Activo"/>
    <n v="30000"/>
    <x v="2"/>
  </r>
  <r>
    <n v="2026"/>
    <n v="6"/>
    <s v="23-06-2026"/>
    <n v="12173"/>
    <s v="1101-04"/>
    <n v="30000"/>
    <n v="0"/>
    <s v="Centralización recaudaciones junio 2026 #4876 - #4876"/>
    <n v="30000"/>
    <s v="Activo"/>
    <n v="30000"/>
    <x v="2"/>
  </r>
  <r>
    <n v="2026"/>
    <n v="6"/>
    <s v="23-06-2026"/>
    <n v="12283"/>
    <s v="1101-04"/>
    <n v="30000"/>
    <n v="0"/>
    <s v="Centralización recaudaciones junio 2026 #4986 - #4986"/>
    <n v="30000"/>
    <s v="Activo"/>
    <n v="30000"/>
    <x v="2"/>
  </r>
  <r>
    <n v="2026"/>
    <n v="6"/>
    <s v="23-06-2026"/>
    <n v="12293"/>
    <s v="1101-04"/>
    <n v="32990"/>
    <n v="0"/>
    <s v="Centralización recaudaciones junio 2026 #4996 - #4996"/>
    <n v="32990"/>
    <s v="Activo"/>
    <n v="32990"/>
    <x v="2"/>
  </r>
  <r>
    <n v="2026"/>
    <n v="6"/>
    <s v="23-06-2026"/>
    <n v="12360"/>
    <s v="1101-04"/>
    <n v="849160"/>
    <n v="0"/>
    <s v="Centralización recaudaciones junio 2026 #5063 - #5063"/>
    <n v="849160"/>
    <s v="Activo"/>
    <n v="849160"/>
    <x v="2"/>
  </r>
  <r>
    <n v="2026"/>
    <n v="6"/>
    <s v="23-06-2026"/>
    <n v="12371"/>
    <s v="1101-04"/>
    <n v="14990"/>
    <n v="0"/>
    <s v="Centralización recaudaciones junio 2026 #5074 - #5074"/>
    <n v="14990"/>
    <s v="Activo"/>
    <n v="14990"/>
    <x v="2"/>
  </r>
  <r>
    <n v="2026"/>
    <n v="6"/>
    <s v="23-06-2026"/>
    <n v="12460"/>
    <s v="1101-04"/>
    <n v="59980"/>
    <n v="0"/>
    <s v="Centralización recaudaciones junio 2026 #5162 - #5162"/>
    <n v="59980"/>
    <s v="Activo"/>
    <n v="59980"/>
    <x v="2"/>
  </r>
  <r>
    <n v="2026"/>
    <n v="6"/>
    <s v="23-06-2026"/>
    <n v="12504"/>
    <s v="1101-04"/>
    <n v="20"/>
    <n v="0"/>
    <s v="Centralización recaudaciones junio 2026 #5206 - #5206"/>
    <n v="20"/>
    <s v="Activo"/>
    <n v="20"/>
    <x v="2"/>
  </r>
  <r>
    <n v="2026"/>
    <n v="6"/>
    <s v="23-06-2026"/>
    <n v="10815"/>
    <s v="1101-04"/>
    <n v="0"/>
    <n v="3000000"/>
    <s v="Traspaso entre cuentas"/>
    <n v="-3000000"/>
    <s v="Activo"/>
    <n v="-3000000"/>
    <x v="2"/>
  </r>
  <r>
    <n v="2026"/>
    <n v="6"/>
    <s v="24-06-2026"/>
    <n v="12043"/>
    <s v="1101-04"/>
    <n v="59980"/>
    <n v="0"/>
    <s v="Centralización recaudaciones junio 2026 #4748 - #4748"/>
    <n v="59980"/>
    <s v="Activo"/>
    <n v="59980"/>
    <x v="2"/>
  </r>
  <r>
    <n v="2026"/>
    <n v="6"/>
    <s v="24-06-2026"/>
    <n v="12166"/>
    <s v="1101-04"/>
    <n v="30000"/>
    <n v="0"/>
    <s v="Centralización recaudaciones junio 2026 #4869 - #4869"/>
    <n v="30000"/>
    <s v="Activo"/>
    <n v="30000"/>
    <x v="2"/>
  </r>
  <r>
    <n v="2026"/>
    <n v="6"/>
    <s v="24-06-2026"/>
    <n v="12219"/>
    <s v="1101-04"/>
    <n v="30000"/>
    <n v="0"/>
    <s v="Centralización recaudaciones junio 2026 #4922 - #4922"/>
    <n v="30000"/>
    <s v="Activo"/>
    <n v="30000"/>
    <x v="2"/>
  </r>
  <r>
    <n v="2026"/>
    <n v="6"/>
    <s v="24-06-2026"/>
    <n v="12398"/>
    <s v="1101-04"/>
    <n v="14990"/>
    <n v="0"/>
    <s v="Centralización recaudaciones junio 2026 #5101 - #5101"/>
    <n v="14990"/>
    <s v="Activo"/>
    <n v="14990"/>
    <x v="2"/>
  </r>
  <r>
    <n v="2026"/>
    <n v="6"/>
    <s v="24-06-2026"/>
    <n v="12505"/>
    <s v="1101-04"/>
    <n v="20"/>
    <n v="0"/>
    <s v="Centralización recaudaciones junio 2026 #5207 - #5207"/>
    <n v="20"/>
    <s v="Activo"/>
    <n v="20"/>
    <x v="2"/>
  </r>
  <r>
    <n v="2026"/>
    <n v="6"/>
    <s v="25-06-2026"/>
    <n v="11951"/>
    <s v="1101-04"/>
    <n v="24990"/>
    <n v="0"/>
    <s v="Centralización recaudaciones junio 2026 #4657 - #4657"/>
    <n v="24990"/>
    <s v="Activo"/>
    <n v="24990"/>
    <x v="2"/>
  </r>
  <r>
    <n v="2026"/>
    <n v="6"/>
    <s v="25-06-2026"/>
    <n v="11973"/>
    <s v="1101-04"/>
    <n v="25990"/>
    <n v="0"/>
    <s v="Centralización recaudaciones junio 2026 #4678 - #4678"/>
    <n v="25990"/>
    <s v="Activo"/>
    <n v="25990"/>
    <x v="2"/>
  </r>
  <r>
    <n v="2026"/>
    <n v="6"/>
    <s v="25-06-2026"/>
    <n v="11975"/>
    <s v="1101-04"/>
    <n v="120000"/>
    <n v="0"/>
    <s v="Centralización recaudaciones junio 2026 #4680 - #4680"/>
    <n v="120000"/>
    <s v="Activo"/>
    <n v="120000"/>
    <x v="2"/>
  </r>
  <r>
    <n v="2026"/>
    <n v="6"/>
    <s v="25-06-2026"/>
    <n v="12000"/>
    <s v="1101-04"/>
    <n v="114385"/>
    <n v="0"/>
    <s v="Centralización recaudaciones junio 2026 #4705 - #4705"/>
    <n v="114385"/>
    <s v="Activo"/>
    <n v="114385"/>
    <x v="2"/>
  </r>
  <r>
    <n v="2026"/>
    <n v="6"/>
    <s v="25-06-2026"/>
    <n v="12023"/>
    <s v="1101-04"/>
    <n v="25990"/>
    <n v="0"/>
    <s v="Centralización recaudaciones junio 2026 #4728 - #4728"/>
    <n v="25990"/>
    <s v="Activo"/>
    <n v="25990"/>
    <x v="2"/>
  </r>
  <r>
    <n v="2026"/>
    <n v="6"/>
    <s v="25-06-2026"/>
    <n v="12061"/>
    <s v="1101-04"/>
    <n v="31990"/>
    <n v="0"/>
    <s v="Centralización recaudaciones junio 2026 #4766 - #4766"/>
    <n v="31990"/>
    <s v="Activo"/>
    <n v="31990"/>
    <x v="2"/>
  </r>
  <r>
    <n v="2026"/>
    <n v="6"/>
    <s v="25-06-2026"/>
    <n v="12076"/>
    <s v="1101-04"/>
    <n v="32300"/>
    <n v="0"/>
    <s v="Centralización recaudaciones junio 2026 #4779 - #4779"/>
    <n v="32300"/>
    <s v="Activo"/>
    <n v="32300"/>
    <x v="2"/>
  </r>
  <r>
    <n v="2026"/>
    <n v="6"/>
    <s v="25-06-2026"/>
    <n v="12080"/>
    <s v="1101-04"/>
    <n v="32000"/>
    <n v="0"/>
    <s v="Centralización recaudaciones junio 2026 #4783 - #4783"/>
    <n v="32000"/>
    <s v="Activo"/>
    <n v="32000"/>
    <x v="2"/>
  </r>
  <r>
    <n v="2026"/>
    <n v="6"/>
    <s v="25-06-2026"/>
    <n v="12101"/>
    <s v="1101-04"/>
    <n v="26392"/>
    <n v="0"/>
    <s v="Centralización recaudaciones junio 2026 #4804 - #4804"/>
    <n v="26392"/>
    <s v="Activo"/>
    <n v="26392"/>
    <x v="2"/>
  </r>
  <r>
    <n v="2026"/>
    <n v="6"/>
    <s v="25-06-2026"/>
    <n v="12110"/>
    <s v="1101-04"/>
    <n v="50000"/>
    <n v="0"/>
    <s v="Centralización recaudaciones junio 2026 #4813 - #4813"/>
    <n v="50000"/>
    <s v="Activo"/>
    <n v="50000"/>
    <x v="2"/>
  </r>
  <r>
    <n v="2026"/>
    <n v="6"/>
    <s v="25-06-2026"/>
    <n v="12115"/>
    <s v="1101-04"/>
    <n v="15990"/>
    <n v="0"/>
    <s v="Centralización recaudaciones junio 2026 #4818 - #4818"/>
    <n v="15990"/>
    <s v="Activo"/>
    <n v="15990"/>
    <x v="2"/>
  </r>
  <r>
    <n v="2026"/>
    <n v="6"/>
    <s v="25-06-2026"/>
    <n v="12167"/>
    <s v="1101-04"/>
    <n v="1990"/>
    <n v="0"/>
    <s v="Centralización recaudaciones junio 2026 #4870 - #4870"/>
    <n v="1990"/>
    <s v="Activo"/>
    <n v="1990"/>
    <x v="2"/>
  </r>
  <r>
    <n v="2026"/>
    <n v="6"/>
    <s v="25-06-2026"/>
    <n v="12174"/>
    <s v="1101-04"/>
    <n v="1990"/>
    <n v="0"/>
    <s v="Centralización recaudaciones junio 2026 #4877 - #4877"/>
    <n v="1990"/>
    <s v="Activo"/>
    <n v="1990"/>
    <x v="2"/>
  </r>
  <r>
    <n v="2026"/>
    <n v="6"/>
    <s v="25-06-2026"/>
    <n v="12177"/>
    <s v="1101-04"/>
    <n v="25990"/>
    <n v="0"/>
    <s v="Centralización recaudaciones junio 2026 #4880 - #4880"/>
    <n v="25990"/>
    <s v="Activo"/>
    <n v="25990"/>
    <x v="2"/>
  </r>
  <r>
    <n v="2026"/>
    <n v="6"/>
    <s v="25-06-2026"/>
    <n v="12218"/>
    <s v="1101-04"/>
    <n v="31990"/>
    <n v="0"/>
    <s v="Centralización recaudaciones junio 2026 #4921 - #4921"/>
    <n v="31990"/>
    <s v="Activo"/>
    <n v="31990"/>
    <x v="2"/>
  </r>
  <r>
    <n v="2026"/>
    <n v="6"/>
    <s v="25-06-2026"/>
    <n v="12220"/>
    <s v="1101-04"/>
    <n v="1990"/>
    <n v="0"/>
    <s v="Centralización recaudaciones junio 2026 #4923 - #4923"/>
    <n v="1990"/>
    <s v="Activo"/>
    <n v="1990"/>
    <x v="2"/>
  </r>
  <r>
    <n v="2026"/>
    <n v="6"/>
    <s v="25-06-2026"/>
    <n v="12222"/>
    <s v="1101-04"/>
    <n v="35981"/>
    <n v="0"/>
    <s v="Centralización recaudaciones junio 2026 #4925 - #4925"/>
    <n v="35981"/>
    <s v="Activo"/>
    <n v="35981"/>
    <x v="2"/>
  </r>
  <r>
    <n v="2026"/>
    <n v="6"/>
    <s v="25-06-2026"/>
    <n v="12224"/>
    <s v="1101-04"/>
    <n v="24990"/>
    <n v="0"/>
    <s v="Centralización recaudaciones junio 2026 #4927 - #4927"/>
    <n v="24990"/>
    <s v="Activo"/>
    <n v="24990"/>
    <x v="2"/>
  </r>
  <r>
    <n v="2026"/>
    <n v="6"/>
    <s v="25-06-2026"/>
    <n v="12242"/>
    <s v="1101-04"/>
    <n v="124990"/>
    <n v="0"/>
    <s v="Centralización recaudaciones junio 2026 #4945 - #4945"/>
    <n v="124990"/>
    <s v="Activo"/>
    <n v="124990"/>
    <x v="2"/>
  </r>
  <r>
    <n v="2026"/>
    <n v="6"/>
    <s v="25-06-2026"/>
    <n v="12284"/>
    <s v="1101-04"/>
    <n v="1990"/>
    <n v="0"/>
    <s v="Centralización recaudaciones junio 2026 #4987 - #4987"/>
    <n v="1990"/>
    <s v="Activo"/>
    <n v="1990"/>
    <x v="2"/>
  </r>
  <r>
    <n v="2026"/>
    <n v="6"/>
    <s v="25-06-2026"/>
    <n v="12288"/>
    <s v="1101-04"/>
    <n v="24990"/>
    <n v="0"/>
    <s v="Centralización recaudaciones junio 2026 #4991 - #4991"/>
    <n v="24990"/>
    <s v="Activo"/>
    <n v="24990"/>
    <x v="2"/>
  </r>
  <r>
    <n v="2026"/>
    <n v="6"/>
    <s v="25-06-2026"/>
    <n v="12341"/>
    <s v="1101-04"/>
    <n v="32980"/>
    <n v="0"/>
    <s v="Centralización recaudaciones junio 2026 #5044 - #5044"/>
    <n v="32980"/>
    <s v="Activo"/>
    <n v="32980"/>
    <x v="2"/>
  </r>
  <r>
    <n v="2026"/>
    <n v="6"/>
    <s v="25-06-2026"/>
    <n v="12367"/>
    <s v="1101-04"/>
    <n v="32990"/>
    <n v="0"/>
    <s v="Centralización recaudaciones junio 2026 #5070 - #5070"/>
    <n v="32990"/>
    <s v="Activo"/>
    <n v="32990"/>
    <x v="2"/>
  </r>
  <r>
    <n v="2026"/>
    <n v="6"/>
    <s v="25-06-2026"/>
    <n v="12372"/>
    <s v="1101-04"/>
    <n v="3538"/>
    <n v="0"/>
    <s v="Centralización recaudaciones junio 2026 #5075 - #5075"/>
    <n v="3538"/>
    <s v="Activo"/>
    <n v="3538"/>
    <x v="2"/>
  </r>
  <r>
    <n v="2026"/>
    <n v="6"/>
    <s v="25-06-2026"/>
    <n v="12399"/>
    <s v="1101-04"/>
    <n v="10000"/>
    <n v="0"/>
    <s v="Centralización recaudaciones junio 2026 #5102 - #5102"/>
    <n v="10000"/>
    <s v="Activo"/>
    <n v="10000"/>
    <x v="2"/>
  </r>
  <r>
    <n v="2026"/>
    <n v="6"/>
    <s v="25-06-2026"/>
    <n v="12420"/>
    <s v="1101-04"/>
    <n v="2203"/>
    <n v="0"/>
    <s v="Centralización recaudaciones junio 2026 #5123 - #5123"/>
    <n v="2203"/>
    <s v="Activo"/>
    <n v="2203"/>
    <x v="2"/>
  </r>
  <r>
    <n v="2026"/>
    <n v="6"/>
    <s v="25-06-2026"/>
    <n v="12435"/>
    <s v="1101-04"/>
    <n v="36980"/>
    <n v="0"/>
    <s v="Centralización recaudaciones junio 2026 #5138 - #5138"/>
    <n v="36980"/>
    <s v="Activo"/>
    <n v="36980"/>
    <x v="2"/>
  </r>
  <r>
    <n v="2026"/>
    <n v="6"/>
    <s v="25-06-2026"/>
    <n v="12443"/>
    <s v="1101-04"/>
    <n v="26170"/>
    <n v="0"/>
    <s v="Centralización recaudaciones junio 2026 #5146 - #5146"/>
    <n v="26170"/>
    <s v="Activo"/>
    <n v="26170"/>
    <x v="2"/>
  </r>
  <r>
    <n v="2026"/>
    <n v="6"/>
    <s v="25-06-2026"/>
    <n v="12462"/>
    <s v="1101-04"/>
    <n v="32980"/>
    <n v="0"/>
    <s v="Centralización recaudaciones junio 2026 #5164 - #5164"/>
    <n v="32980"/>
    <s v="Activo"/>
    <n v="32980"/>
    <x v="2"/>
  </r>
  <r>
    <n v="2026"/>
    <n v="6"/>
    <s v="25-06-2026"/>
    <n v="12480"/>
    <s v="1101-04"/>
    <n v="41650"/>
    <n v="0"/>
    <s v="Centralización recaudaciones junio 2026 #5182 - #5182"/>
    <n v="41650"/>
    <s v="Activo"/>
    <n v="41650"/>
    <x v="2"/>
  </r>
  <r>
    <n v="2026"/>
    <n v="6"/>
    <s v="25-06-2026"/>
    <n v="12483"/>
    <s v="1101-04"/>
    <n v="26500"/>
    <n v="0"/>
    <s v="Centralización recaudaciones junio 2026 #5185 - #5185"/>
    <n v="26500"/>
    <s v="Activo"/>
    <n v="26500"/>
    <x v="2"/>
  </r>
  <r>
    <n v="2026"/>
    <n v="6"/>
    <s v="25-06-2026"/>
    <n v="12488"/>
    <s v="1101-04"/>
    <n v="24990"/>
    <n v="0"/>
    <s v="Centralización recaudaciones junio 2026 #5190 - #5190"/>
    <n v="24990"/>
    <s v="Activo"/>
    <n v="24990"/>
    <x v="2"/>
  </r>
  <r>
    <n v="2026"/>
    <n v="6"/>
    <s v="25-06-2026"/>
    <n v="12506"/>
    <s v="1101-04"/>
    <n v="1930"/>
    <n v="0"/>
    <s v="Centralización recaudaciones junio 2026 #5208 - #5208"/>
    <n v="1930"/>
    <s v="Activo"/>
    <n v="1930"/>
    <x v="2"/>
  </r>
  <r>
    <n v="2026"/>
    <n v="6"/>
    <s v="25-06-2026"/>
    <n v="12518"/>
    <s v="1101-04"/>
    <n v="26000"/>
    <n v="0"/>
    <s v="Centralización recaudaciones junio 2026 #5220 - #5220"/>
    <n v="26000"/>
    <s v="Activo"/>
    <n v="26000"/>
    <x v="2"/>
  </r>
  <r>
    <n v="2026"/>
    <n v="6"/>
    <s v="26-06-2026"/>
    <n v="11953"/>
    <s v="1101-04"/>
    <n v="40000"/>
    <n v="0"/>
    <s v="Centralización recaudaciones junio 2026 #4659 - #4659"/>
    <n v="40000"/>
    <s v="Activo"/>
    <n v="40000"/>
    <x v="2"/>
  </r>
  <r>
    <n v="2026"/>
    <n v="6"/>
    <s v="26-06-2026"/>
    <n v="11974"/>
    <s v="1101-04"/>
    <n v="25990"/>
    <n v="0"/>
    <s v="Centralización recaudaciones junio 2026 #4679 - #4679"/>
    <n v="25990"/>
    <s v="Activo"/>
    <n v="25990"/>
    <x v="2"/>
  </r>
  <r>
    <n v="2026"/>
    <n v="6"/>
    <s v="26-06-2026"/>
    <n v="11994"/>
    <s v="1101-04"/>
    <n v="70052"/>
    <n v="0"/>
    <s v="Centralización recaudaciones junio 2026 #4699 - #4699"/>
    <n v="70052"/>
    <s v="Activo"/>
    <n v="70052"/>
    <x v="2"/>
  </r>
  <r>
    <n v="2026"/>
    <n v="6"/>
    <s v="26-06-2026"/>
    <n v="12002"/>
    <s v="1101-04"/>
    <n v="30000"/>
    <n v="0"/>
    <s v="Centralización recaudaciones junio 2026 #4707 - #4707"/>
    <n v="30000"/>
    <s v="Activo"/>
    <n v="30000"/>
    <x v="2"/>
  </r>
  <r>
    <n v="2026"/>
    <n v="6"/>
    <s v="26-06-2026"/>
    <n v="12045"/>
    <s v="1101-04"/>
    <n v="200000"/>
    <n v="0"/>
    <s v="Centralización recaudaciones junio 2026 #4750 - #4750"/>
    <n v="200000"/>
    <s v="Activo"/>
    <n v="200000"/>
    <x v="2"/>
  </r>
  <r>
    <n v="2026"/>
    <n v="6"/>
    <s v="26-06-2026"/>
    <n v="12054"/>
    <s v="1101-04"/>
    <n v="30000"/>
    <n v="0"/>
    <s v="Centralización recaudaciones junio 2026 #4759 - #4759"/>
    <n v="30000"/>
    <s v="Activo"/>
    <n v="30000"/>
    <x v="2"/>
  </r>
  <r>
    <n v="2026"/>
    <n v="6"/>
    <s v="26-06-2026"/>
    <n v="12066"/>
    <s v="1101-04"/>
    <n v="25605"/>
    <n v="0"/>
    <s v="Centralización recaudaciones junio 2026 #4771 - #4771"/>
    <n v="25605"/>
    <s v="Activo"/>
    <n v="25605"/>
    <x v="2"/>
  </r>
  <r>
    <n v="2026"/>
    <n v="6"/>
    <s v="26-06-2026"/>
    <n v="12131"/>
    <s v="1101-04"/>
    <n v="143000"/>
    <n v="0"/>
    <s v="Centralización recaudaciones junio 2026 #4834 - #4834"/>
    <n v="143000"/>
    <s v="Activo"/>
    <n v="143000"/>
    <x v="2"/>
  </r>
  <r>
    <n v="2026"/>
    <n v="6"/>
    <s v="26-06-2026"/>
    <n v="12138"/>
    <s v="1101-04"/>
    <n v="27990"/>
    <n v="0"/>
    <s v="Centralización recaudaciones junio 2026 #4841 - #4841"/>
    <n v="27990"/>
    <s v="Activo"/>
    <n v="27990"/>
    <x v="2"/>
  </r>
  <r>
    <n v="2026"/>
    <n v="6"/>
    <s v="26-06-2026"/>
    <n v="12144"/>
    <s v="1101-04"/>
    <n v="34990"/>
    <n v="0"/>
    <s v="Centralización recaudaciones junio 2026 #4847 - #4847"/>
    <n v="34990"/>
    <s v="Activo"/>
    <n v="34990"/>
    <x v="2"/>
  </r>
  <r>
    <n v="2026"/>
    <n v="6"/>
    <s v="26-06-2026"/>
    <n v="12185"/>
    <s v="1101-04"/>
    <n v="144137"/>
    <n v="0"/>
    <s v="Centralización recaudaciones junio 2026 #4888 - #4888"/>
    <n v="144137"/>
    <s v="Activo"/>
    <n v="144137"/>
    <x v="2"/>
  </r>
  <r>
    <n v="2026"/>
    <n v="6"/>
    <s v="26-06-2026"/>
    <n v="12198"/>
    <s v="1101-04"/>
    <n v="59980"/>
    <n v="0"/>
    <s v="Centralización recaudaciones junio 2026 #4901 - #4901"/>
    <n v="59980"/>
    <s v="Activo"/>
    <n v="59980"/>
    <x v="2"/>
  </r>
  <r>
    <n v="2026"/>
    <n v="6"/>
    <s v="26-06-2026"/>
    <n v="12232"/>
    <s v="1101-04"/>
    <n v="43980"/>
    <n v="0"/>
    <s v="Centralización recaudaciones junio 2026 #4935 - #4935"/>
    <n v="43980"/>
    <s v="Activo"/>
    <n v="43980"/>
    <x v="2"/>
  </r>
  <r>
    <n v="2026"/>
    <n v="6"/>
    <s v="26-06-2026"/>
    <n v="12241"/>
    <s v="1101-04"/>
    <n v="19990"/>
    <n v="0"/>
    <s v="Centralización recaudaciones junio 2026 #4944 - #4944"/>
    <n v="19990"/>
    <s v="Activo"/>
    <n v="19990"/>
    <x v="2"/>
  </r>
  <r>
    <n v="2026"/>
    <n v="6"/>
    <s v="26-06-2026"/>
    <n v="12261"/>
    <s v="1101-04"/>
    <n v="24990"/>
    <n v="0"/>
    <s v="Centralización recaudaciones junio 2026 #4964 - #4964"/>
    <n v="24990"/>
    <s v="Activo"/>
    <n v="24990"/>
    <x v="2"/>
  </r>
  <r>
    <n v="2026"/>
    <n v="6"/>
    <s v="26-06-2026"/>
    <n v="12286"/>
    <s v="1101-04"/>
    <n v="432411"/>
    <n v="0"/>
    <s v="Centralización recaudaciones junio 2026 #4989 - #4989"/>
    <n v="432411"/>
    <s v="Activo"/>
    <n v="432411"/>
    <x v="2"/>
  </r>
  <r>
    <n v="2026"/>
    <n v="6"/>
    <s v="26-06-2026"/>
    <n v="12322"/>
    <s v="1101-04"/>
    <n v="33990"/>
    <n v="0"/>
    <s v="Centralización recaudaciones junio 2026 #5025 - #5025"/>
    <n v="33990"/>
    <s v="Activo"/>
    <n v="33990"/>
    <x v="2"/>
  </r>
  <r>
    <n v="2026"/>
    <n v="6"/>
    <s v="26-06-2026"/>
    <n v="12342"/>
    <s v="1101-04"/>
    <n v="23598"/>
    <n v="0"/>
    <s v="Centralización recaudaciones junio 2026 #5045 - #5045"/>
    <n v="23598"/>
    <s v="Activo"/>
    <n v="23598"/>
    <x v="2"/>
  </r>
  <r>
    <n v="2026"/>
    <n v="6"/>
    <s v="26-06-2026"/>
    <n v="12346"/>
    <s v="1101-04"/>
    <n v="24990"/>
    <n v="0"/>
    <s v="Centralización recaudaciones junio 2026 #5049 - #5049"/>
    <n v="24990"/>
    <s v="Activo"/>
    <n v="24990"/>
    <x v="2"/>
  </r>
  <r>
    <n v="2026"/>
    <n v="6"/>
    <s v="26-06-2026"/>
    <n v="12364"/>
    <s v="1101-04"/>
    <n v="69980"/>
    <n v="0"/>
    <s v="Centralización recaudaciones junio 2026 #5067 - #5067"/>
    <n v="69980"/>
    <s v="Activo"/>
    <n v="69980"/>
    <x v="2"/>
  </r>
  <r>
    <n v="2026"/>
    <n v="6"/>
    <s v="26-06-2026"/>
    <n v="12379"/>
    <s v="1101-04"/>
    <n v="39990"/>
    <n v="0"/>
    <s v="Centralización recaudaciones junio 2026 #5082 - #5082"/>
    <n v="39990"/>
    <s v="Activo"/>
    <n v="39990"/>
    <x v="2"/>
  </r>
  <r>
    <n v="2026"/>
    <n v="6"/>
    <s v="26-06-2026"/>
    <n v="12392"/>
    <s v="1101-04"/>
    <n v="30000"/>
    <n v="0"/>
    <s v="Centralización recaudaciones junio 2026 #5095 - #5095"/>
    <n v="30000"/>
    <s v="Activo"/>
    <n v="30000"/>
    <x v="2"/>
  </r>
  <r>
    <n v="2026"/>
    <n v="6"/>
    <s v="26-06-2026"/>
    <n v="12400"/>
    <s v="1101-04"/>
    <n v="86052"/>
    <n v="0"/>
    <s v="Centralización recaudaciones junio 2026 #5103 - #5103"/>
    <n v="86052"/>
    <s v="Activo"/>
    <n v="86052"/>
    <x v="2"/>
  </r>
  <r>
    <n v="2026"/>
    <n v="6"/>
    <s v="26-06-2026"/>
    <n v="12415"/>
    <s v="1101-04"/>
    <n v="20980"/>
    <n v="0"/>
    <s v="Centralización recaudaciones junio 2026 #5118 - #5118"/>
    <n v="20980"/>
    <s v="Activo"/>
    <n v="20980"/>
    <x v="2"/>
  </r>
  <r>
    <n v="2026"/>
    <n v="6"/>
    <s v="26-06-2026"/>
    <n v="12417"/>
    <s v="1101-04"/>
    <n v="63980"/>
    <n v="0"/>
    <s v="Centralización recaudaciones junio 2026 #5120 - #5120"/>
    <n v="63980"/>
    <s v="Activo"/>
    <n v="63980"/>
    <x v="2"/>
  </r>
  <r>
    <n v="2026"/>
    <n v="6"/>
    <s v="26-06-2026"/>
    <n v="12421"/>
    <s v="1101-04"/>
    <n v="22787"/>
    <n v="0"/>
    <s v="Centralización recaudaciones junio 2026 #5124 - #5124"/>
    <n v="22787"/>
    <s v="Activo"/>
    <n v="22787"/>
    <x v="2"/>
  </r>
  <r>
    <n v="2026"/>
    <n v="6"/>
    <s v="26-06-2026"/>
    <n v="12428"/>
    <s v="1101-04"/>
    <n v="118974"/>
    <n v="0"/>
    <s v="Centralización recaudaciones junio 2026 #5131 - #5131"/>
    <n v="118974"/>
    <s v="Activo"/>
    <n v="118974"/>
    <x v="2"/>
  </r>
  <r>
    <n v="2026"/>
    <n v="6"/>
    <s v="26-06-2026"/>
    <n v="12452"/>
    <s v="1101-04"/>
    <n v="24990"/>
    <n v="0"/>
    <s v="Centralización recaudaciones junio 2026 #5155 - #5155"/>
    <n v="24990"/>
    <s v="Activo"/>
    <n v="24990"/>
    <x v="2"/>
  </r>
  <r>
    <n v="2026"/>
    <n v="6"/>
    <s v="26-06-2026"/>
    <n v="12465"/>
    <s v="1101-04"/>
    <n v="35990"/>
    <n v="0"/>
    <s v="Centralización recaudaciones junio 2026 #5167 - #5167"/>
    <n v="35990"/>
    <s v="Activo"/>
    <n v="35990"/>
    <x v="2"/>
  </r>
  <r>
    <n v="2026"/>
    <n v="6"/>
    <s v="26-06-2026"/>
    <n v="12466"/>
    <s v="1101-04"/>
    <n v="40000"/>
    <n v="0"/>
    <s v="Centralización recaudaciones junio 2026 #5168 - #5168"/>
    <n v="40000"/>
    <s v="Activo"/>
    <n v="40000"/>
    <x v="2"/>
  </r>
  <r>
    <n v="2026"/>
    <n v="6"/>
    <s v="26-06-2026"/>
    <n v="12499"/>
    <s v="1101-04"/>
    <n v="24990"/>
    <n v="0"/>
    <s v="Centralización recaudaciones junio 2026 #5201 - #5201"/>
    <n v="24990"/>
    <s v="Activo"/>
    <n v="24990"/>
    <x v="2"/>
  </r>
  <r>
    <n v="2026"/>
    <n v="6"/>
    <s v="26-06-2026"/>
    <n v="12510"/>
    <s v="1101-04"/>
    <n v="89250"/>
    <n v="0"/>
    <s v="Centralización recaudaciones junio 2026 #5212 - #5212"/>
    <n v="89250"/>
    <s v="Activo"/>
    <n v="89250"/>
    <x v="2"/>
  </r>
  <r>
    <n v="2026"/>
    <n v="6"/>
    <s v="26-06-2026"/>
    <n v="12519"/>
    <s v="1101-04"/>
    <n v="33990"/>
    <n v="0"/>
    <s v="Centralización recaudaciones junio 2026 #5221 - #5221"/>
    <n v="33990"/>
    <s v="Activo"/>
    <n v="33990"/>
    <x v="2"/>
  </r>
  <r>
    <n v="2026"/>
    <n v="6"/>
    <s v="26-06-2026"/>
    <n v="12553"/>
    <s v="1101-04"/>
    <n v="50000"/>
    <n v="0"/>
    <s v="Centralización recaudaciones junio 2026 #5255 - #5255"/>
    <n v="50000"/>
    <s v="Activo"/>
    <n v="50000"/>
    <x v="2"/>
  </r>
  <r>
    <n v="2026"/>
    <n v="6"/>
    <s v="26-06-2026"/>
    <n v="12563"/>
    <s v="1101-04"/>
    <n v="40000"/>
    <n v="0"/>
    <s v="Centralización recaudaciones junio 2026 #5265 - #5265"/>
    <n v="40000"/>
    <s v="Activo"/>
    <n v="40000"/>
    <x v="2"/>
  </r>
  <r>
    <n v="2026"/>
    <n v="6"/>
    <s v="26-06-2026"/>
    <n v="10795"/>
    <s v="1101-04"/>
    <n v="512893"/>
    <n v="0"/>
    <s v="Traspaso entre cuentas bancarias"/>
    <n v="512893"/>
    <s v="Activo"/>
    <n v="512893"/>
    <x v="2"/>
  </r>
  <r>
    <n v="2026"/>
    <n v="6"/>
    <s v="26-06-2026"/>
    <n v="10800"/>
    <s v="1101-04"/>
    <n v="0"/>
    <n v="3117031"/>
    <s v="Pago mora 000000000006063087"/>
    <n v="-3117031"/>
    <s v="Activo"/>
    <n v="-3117031"/>
    <x v="2"/>
  </r>
  <r>
    <n v="2026"/>
    <n v="6"/>
    <s v="30-06-2026"/>
    <n v="7895"/>
    <s v="1101-04"/>
    <n v="0"/>
    <n v="2300"/>
    <s v="Pago bh 15853888 conservador de bienes raices d"/>
    <n v="-2300"/>
    <s v="Activo"/>
    <n v="-2300"/>
    <x v="2"/>
  </r>
  <r>
    <n v="2026"/>
    <n v="6"/>
    <s v="30-06-2026"/>
    <n v="11956"/>
    <s v="1101-04"/>
    <n v="59990"/>
    <n v="0"/>
    <s v="Centralización recaudaciones junio 2026 #4662 - #4662"/>
    <n v="59990"/>
    <s v="Activo"/>
    <n v="59990"/>
    <x v="2"/>
  </r>
  <r>
    <n v="2026"/>
    <n v="6"/>
    <s v="30-06-2026"/>
    <n v="11958"/>
    <s v="1101-04"/>
    <n v="34990"/>
    <n v="0"/>
    <s v="Centralización recaudaciones junio 2026 #4664 - #4664"/>
    <n v="34990"/>
    <s v="Activo"/>
    <n v="34990"/>
    <x v="2"/>
  </r>
  <r>
    <n v="2026"/>
    <n v="6"/>
    <s v="30-06-2026"/>
    <n v="11959"/>
    <s v="1101-04"/>
    <n v="39990"/>
    <n v="0"/>
    <s v="Centralización recaudaciones junio 2026 #4665 - #4665"/>
    <n v="39990"/>
    <s v="Activo"/>
    <n v="39990"/>
    <x v="2"/>
  </r>
  <r>
    <n v="2026"/>
    <n v="6"/>
    <s v="30-06-2026"/>
    <n v="11962"/>
    <s v="1101-04"/>
    <n v="115310"/>
    <n v="0"/>
    <s v="Centralización recaudaciones junio 2026 #4668 - #4668"/>
    <n v="115310"/>
    <s v="Activo"/>
    <n v="115310"/>
    <x v="2"/>
  </r>
  <r>
    <n v="2026"/>
    <n v="6"/>
    <s v="30-06-2026"/>
    <n v="11967"/>
    <s v="1101-04"/>
    <n v="59990"/>
    <n v="0"/>
    <s v="Centralización recaudaciones junio 2026 #4672 - #4672"/>
    <n v="59990"/>
    <s v="Activo"/>
    <n v="59990"/>
    <x v="2"/>
  </r>
  <r>
    <n v="2026"/>
    <n v="6"/>
    <s v="30-06-2026"/>
    <n v="11970"/>
    <s v="1101-04"/>
    <n v="52980"/>
    <n v="0"/>
    <s v="Centralización recaudaciones junio 2026 #4675 - #4675"/>
    <n v="52980"/>
    <s v="Activo"/>
    <n v="52980"/>
    <x v="2"/>
  </r>
  <r>
    <n v="2026"/>
    <n v="6"/>
    <s v="30-06-2026"/>
    <n v="11978"/>
    <s v="1101-04"/>
    <n v="392325"/>
    <n v="0"/>
    <s v="Centralización recaudaciones junio 2026 #4683 - #4683"/>
    <n v="392325"/>
    <s v="Activo"/>
    <n v="392325"/>
    <x v="2"/>
  </r>
  <r>
    <n v="2026"/>
    <n v="6"/>
    <s v="30-06-2026"/>
    <n v="11980"/>
    <s v="1101-04"/>
    <n v="49990"/>
    <n v="0"/>
    <s v="Centralización recaudaciones junio 2026 #4685 - #4685"/>
    <n v="49990"/>
    <s v="Activo"/>
    <n v="49990"/>
    <x v="2"/>
  </r>
  <r>
    <n v="2026"/>
    <n v="6"/>
    <s v="30-06-2026"/>
    <n v="11999"/>
    <s v="1101-04"/>
    <n v="40000"/>
    <n v="0"/>
    <s v="Centralización recaudaciones junio 2026 #4704 - #4704"/>
    <n v="40000"/>
    <s v="Activo"/>
    <n v="40000"/>
    <x v="2"/>
  </r>
  <r>
    <n v="2026"/>
    <n v="6"/>
    <s v="30-06-2026"/>
    <n v="12018"/>
    <s v="1101-04"/>
    <n v="42990"/>
    <n v="0"/>
    <s v="Centralización recaudaciones junio 2026 #4723 - #4723"/>
    <n v="42990"/>
    <s v="Activo"/>
    <n v="42990"/>
    <x v="2"/>
  </r>
  <r>
    <n v="2026"/>
    <n v="6"/>
    <s v="30-06-2026"/>
    <n v="12025"/>
    <s v="1101-04"/>
    <n v="58000"/>
    <n v="0"/>
    <s v="Centralización recaudaciones junio 2026 #4730 - #4730"/>
    <n v="58000"/>
    <s v="Activo"/>
    <n v="58000"/>
    <x v="2"/>
  </r>
  <r>
    <n v="2026"/>
    <n v="6"/>
    <s v="30-06-2026"/>
    <n v="12036"/>
    <s v="1101-04"/>
    <n v="30000"/>
    <n v="0"/>
    <s v="Centralización recaudaciones junio 2026 #4741 - #4741"/>
    <n v="30000"/>
    <s v="Activo"/>
    <n v="30000"/>
    <x v="2"/>
  </r>
  <r>
    <n v="2026"/>
    <n v="6"/>
    <s v="30-06-2026"/>
    <n v="12041"/>
    <s v="1101-04"/>
    <n v="30000"/>
    <n v="0"/>
    <s v="Centralización recaudaciones junio 2026 #4746 - #4746"/>
    <n v="30000"/>
    <s v="Activo"/>
    <n v="30000"/>
    <x v="2"/>
  </r>
  <r>
    <n v="2026"/>
    <n v="6"/>
    <s v="30-06-2026"/>
    <n v="12056"/>
    <s v="1101-04"/>
    <n v="44990"/>
    <n v="0"/>
    <s v="Centralización recaudaciones junio 2026 #4761 - #4761"/>
    <n v="44990"/>
    <s v="Activo"/>
    <n v="44990"/>
    <x v="2"/>
  </r>
  <r>
    <n v="2026"/>
    <n v="6"/>
    <s v="30-06-2026"/>
    <n v="12064"/>
    <s v="1101-04"/>
    <n v="23341"/>
    <n v="0"/>
    <s v="Centralización recaudaciones junio 2026 #4769 - #4769"/>
    <n v="23341"/>
    <s v="Activo"/>
    <n v="23341"/>
    <x v="2"/>
  </r>
  <r>
    <n v="2026"/>
    <n v="6"/>
    <s v="30-06-2026"/>
    <n v="12067"/>
    <s v="1101-04"/>
    <n v="42524"/>
    <n v="0"/>
    <s v="Centralización recaudaciones junio 2026 #4772 - #4772"/>
    <n v="42524"/>
    <s v="Activo"/>
    <n v="42524"/>
    <x v="2"/>
  </r>
  <r>
    <n v="2026"/>
    <n v="6"/>
    <s v="30-06-2026"/>
    <n v="12073"/>
    <s v="1101-04"/>
    <n v="50000"/>
    <n v="0"/>
    <s v="Centralización recaudaciones junio 2026 #4778 - #4778"/>
    <n v="50000"/>
    <s v="Activo"/>
    <n v="50000"/>
    <x v="2"/>
  </r>
  <r>
    <n v="2026"/>
    <n v="6"/>
    <s v="30-06-2026"/>
    <n v="12086"/>
    <s v="1101-04"/>
    <n v="38068"/>
    <n v="0"/>
    <s v="Centralización recaudaciones junio 2026 #4789 - #4789"/>
    <n v="38068"/>
    <s v="Activo"/>
    <n v="38068"/>
    <x v="2"/>
  </r>
  <r>
    <n v="2026"/>
    <n v="6"/>
    <s v="30-06-2026"/>
    <n v="12093"/>
    <s v="1101-04"/>
    <n v="39990"/>
    <n v="0"/>
    <s v="Centralización recaudaciones junio 2026 #4796 - #4796"/>
    <n v="39990"/>
    <s v="Activo"/>
    <n v="39990"/>
    <x v="2"/>
  </r>
  <r>
    <n v="2026"/>
    <n v="6"/>
    <s v="30-06-2026"/>
    <n v="12095"/>
    <s v="1101-04"/>
    <n v="43980"/>
    <n v="0"/>
    <s v="Centralización recaudaciones junio 2026 #4798 - #4798"/>
    <n v="43980"/>
    <s v="Activo"/>
    <n v="43980"/>
    <x v="2"/>
  </r>
  <r>
    <n v="2026"/>
    <n v="6"/>
    <s v="30-06-2026"/>
    <n v="12097"/>
    <s v="1101-04"/>
    <n v="40000"/>
    <n v="0"/>
    <s v="Centralización recaudaciones junio 2026 #4800 - #4800"/>
    <n v="40000"/>
    <s v="Activo"/>
    <n v="40000"/>
    <x v="2"/>
  </r>
  <r>
    <n v="2026"/>
    <n v="6"/>
    <s v="30-06-2026"/>
    <n v="12105"/>
    <s v="1101-04"/>
    <n v="50000"/>
    <n v="0"/>
    <s v="Centralización recaudaciones junio 2026 #4808 - #4808"/>
    <n v="50000"/>
    <s v="Activo"/>
    <n v="50000"/>
    <x v="2"/>
  </r>
  <r>
    <n v="2026"/>
    <n v="6"/>
    <s v="30-06-2026"/>
    <n v="12114"/>
    <s v="1101-04"/>
    <n v="42982"/>
    <n v="0"/>
    <s v="Centralización recaudaciones junio 2026 #4817 - #4817"/>
    <n v="42982"/>
    <s v="Activo"/>
    <n v="42982"/>
    <x v="2"/>
  </r>
  <r>
    <n v="2026"/>
    <n v="6"/>
    <s v="30-06-2026"/>
    <n v="12133"/>
    <s v="1101-04"/>
    <n v="42000"/>
    <n v="0"/>
    <s v="Centralización recaudaciones junio 2026 #4836 - #4836"/>
    <n v="42000"/>
    <s v="Activo"/>
    <n v="42000"/>
    <x v="2"/>
  </r>
  <r>
    <n v="2026"/>
    <n v="6"/>
    <s v="30-06-2026"/>
    <n v="12162"/>
    <s v="1101-04"/>
    <n v="56980"/>
    <n v="0"/>
    <s v="Centralización recaudaciones junio 2026 #4865 - #4865"/>
    <n v="56980"/>
    <s v="Activo"/>
    <n v="56980"/>
    <x v="2"/>
  </r>
  <r>
    <n v="2026"/>
    <n v="6"/>
    <s v="30-06-2026"/>
    <n v="12175"/>
    <s v="1101-04"/>
    <n v="49970"/>
    <n v="0"/>
    <s v="Centralización recaudaciones junio 2026 #4878 - #4878"/>
    <n v="49970"/>
    <s v="Activo"/>
    <n v="49970"/>
    <x v="2"/>
  </r>
  <r>
    <n v="2026"/>
    <n v="6"/>
    <s v="30-06-2026"/>
    <n v="12176"/>
    <s v="1101-04"/>
    <n v="39990"/>
    <n v="0"/>
    <s v="Centralización recaudaciones junio 2026 #4879 - #4879"/>
    <n v="39990"/>
    <s v="Activo"/>
    <n v="39990"/>
    <x v="2"/>
  </r>
  <r>
    <n v="2026"/>
    <n v="6"/>
    <s v="30-06-2026"/>
    <n v="12179"/>
    <s v="1101-04"/>
    <n v="38990"/>
    <n v="0"/>
    <s v="Centralización recaudaciones junio 2026 #4882 - #4882"/>
    <n v="38990"/>
    <s v="Activo"/>
    <n v="38990"/>
    <x v="2"/>
  </r>
  <r>
    <n v="2026"/>
    <n v="6"/>
    <s v="30-06-2026"/>
    <n v="12181"/>
    <s v="1101-04"/>
    <n v="44719"/>
    <n v="0"/>
    <s v="Centralización recaudaciones junio 2026 #4884 - #4884"/>
    <n v="44719"/>
    <s v="Activo"/>
    <n v="44719"/>
    <x v="2"/>
  </r>
  <r>
    <n v="2026"/>
    <n v="6"/>
    <s v="30-06-2026"/>
    <n v="12182"/>
    <s v="1101-04"/>
    <n v="60980"/>
    <n v="0"/>
    <s v="Centralización recaudaciones junio 2026 #4885 - #4885"/>
    <n v="60980"/>
    <s v="Activo"/>
    <n v="60980"/>
    <x v="2"/>
  </r>
  <r>
    <n v="2026"/>
    <n v="6"/>
    <s v="30-06-2026"/>
    <n v="12196"/>
    <s v="1101-04"/>
    <n v="60980"/>
    <n v="0"/>
    <s v="Centralización recaudaciones junio 2026 #4899 - #4899"/>
    <n v="60980"/>
    <s v="Activo"/>
    <n v="60980"/>
    <x v="2"/>
  </r>
  <r>
    <n v="2026"/>
    <n v="6"/>
    <s v="30-06-2026"/>
    <n v="12209"/>
    <s v="1101-04"/>
    <n v="35990"/>
    <n v="0"/>
    <s v="Centralización recaudaciones junio 2026 #4912 - #4912"/>
    <n v="35990"/>
    <s v="Activo"/>
    <n v="35990"/>
    <x v="2"/>
  </r>
  <r>
    <n v="2026"/>
    <n v="6"/>
    <s v="30-06-2026"/>
    <n v="12217"/>
    <s v="1101-04"/>
    <n v="24990"/>
    <n v="0"/>
    <s v="Centralización recaudaciones junio 2026 #4920 - #4920"/>
    <n v="24990"/>
    <s v="Activo"/>
    <n v="24990"/>
    <x v="2"/>
  </r>
  <r>
    <n v="2026"/>
    <n v="6"/>
    <s v="30-06-2026"/>
    <n v="12229"/>
    <s v="1101-04"/>
    <n v="24990"/>
    <n v="0"/>
    <s v="Centralización recaudaciones junio 2026 #4932 - #4932"/>
    <n v="24990"/>
    <s v="Activo"/>
    <n v="24990"/>
    <x v="2"/>
  </r>
  <r>
    <n v="2026"/>
    <n v="6"/>
    <s v="30-06-2026"/>
    <n v="12230"/>
    <s v="1101-04"/>
    <n v="38990"/>
    <n v="0"/>
    <s v="Centralización recaudaciones junio 2026 #4933 - #4933"/>
    <n v="38990"/>
    <s v="Activo"/>
    <n v="38990"/>
    <x v="2"/>
  </r>
  <r>
    <n v="2026"/>
    <n v="6"/>
    <s v="30-06-2026"/>
    <n v="12233"/>
    <s v="1101-04"/>
    <n v="39990"/>
    <n v="0"/>
    <s v="Centralización recaudaciones junio 2026 #4936 - #4936"/>
    <n v="39990"/>
    <s v="Activo"/>
    <n v="39990"/>
    <x v="2"/>
  </r>
  <r>
    <n v="2026"/>
    <n v="6"/>
    <s v="30-06-2026"/>
    <n v="12271"/>
    <s v="1101-04"/>
    <n v="24990"/>
    <n v="0"/>
    <s v="Centralización recaudaciones junio 2026 #4974 - #4974"/>
    <n v="24990"/>
    <s v="Activo"/>
    <n v="24990"/>
    <x v="2"/>
  </r>
  <r>
    <n v="2026"/>
    <n v="6"/>
    <s v="30-06-2026"/>
    <n v="12274"/>
    <s v="1101-04"/>
    <n v="24990"/>
    <n v="0"/>
    <s v="Centralización recaudaciones junio 2026 #4977 - #4977"/>
    <n v="24990"/>
    <s v="Activo"/>
    <n v="24990"/>
    <x v="2"/>
  </r>
  <r>
    <n v="2026"/>
    <n v="6"/>
    <s v="30-06-2026"/>
    <n v="12282"/>
    <s v="1101-04"/>
    <n v="24990"/>
    <n v="0"/>
    <s v="Centralización recaudaciones junio 2026 #4985 - #4985"/>
    <n v="24990"/>
    <s v="Activo"/>
    <n v="24990"/>
    <x v="2"/>
  </r>
  <r>
    <n v="2026"/>
    <n v="6"/>
    <s v="30-06-2026"/>
    <n v="12289"/>
    <s v="1101-04"/>
    <n v="24990"/>
    <n v="0"/>
    <s v="Centralización recaudaciones junio 2026 #4992 - #4992"/>
    <n v="24990"/>
    <s v="Activo"/>
    <n v="24990"/>
    <x v="2"/>
  </r>
  <r>
    <n v="2026"/>
    <n v="6"/>
    <s v="30-06-2026"/>
    <n v="12291"/>
    <s v="1101-04"/>
    <n v="42990"/>
    <n v="0"/>
    <s v="Centralización recaudaciones junio 2026 #4994 - #4994"/>
    <n v="42990"/>
    <s v="Activo"/>
    <n v="42990"/>
    <x v="2"/>
  </r>
  <r>
    <n v="2026"/>
    <n v="6"/>
    <s v="30-06-2026"/>
    <n v="12298"/>
    <s v="1101-04"/>
    <n v="24990"/>
    <n v="0"/>
    <s v="Centralización recaudaciones junio 2026 #5001 - #5001"/>
    <n v="24990"/>
    <s v="Activo"/>
    <n v="24990"/>
    <x v="2"/>
  </r>
  <r>
    <n v="2026"/>
    <n v="6"/>
    <s v="30-06-2026"/>
    <n v="12301"/>
    <s v="1101-04"/>
    <n v="24990"/>
    <n v="0"/>
    <s v="Centralización recaudaciones junio 2026 #5004 - #5004"/>
    <n v="24990"/>
    <s v="Activo"/>
    <n v="24990"/>
    <x v="2"/>
  </r>
  <r>
    <n v="2026"/>
    <n v="6"/>
    <s v="30-06-2026"/>
    <n v="12305"/>
    <s v="1101-04"/>
    <n v="51990"/>
    <n v="0"/>
    <s v="Centralización recaudaciones junio 2026 #5008 - #5008"/>
    <n v="51990"/>
    <s v="Activo"/>
    <n v="51990"/>
    <x v="2"/>
  </r>
  <r>
    <n v="2026"/>
    <n v="6"/>
    <s v="30-06-2026"/>
    <n v="12306"/>
    <s v="1101-04"/>
    <n v="42990"/>
    <n v="0"/>
    <s v="Centralización recaudaciones junio 2026 #5009 - #5009"/>
    <n v="42990"/>
    <s v="Activo"/>
    <n v="42990"/>
    <x v="2"/>
  </r>
  <r>
    <n v="2026"/>
    <n v="6"/>
    <s v="30-06-2026"/>
    <n v="12309"/>
    <s v="1101-04"/>
    <n v="39990"/>
    <n v="0"/>
    <s v="Centralización recaudaciones junio 2026 #5012 - #5012"/>
    <n v="39990"/>
    <s v="Activo"/>
    <n v="39990"/>
    <x v="2"/>
  </r>
  <r>
    <n v="2026"/>
    <n v="6"/>
    <s v="30-06-2026"/>
    <n v="12323"/>
    <s v="1101-04"/>
    <n v="1000"/>
    <n v="0"/>
    <s v="Centralización recaudaciones junio 2026 #5026 - #5026"/>
    <n v="1000"/>
    <s v="Activo"/>
    <n v="1000"/>
    <x v="2"/>
  </r>
  <r>
    <n v="2026"/>
    <n v="6"/>
    <s v="30-06-2026"/>
    <n v="12324"/>
    <s v="1101-04"/>
    <n v="44990"/>
    <n v="0"/>
    <s v="Centralización recaudaciones junio 2026 #5027 - #5027"/>
    <n v="44990"/>
    <s v="Activo"/>
    <n v="44990"/>
    <x v="2"/>
  </r>
  <r>
    <n v="2026"/>
    <n v="6"/>
    <s v="30-06-2026"/>
    <n v="12331"/>
    <s v="1101-04"/>
    <n v="60940"/>
    <n v="0"/>
    <s v="Centralización recaudaciones junio 2026 #5034 - #5034"/>
    <n v="60940"/>
    <s v="Activo"/>
    <n v="60940"/>
    <x v="2"/>
  </r>
  <r>
    <n v="2026"/>
    <n v="6"/>
    <s v="30-06-2026"/>
    <n v="12336"/>
    <s v="1101-04"/>
    <n v="39990"/>
    <n v="0"/>
    <s v="Centralización recaudaciones junio 2026 #5039 - #5039"/>
    <n v="39990"/>
    <s v="Activo"/>
    <n v="39990"/>
    <x v="2"/>
  </r>
  <r>
    <n v="2026"/>
    <n v="6"/>
    <s v="30-06-2026"/>
    <n v="12343"/>
    <s v="1101-04"/>
    <n v="1392"/>
    <n v="0"/>
    <s v="Centralización recaudaciones junio 2026 #5046 - #5046"/>
    <n v="1392"/>
    <s v="Activo"/>
    <n v="1392"/>
    <x v="2"/>
  </r>
  <r>
    <n v="2026"/>
    <n v="6"/>
    <s v="30-06-2026"/>
    <n v="12351"/>
    <s v="1101-04"/>
    <n v="200789"/>
    <n v="0"/>
    <s v="Centralización recaudaciones junio 2026 #5054 - #5054"/>
    <n v="200789"/>
    <s v="Activo"/>
    <n v="200789"/>
    <x v="2"/>
  </r>
  <r>
    <n v="2026"/>
    <n v="6"/>
    <s v="30-06-2026"/>
    <n v="12365"/>
    <s v="1101-04"/>
    <n v="54990"/>
    <n v="0"/>
    <s v="Centralización recaudaciones junio 2026 #5068 - #5068"/>
    <n v="54990"/>
    <s v="Activo"/>
    <n v="54990"/>
    <x v="2"/>
  </r>
  <r>
    <n v="2026"/>
    <n v="6"/>
    <s v="30-06-2026"/>
    <n v="12366"/>
    <s v="1101-04"/>
    <n v="24990"/>
    <n v="0"/>
    <s v="Centralización recaudaciones junio 2026 #5069 - #5069"/>
    <n v="24990"/>
    <s v="Activo"/>
    <n v="24990"/>
    <x v="2"/>
  </r>
  <r>
    <n v="2026"/>
    <n v="6"/>
    <s v="30-06-2026"/>
    <n v="12369"/>
    <s v="1101-04"/>
    <n v="58047"/>
    <n v="0"/>
    <s v="Centralización recaudaciones junio 2026 #5072 - #5072"/>
    <n v="58047"/>
    <s v="Activo"/>
    <n v="58047"/>
    <x v="2"/>
  </r>
  <r>
    <n v="2026"/>
    <n v="6"/>
    <s v="30-06-2026"/>
    <n v="12373"/>
    <s v="1101-04"/>
    <n v="50000"/>
    <n v="0"/>
    <s v="Centralización recaudaciones junio 2026 #5076 - #5076"/>
    <n v="50000"/>
    <s v="Activo"/>
    <n v="50000"/>
    <x v="2"/>
  </r>
  <r>
    <n v="2026"/>
    <n v="6"/>
    <s v="30-06-2026"/>
    <n v="12378"/>
    <s v="1101-04"/>
    <n v="44990"/>
    <n v="0"/>
    <s v="Centralización recaudaciones junio 2026 #5081 - #5081"/>
    <n v="44990"/>
    <s v="Activo"/>
    <n v="44990"/>
    <x v="2"/>
  </r>
  <r>
    <n v="2026"/>
    <n v="6"/>
    <s v="30-06-2026"/>
    <n v="12383"/>
    <s v="1101-04"/>
    <n v="39990"/>
    <n v="0"/>
    <s v="Centralización recaudaciones junio 2026 #5086 - #5086"/>
    <n v="39990"/>
    <s v="Activo"/>
    <n v="39990"/>
    <x v="2"/>
  </r>
  <r>
    <n v="2026"/>
    <n v="6"/>
    <s v="30-06-2026"/>
    <n v="12393"/>
    <s v="1101-04"/>
    <n v="5000"/>
    <n v="0"/>
    <s v="Centralización recaudaciones junio 2026 #5096 - #5096"/>
    <n v="5000"/>
    <s v="Activo"/>
    <n v="5000"/>
    <x v="2"/>
  </r>
  <r>
    <n v="2026"/>
    <n v="6"/>
    <s v="30-06-2026"/>
    <n v="12395"/>
    <s v="1101-04"/>
    <n v="41638"/>
    <n v="0"/>
    <s v="Centralización recaudaciones junio 2026 #5098 - #5098"/>
    <n v="41638"/>
    <s v="Activo"/>
    <n v="41638"/>
    <x v="2"/>
  </r>
  <r>
    <n v="2026"/>
    <n v="6"/>
    <s v="30-06-2026"/>
    <n v="12402"/>
    <s v="1101-04"/>
    <n v="24990"/>
    <n v="0"/>
    <s v="Centralización recaudaciones junio 2026 #5105 - #5105"/>
    <n v="24990"/>
    <s v="Activo"/>
    <n v="24990"/>
    <x v="2"/>
  </r>
  <r>
    <n v="2026"/>
    <n v="6"/>
    <s v="30-06-2026"/>
    <n v="12413"/>
    <s v="1101-04"/>
    <n v="41638"/>
    <n v="0"/>
    <s v="Centralización recaudaciones junio 2026 #5116 - #5116"/>
    <n v="41638"/>
    <s v="Activo"/>
    <n v="41638"/>
    <x v="2"/>
  </r>
  <r>
    <n v="2026"/>
    <n v="6"/>
    <s v="30-06-2026"/>
    <n v="12416"/>
    <s v="1101-04"/>
    <n v="4010"/>
    <n v="0"/>
    <s v="Centralización recaudaciones junio 2026 #5119 - #5119"/>
    <n v="4010"/>
    <s v="Activo"/>
    <n v="4010"/>
    <x v="2"/>
  </r>
  <r>
    <n v="2026"/>
    <n v="6"/>
    <s v="30-06-2026"/>
    <n v="12418"/>
    <s v="1101-04"/>
    <n v="2660"/>
    <n v="0"/>
    <s v="Centralización recaudaciones junio 2026 #5121 - #5121"/>
    <n v="2660"/>
    <s v="Activo"/>
    <n v="2660"/>
    <x v="2"/>
  </r>
  <r>
    <n v="2026"/>
    <n v="6"/>
    <s v="30-06-2026"/>
    <n v="12429"/>
    <s v="1101-04"/>
    <n v="276"/>
    <n v="0"/>
    <s v="Centralización recaudaciones junio 2026 #5132 - #5132"/>
    <n v="276"/>
    <s v="Activo"/>
    <n v="276"/>
    <x v="2"/>
  </r>
  <r>
    <n v="2026"/>
    <n v="6"/>
    <s v="30-06-2026"/>
    <n v="12442"/>
    <s v="1101-04"/>
    <n v="24990"/>
    <n v="0"/>
    <s v="Centralización recaudaciones junio 2026 #5145 - #5145"/>
    <n v="24990"/>
    <s v="Activo"/>
    <n v="24990"/>
    <x v="2"/>
  </r>
  <r>
    <n v="2026"/>
    <n v="6"/>
    <s v="30-06-2026"/>
    <n v="12446"/>
    <s v="1101-04"/>
    <n v="39990"/>
    <n v="0"/>
    <s v="Centralización recaudaciones junio 2026 #5149 - #5149"/>
    <n v="39990"/>
    <s v="Activo"/>
    <n v="39990"/>
    <x v="2"/>
  </r>
  <r>
    <n v="2026"/>
    <n v="6"/>
    <s v="30-06-2026"/>
    <n v="12454"/>
    <s v="1101-04"/>
    <n v="44990"/>
    <n v="0"/>
    <s v="Centralización recaudaciones junio 2026 #5157 - #5157"/>
    <n v="44990"/>
    <s v="Activo"/>
    <n v="44990"/>
    <x v="2"/>
  </r>
  <r>
    <n v="2026"/>
    <n v="6"/>
    <s v="30-06-2026"/>
    <n v="12455"/>
    <s v="1101-04"/>
    <n v="49980"/>
    <n v="0"/>
    <s v="Centralización recaudaciones junio 2026 #5158 - #5158"/>
    <n v="49980"/>
    <s v="Activo"/>
    <n v="49980"/>
    <x v="2"/>
  </r>
  <r>
    <n v="2026"/>
    <n v="6"/>
    <s v="30-06-2026"/>
    <n v="12481"/>
    <s v="1101-04"/>
    <n v="54990"/>
    <n v="0"/>
    <s v="Centralización recaudaciones junio 2026 #5183 - #5183"/>
    <n v="54990"/>
    <s v="Activo"/>
    <n v="54990"/>
    <x v="2"/>
  </r>
  <r>
    <n v="2026"/>
    <n v="6"/>
    <s v="30-06-2026"/>
    <n v="12492"/>
    <s v="1101-04"/>
    <n v="18000"/>
    <n v="0"/>
    <s v="Centralización recaudaciones junio 2026 #5194 - #5194"/>
    <n v="18000"/>
    <s v="Activo"/>
    <n v="18000"/>
    <x v="2"/>
  </r>
  <r>
    <n v="2026"/>
    <n v="6"/>
    <s v="30-06-2026"/>
    <n v="12496"/>
    <s v="1101-04"/>
    <n v="33000"/>
    <n v="0"/>
    <s v="Centralización recaudaciones junio 2026 #5198 - #5198"/>
    <n v="33000"/>
    <s v="Activo"/>
    <n v="33000"/>
    <x v="2"/>
  </r>
  <r>
    <n v="2026"/>
    <n v="6"/>
    <s v="30-06-2026"/>
    <n v="12512"/>
    <s v="1101-04"/>
    <n v="44000"/>
    <n v="0"/>
    <s v="Centralización recaudaciones junio 2026 #5214 - #5214"/>
    <n v="44000"/>
    <s v="Activo"/>
    <n v="44000"/>
    <x v="2"/>
  </r>
  <r>
    <n v="2026"/>
    <n v="6"/>
    <s v="30-06-2026"/>
    <n v="12515"/>
    <s v="1101-04"/>
    <n v="54990"/>
    <n v="0"/>
    <s v="Centralización recaudaciones junio 2026 #5217 - #5217"/>
    <n v="54990"/>
    <s v="Activo"/>
    <n v="54990"/>
    <x v="2"/>
  </r>
  <r>
    <n v="2026"/>
    <n v="6"/>
    <s v="30-06-2026"/>
    <n v="12520"/>
    <s v="1101-04"/>
    <n v="1710"/>
    <n v="0"/>
    <s v="Centralización recaudaciones junio 2026 #5222 - #5222"/>
    <n v="1710"/>
    <s v="Activo"/>
    <n v="1710"/>
    <x v="2"/>
  </r>
  <r>
    <n v="2026"/>
    <n v="6"/>
    <s v="30-06-2026"/>
    <n v="12534"/>
    <s v="1101-04"/>
    <n v="24990"/>
    <n v="0"/>
    <s v="Centralización recaudaciones junio 2026 #5236 - #5236"/>
    <n v="24990"/>
    <s v="Activo"/>
    <n v="24990"/>
    <x v="2"/>
  </r>
  <r>
    <n v="2026"/>
    <n v="6"/>
    <s v="30-06-2026"/>
    <n v="12564"/>
    <s v="1101-04"/>
    <n v="24990"/>
    <n v="0"/>
    <s v="Centralización recaudaciones junio 2026 #5266 - #5266"/>
    <n v="24990"/>
    <s v="Activo"/>
    <n v="24990"/>
    <x v="2"/>
  </r>
  <r>
    <n v="2026"/>
    <n v="6"/>
    <s v="30-06-2026"/>
    <n v="10801"/>
    <s v="1101-04"/>
    <n v="0"/>
    <n v="3127631"/>
    <s v="Pago cuota 0437 credito itau 60630876"/>
    <n v="-3127631"/>
    <s v="Activo"/>
    <n v="-3127631"/>
    <x v="2"/>
  </r>
  <r>
    <n v="2026"/>
    <n v="6"/>
    <s v="30-06-2026"/>
    <n v="10809"/>
    <s v="1101-04"/>
    <n v="0"/>
    <n v="1000000"/>
    <s v="Traspaso entre cuentas"/>
    <n v="-1000000"/>
    <s v="Activo"/>
    <n v="-1000000"/>
    <x v="2"/>
  </r>
  <r>
    <n v="2026"/>
    <n v="7"/>
    <s v="01-07-2026"/>
    <n v="8668"/>
    <s v="1101-04"/>
    <n v="3117031"/>
    <n v="0"/>
    <s v="Devolucion cuota"/>
    <n v="3117031"/>
    <s v="Activo"/>
    <n v="3117031"/>
    <x v="2"/>
  </r>
  <r>
    <n v="2026"/>
    <n v="7"/>
    <s v="01-07-2026"/>
    <n v="12656"/>
    <s v="1101-04"/>
    <n v="24990"/>
    <n v="0"/>
    <s v="Centralización recaudaciones julio 2026 #5285 - #5285"/>
    <n v="24990"/>
    <s v="Activo"/>
    <n v="24990"/>
    <x v="2"/>
  </r>
  <r>
    <n v="2026"/>
    <n v="7"/>
    <s v="01-07-2026"/>
    <n v="12657"/>
    <s v="1101-04"/>
    <n v="29990"/>
    <n v="0"/>
    <s v="Centralización recaudaciones julio 2026 #5286 - #5286"/>
    <n v="29990"/>
    <s v="Activo"/>
    <n v="29990"/>
    <x v="2"/>
  </r>
  <r>
    <n v="2026"/>
    <n v="7"/>
    <s v="01-07-2026"/>
    <n v="12668"/>
    <s v="1101-04"/>
    <n v="24900"/>
    <n v="0"/>
    <s v="Centralización recaudaciones julio 2026 #5297 - #5297"/>
    <n v="24900"/>
    <s v="Activo"/>
    <n v="24900"/>
    <x v="2"/>
  </r>
  <r>
    <n v="2026"/>
    <n v="7"/>
    <s v="01-07-2026"/>
    <n v="12671"/>
    <s v="1101-04"/>
    <n v="70000"/>
    <n v="0"/>
    <s v="Centralización recaudaciones julio 2026 #5300 - #5300"/>
    <n v="70000"/>
    <s v="Activo"/>
    <n v="70000"/>
    <x v="2"/>
  </r>
  <r>
    <n v="2026"/>
    <n v="7"/>
    <s v="01-07-2026"/>
    <n v="12674"/>
    <s v="1101-04"/>
    <n v="30000"/>
    <n v="0"/>
    <s v="Centralización recaudaciones julio 2026 #5303 - #5303"/>
    <n v="30000"/>
    <s v="Activo"/>
    <n v="30000"/>
    <x v="2"/>
  </r>
  <r>
    <n v="2026"/>
    <n v="7"/>
    <s v="01-07-2026"/>
    <n v="12678"/>
    <s v="1101-04"/>
    <n v="30000"/>
    <n v="0"/>
    <s v="Centralización recaudaciones julio 2026 #5307 - #5307"/>
    <n v="30000"/>
    <s v="Activo"/>
    <n v="30000"/>
    <x v="2"/>
  </r>
  <r>
    <n v="2026"/>
    <n v="7"/>
    <s v="01-07-2026"/>
    <n v="12679"/>
    <s v="1101-04"/>
    <n v="52980"/>
    <n v="0"/>
    <s v="Centralización recaudaciones julio 2026 #5308 - #5308"/>
    <n v="52980"/>
    <s v="Activo"/>
    <n v="52980"/>
    <x v="2"/>
  </r>
  <r>
    <n v="2026"/>
    <n v="7"/>
    <s v="01-07-2026"/>
    <n v="12685"/>
    <s v="1101-04"/>
    <n v="30000"/>
    <n v="0"/>
    <s v="Centralización recaudaciones julio 2026 #5314 - #5314"/>
    <n v="30000"/>
    <s v="Activo"/>
    <n v="30000"/>
    <x v="2"/>
  </r>
  <r>
    <n v="2026"/>
    <n v="7"/>
    <s v="01-07-2026"/>
    <n v="12689"/>
    <s v="1101-04"/>
    <n v="60000"/>
    <n v="0"/>
    <s v="Centralización recaudaciones julio 2026 #5318 - #5318"/>
    <n v="60000"/>
    <s v="Activo"/>
    <n v="60000"/>
    <x v="2"/>
  </r>
  <r>
    <n v="2026"/>
    <n v="7"/>
    <s v="01-07-2026"/>
    <n v="12690"/>
    <s v="1101-04"/>
    <n v="130100"/>
    <n v="0"/>
    <s v="Centralización recaudaciones julio 2026 #5319 - #5319"/>
    <n v="130100"/>
    <s v="Activo"/>
    <n v="130100"/>
    <x v="2"/>
  </r>
  <r>
    <n v="2026"/>
    <n v="7"/>
    <s v="01-07-2026"/>
    <n v="12693"/>
    <s v="1101-04"/>
    <n v="30000"/>
    <n v="0"/>
    <s v="Centralización recaudaciones julio 2026 #5322 - #5322"/>
    <n v="30000"/>
    <s v="Activo"/>
    <n v="30000"/>
    <x v="2"/>
  </r>
  <r>
    <n v="2026"/>
    <n v="7"/>
    <s v="01-07-2026"/>
    <n v="12694"/>
    <s v="1101-04"/>
    <n v="30000"/>
    <n v="0"/>
    <s v="Centralización recaudaciones julio 2026 #5323 - #5323"/>
    <n v="30000"/>
    <s v="Activo"/>
    <n v="30000"/>
    <x v="2"/>
  </r>
  <r>
    <n v="2026"/>
    <n v="7"/>
    <s v="01-07-2026"/>
    <n v="12696"/>
    <s v="1101-04"/>
    <n v="30000"/>
    <n v="0"/>
    <s v="Centralización recaudaciones julio 2026 #5325 - #5325"/>
    <n v="30000"/>
    <s v="Activo"/>
    <n v="30000"/>
    <x v="2"/>
  </r>
  <r>
    <n v="2026"/>
    <n v="7"/>
    <s v="01-07-2026"/>
    <n v="12703"/>
    <s v="1101-04"/>
    <n v="30000"/>
    <n v="0"/>
    <s v="Centralización recaudaciones julio 2026 #5332 - #5332"/>
    <n v="30000"/>
    <s v="Activo"/>
    <n v="30000"/>
    <x v="2"/>
  </r>
  <r>
    <n v="2026"/>
    <n v="7"/>
    <s v="01-07-2026"/>
    <n v="12704"/>
    <s v="1101-04"/>
    <n v="30000"/>
    <n v="0"/>
    <s v="Centralización recaudaciones julio 2026 #5333 - #5333"/>
    <n v="30000"/>
    <s v="Activo"/>
    <n v="30000"/>
    <x v="2"/>
  </r>
  <r>
    <n v="2026"/>
    <n v="7"/>
    <s v="01-07-2026"/>
    <n v="12707"/>
    <s v="1101-04"/>
    <n v="30000"/>
    <n v="0"/>
    <s v="Centralización recaudaciones julio 2026 #5336 - #5336"/>
    <n v="30000"/>
    <s v="Activo"/>
    <n v="30000"/>
    <x v="2"/>
  </r>
  <r>
    <n v="2026"/>
    <n v="7"/>
    <s v="01-07-2026"/>
    <n v="12708"/>
    <s v="1101-04"/>
    <n v="30000"/>
    <n v="0"/>
    <s v="Centralización recaudaciones julio 2026 #5337 - #5337"/>
    <n v="30000"/>
    <s v="Activo"/>
    <n v="30000"/>
    <x v="2"/>
  </r>
  <r>
    <n v="2026"/>
    <n v="7"/>
    <s v="01-07-2026"/>
    <n v="12711"/>
    <s v="1101-04"/>
    <n v="40000"/>
    <n v="0"/>
    <s v="Centralización recaudaciones julio 2026 #5340 - #5340"/>
    <n v="40000"/>
    <s v="Activo"/>
    <n v="40000"/>
    <x v="2"/>
  </r>
  <r>
    <n v="2026"/>
    <n v="7"/>
    <s v="01-07-2026"/>
    <n v="12713"/>
    <s v="1101-04"/>
    <n v="32990"/>
    <n v="0"/>
    <s v="Centralización recaudaciones julio 2026 #5342 - #5342"/>
    <n v="32990"/>
    <s v="Activo"/>
    <n v="32990"/>
    <x v="2"/>
  </r>
  <r>
    <n v="2026"/>
    <n v="7"/>
    <s v="01-07-2026"/>
    <n v="12714"/>
    <s v="1101-04"/>
    <n v="40000"/>
    <n v="0"/>
    <s v="Centralización recaudaciones julio 2026 #5343 - #5343"/>
    <n v="40000"/>
    <s v="Activo"/>
    <n v="40000"/>
    <x v="2"/>
  </r>
  <r>
    <n v="2026"/>
    <n v="7"/>
    <s v="01-07-2026"/>
    <n v="12716"/>
    <s v="1101-04"/>
    <n v="25990"/>
    <n v="0"/>
    <s v="Centralización recaudaciones julio 2026 #5275 - #5275"/>
    <n v="25990"/>
    <s v="Activo"/>
    <n v="25990"/>
    <x v="2"/>
  </r>
  <r>
    <n v="2026"/>
    <n v="7"/>
    <s v="01-07-2026"/>
    <n v="12717"/>
    <s v="1101-04"/>
    <n v="10649"/>
    <n v="0"/>
    <s v="Centralización recaudaciones julio 2026 #5277 - #5277"/>
    <n v="10649"/>
    <s v="Activo"/>
    <n v="10649"/>
    <x v="2"/>
  </r>
  <r>
    <n v="2026"/>
    <n v="7"/>
    <s v="01-07-2026"/>
    <n v="12723"/>
    <s v="1101-04"/>
    <n v="30000"/>
    <n v="0"/>
    <s v="Centralización recaudaciones julio 2026 #5349 - #5349"/>
    <n v="30000"/>
    <s v="Activo"/>
    <n v="30000"/>
    <x v="2"/>
  </r>
  <r>
    <n v="2026"/>
    <n v="7"/>
    <s v="01-07-2026"/>
    <n v="12724"/>
    <s v="1101-04"/>
    <n v="101990"/>
    <n v="0"/>
    <s v="Centralización recaudaciones julio 2026 #5350 - #5350"/>
    <n v="101990"/>
    <s v="Activo"/>
    <n v="101990"/>
    <x v="2"/>
  </r>
  <r>
    <n v="2026"/>
    <n v="7"/>
    <s v="01-07-2026"/>
    <n v="12726"/>
    <s v="1101-04"/>
    <n v="40000"/>
    <n v="0"/>
    <s v="Centralización recaudaciones julio 2026 #5352 - #5352"/>
    <n v="40000"/>
    <s v="Activo"/>
    <n v="40000"/>
    <x v="2"/>
  </r>
  <r>
    <n v="2026"/>
    <n v="7"/>
    <s v="01-07-2026"/>
    <n v="12729"/>
    <s v="1101-04"/>
    <n v="34990"/>
    <n v="0"/>
    <s v="Centralización recaudaciones julio 2026 #5355 - #5355"/>
    <n v="34990"/>
    <s v="Activo"/>
    <n v="34990"/>
    <x v="2"/>
  </r>
  <r>
    <n v="2026"/>
    <n v="7"/>
    <s v="01-07-2026"/>
    <n v="12743"/>
    <s v="1101-04"/>
    <n v="30000"/>
    <n v="0"/>
    <s v="Centralización recaudaciones julio 2026 #5369 - #5369"/>
    <n v="30000"/>
    <s v="Activo"/>
    <n v="30000"/>
    <x v="2"/>
  </r>
  <r>
    <n v="2026"/>
    <n v="7"/>
    <s v="01-07-2026"/>
    <n v="12749"/>
    <s v="1101-04"/>
    <n v="30000"/>
    <n v="0"/>
    <s v="Centralización recaudaciones julio 2026 #5375 - #5375"/>
    <n v="30000"/>
    <s v="Activo"/>
    <n v="30000"/>
    <x v="2"/>
  </r>
  <r>
    <n v="2026"/>
    <n v="7"/>
    <s v="01-07-2026"/>
    <n v="12759"/>
    <s v="1101-04"/>
    <n v="33990"/>
    <n v="0"/>
    <s v="Centralización recaudaciones julio 2026 #5385 - #5385"/>
    <n v="33990"/>
    <s v="Activo"/>
    <n v="33990"/>
    <x v="2"/>
  </r>
  <r>
    <n v="2026"/>
    <n v="7"/>
    <s v="01-07-2026"/>
    <n v="12761"/>
    <s v="1101-04"/>
    <n v="30000"/>
    <n v="0"/>
    <s v="Centralización recaudaciones julio 2026 #5387 - #5387"/>
    <n v="30000"/>
    <s v="Activo"/>
    <n v="30000"/>
    <x v="2"/>
  </r>
  <r>
    <n v="2026"/>
    <n v="7"/>
    <s v="01-07-2026"/>
    <n v="12763"/>
    <s v="1101-04"/>
    <n v="60000"/>
    <n v="0"/>
    <s v="Centralización recaudaciones julio 2026 #5389 - #5389"/>
    <n v="60000"/>
    <s v="Activo"/>
    <n v="60000"/>
    <x v="2"/>
  </r>
  <r>
    <n v="2026"/>
    <n v="7"/>
    <s v="01-07-2026"/>
    <n v="12769"/>
    <s v="1101-04"/>
    <n v="21990"/>
    <n v="0"/>
    <s v="Centralización recaudaciones julio 2026 #5395 - #5395"/>
    <n v="21990"/>
    <s v="Activo"/>
    <n v="21990"/>
    <x v="2"/>
  </r>
  <r>
    <n v="2026"/>
    <n v="7"/>
    <s v="01-07-2026"/>
    <n v="12775"/>
    <s v="1101-04"/>
    <n v="53980"/>
    <n v="0"/>
    <s v="Centralización recaudaciones julio 2026 #5401 - #5401"/>
    <n v="53980"/>
    <s v="Activo"/>
    <n v="53980"/>
    <x v="2"/>
  </r>
  <r>
    <n v="2026"/>
    <n v="7"/>
    <s v="01-07-2026"/>
    <n v="12780"/>
    <s v="1101-04"/>
    <n v="14990"/>
    <n v="0"/>
    <s v="Centralización recaudaciones julio 2026 #5278 - #5278"/>
    <n v="14990"/>
    <s v="Activo"/>
    <n v="14990"/>
    <x v="2"/>
  </r>
  <r>
    <n v="2026"/>
    <n v="7"/>
    <s v="01-07-2026"/>
    <n v="12802"/>
    <s v="1101-04"/>
    <n v="60000"/>
    <n v="0"/>
    <s v="Centralización recaudaciones julio 2026 #5425 - #5425"/>
    <n v="60000"/>
    <s v="Activo"/>
    <n v="60000"/>
    <x v="2"/>
  </r>
  <r>
    <n v="2026"/>
    <n v="7"/>
    <s v="01-07-2026"/>
    <n v="12803"/>
    <s v="1101-04"/>
    <n v="23990"/>
    <n v="0"/>
    <s v="Centralización recaudaciones julio 2026 #5426 - #5426"/>
    <n v="23990"/>
    <s v="Activo"/>
    <n v="23990"/>
    <x v="2"/>
  </r>
  <r>
    <n v="2026"/>
    <n v="7"/>
    <s v="01-07-2026"/>
    <n v="12807"/>
    <s v="1101-04"/>
    <n v="130400"/>
    <n v="0"/>
    <s v="Centralización recaudaciones julio 2026 #5430 - #5430"/>
    <n v="130400"/>
    <s v="Activo"/>
    <n v="130400"/>
    <x v="2"/>
  </r>
  <r>
    <n v="2026"/>
    <n v="7"/>
    <s v="01-07-2026"/>
    <n v="12820"/>
    <s v="1101-04"/>
    <n v="33990"/>
    <n v="0"/>
    <s v="Centralización recaudaciones julio 2026 #5443 - #5443"/>
    <n v="33990"/>
    <s v="Activo"/>
    <n v="33990"/>
    <x v="2"/>
  </r>
  <r>
    <n v="2026"/>
    <n v="7"/>
    <s v="01-07-2026"/>
    <n v="12824"/>
    <s v="1101-04"/>
    <n v="50000"/>
    <n v="0"/>
    <s v="Centralización recaudaciones julio 2026 #5447 - #5447"/>
    <n v="50000"/>
    <s v="Activo"/>
    <n v="50000"/>
    <x v="2"/>
  </r>
  <r>
    <n v="2026"/>
    <n v="7"/>
    <s v="01-07-2026"/>
    <n v="12829"/>
    <s v="1101-04"/>
    <n v="30000"/>
    <n v="0"/>
    <s v="Centralización recaudaciones julio 2026 #5452 - #5452"/>
    <n v="30000"/>
    <s v="Activo"/>
    <n v="30000"/>
    <x v="2"/>
  </r>
  <r>
    <n v="2026"/>
    <n v="7"/>
    <s v="01-07-2026"/>
    <n v="12837"/>
    <s v="1101-04"/>
    <n v="21990"/>
    <n v="0"/>
    <s v="Centralización recaudaciones julio 2026 #5460 - #5460"/>
    <n v="21990"/>
    <s v="Activo"/>
    <n v="21990"/>
    <x v="2"/>
  </r>
  <r>
    <n v="2026"/>
    <n v="7"/>
    <s v="01-07-2026"/>
    <n v="12841"/>
    <s v="1101-04"/>
    <n v="5000"/>
    <n v="0"/>
    <s v="Centralización recaudaciones julio 2026 #5464 - #5464"/>
    <n v="5000"/>
    <s v="Activo"/>
    <n v="5000"/>
    <x v="2"/>
  </r>
  <r>
    <n v="2026"/>
    <n v="7"/>
    <s v="01-07-2026"/>
    <n v="12842"/>
    <s v="1101-04"/>
    <n v="38000"/>
    <n v="0"/>
    <s v="Centralización recaudaciones julio 2026 #5465 - #5465"/>
    <n v="38000"/>
    <s v="Activo"/>
    <n v="38000"/>
    <x v="2"/>
  </r>
  <r>
    <n v="2026"/>
    <n v="7"/>
    <s v="01-07-2026"/>
    <n v="12849"/>
    <s v="1101-04"/>
    <n v="20000"/>
    <n v="0"/>
    <s v="Centralización recaudaciones julio 2026 #5472 - #5472"/>
    <n v="20000"/>
    <s v="Activo"/>
    <n v="20000"/>
    <x v="2"/>
  </r>
  <r>
    <n v="2026"/>
    <n v="7"/>
    <s v="01-07-2026"/>
    <n v="12850"/>
    <s v="1101-04"/>
    <n v="14990"/>
    <n v="0"/>
    <s v="Centralización recaudaciones julio 2026 #5473 - #5473"/>
    <n v="14990"/>
    <s v="Activo"/>
    <n v="14990"/>
    <x v="2"/>
  </r>
  <r>
    <n v="2026"/>
    <n v="7"/>
    <s v="01-07-2026"/>
    <n v="12854"/>
    <s v="1101-04"/>
    <n v="33990"/>
    <n v="0"/>
    <s v="Centralización recaudaciones julio 2026 #5477 - #5477"/>
    <n v="33990"/>
    <s v="Activo"/>
    <n v="33990"/>
    <x v="2"/>
  </r>
  <r>
    <n v="2026"/>
    <n v="7"/>
    <s v="01-07-2026"/>
    <n v="12871"/>
    <s v="1101-04"/>
    <n v="30000"/>
    <n v="0"/>
    <s v="Centralización recaudaciones julio 2026 #5494 - #5494"/>
    <n v="30000"/>
    <s v="Activo"/>
    <n v="30000"/>
    <x v="2"/>
  </r>
  <r>
    <n v="2026"/>
    <n v="7"/>
    <s v="01-07-2026"/>
    <n v="12872"/>
    <s v="1101-04"/>
    <n v="30000"/>
    <n v="0"/>
    <s v="Centralización recaudaciones julio 2026 #5495 - #5495"/>
    <n v="30000"/>
    <s v="Activo"/>
    <n v="30000"/>
    <x v="2"/>
  </r>
  <r>
    <n v="2026"/>
    <n v="7"/>
    <s v="01-07-2026"/>
    <n v="12885"/>
    <s v="1101-04"/>
    <n v="36990"/>
    <n v="0"/>
    <s v="Centralización recaudaciones julio 2026 #5508 - #5508"/>
    <n v="36990"/>
    <s v="Activo"/>
    <n v="36990"/>
    <x v="2"/>
  </r>
  <r>
    <n v="2026"/>
    <n v="7"/>
    <s v="01-07-2026"/>
    <n v="12887"/>
    <s v="1101-04"/>
    <n v="30990"/>
    <n v="0"/>
    <s v="Centralización recaudaciones julio 2026 #5510 - #5510"/>
    <n v="30990"/>
    <s v="Activo"/>
    <n v="30990"/>
    <x v="2"/>
  </r>
  <r>
    <n v="2026"/>
    <n v="7"/>
    <s v="01-07-2026"/>
    <n v="12892"/>
    <s v="1101-04"/>
    <n v="36990"/>
    <n v="0"/>
    <s v="Centralización recaudaciones julio 2026 #5515 - #5515"/>
    <n v="36990"/>
    <s v="Activo"/>
    <n v="36990"/>
    <x v="2"/>
  </r>
  <r>
    <n v="2026"/>
    <n v="7"/>
    <s v="01-07-2026"/>
    <n v="12908"/>
    <s v="1101-04"/>
    <n v="1441"/>
    <n v="0"/>
    <s v="Centralización recaudaciones julio 2026 #5276 - #5276"/>
    <n v="1441"/>
    <s v="Activo"/>
    <n v="1441"/>
    <x v="2"/>
  </r>
  <r>
    <n v="2026"/>
    <n v="7"/>
    <s v="01-07-2026"/>
    <n v="12919"/>
    <s v="1101-04"/>
    <n v="14990"/>
    <n v="0"/>
    <s v="Centralización recaudaciones julio 2026 #5540 - #5540"/>
    <n v="14990"/>
    <s v="Activo"/>
    <n v="14990"/>
    <x v="2"/>
  </r>
  <r>
    <n v="2026"/>
    <n v="7"/>
    <s v="01-07-2026"/>
    <n v="12923"/>
    <s v="1101-04"/>
    <n v="172160"/>
    <n v="0"/>
    <s v="Centralización recaudaciones julio 2026 #5544 - #5544"/>
    <n v="172160"/>
    <s v="Activo"/>
    <n v="172160"/>
    <x v="2"/>
  </r>
  <r>
    <n v="2026"/>
    <n v="7"/>
    <s v="01-07-2026"/>
    <n v="12927"/>
    <s v="1101-04"/>
    <n v="22990"/>
    <n v="0"/>
    <s v="Centralización recaudaciones julio 2026 #5548 - #5548"/>
    <n v="22990"/>
    <s v="Activo"/>
    <n v="22990"/>
    <x v="2"/>
  </r>
  <r>
    <n v="2026"/>
    <n v="7"/>
    <s v="01-07-2026"/>
    <n v="12958"/>
    <s v="1101-04"/>
    <n v="14990"/>
    <n v="0"/>
    <s v="Centralización recaudaciones julio 2026 #5579 - #5579"/>
    <n v="14990"/>
    <s v="Activo"/>
    <n v="14990"/>
    <x v="2"/>
  </r>
  <r>
    <n v="2026"/>
    <n v="7"/>
    <s v="01-07-2026"/>
    <n v="12999"/>
    <s v="1101-04"/>
    <n v="278"/>
    <n v="0"/>
    <s v="Centralización recaudaciones julio 2026 #5620 - #5620"/>
    <n v="278"/>
    <s v="Activo"/>
    <n v="278"/>
    <x v="2"/>
  </r>
  <r>
    <n v="2026"/>
    <n v="7"/>
    <s v="01-07-2026"/>
    <n v="13008"/>
    <s v="1101-04"/>
    <n v="22990"/>
    <n v="0"/>
    <s v="Centralización recaudaciones julio 2026 #5629 - #5629"/>
    <n v="22990"/>
    <s v="Activo"/>
    <n v="22990"/>
    <x v="2"/>
  </r>
  <r>
    <n v="2026"/>
    <n v="7"/>
    <s v="01-07-2026"/>
    <n v="13012"/>
    <s v="1101-04"/>
    <n v="43970"/>
    <n v="0"/>
    <s v="Centralización recaudaciones julio 2026 #5633 - #5633"/>
    <n v="43970"/>
    <s v="Activo"/>
    <n v="43970"/>
    <x v="2"/>
  </r>
  <r>
    <n v="2026"/>
    <n v="7"/>
    <s v="01-07-2026"/>
    <n v="13016"/>
    <s v="1101-04"/>
    <n v="14990"/>
    <n v="0"/>
    <s v="Centralización recaudaciones julio 2026 #5637 - #5637"/>
    <n v="14990"/>
    <s v="Activo"/>
    <n v="14990"/>
    <x v="2"/>
  </r>
  <r>
    <n v="2026"/>
    <n v="7"/>
    <s v="01-07-2026"/>
    <n v="13054"/>
    <s v="1101-04"/>
    <n v="480456"/>
    <n v="0"/>
    <s v="Centralización recaudaciones julio 2026 #5675 - #5675"/>
    <n v="480456"/>
    <s v="Activo"/>
    <n v="480456"/>
    <x v="2"/>
  </r>
  <r>
    <n v="2026"/>
    <n v="7"/>
    <s v="01-07-2026"/>
    <n v="13056"/>
    <s v="1101-04"/>
    <n v="14990"/>
    <n v="0"/>
    <s v="Centralización recaudaciones julio 2026 #5677 - #5677"/>
    <n v="14990"/>
    <s v="Activo"/>
    <n v="14990"/>
    <x v="2"/>
  </r>
  <r>
    <n v="2026"/>
    <n v="7"/>
    <s v="01-07-2026"/>
    <n v="13071"/>
    <s v="1101-04"/>
    <n v="33980"/>
    <n v="0"/>
    <s v="Centralización recaudaciones julio 2026 #5692 - #5692"/>
    <n v="33980"/>
    <s v="Activo"/>
    <n v="33980"/>
    <x v="2"/>
  </r>
  <r>
    <n v="2026"/>
    <n v="7"/>
    <s v="01-07-2026"/>
    <n v="13135"/>
    <s v="1101-04"/>
    <n v="60000"/>
    <n v="0"/>
    <s v="Centralización recaudaciones julio 2026 #5756 - #5756"/>
    <n v="60000"/>
    <s v="Activo"/>
    <n v="60000"/>
    <x v="2"/>
  </r>
  <r>
    <n v="2026"/>
    <n v="7"/>
    <s v="01-07-2026"/>
    <n v="13146"/>
    <s v="1101-04"/>
    <n v="46990"/>
    <n v="0"/>
    <s v="Centralización recaudaciones julio 2026 #5767 - #5767"/>
    <n v="46990"/>
    <s v="Activo"/>
    <n v="46990"/>
    <x v="2"/>
  </r>
  <r>
    <n v="2026"/>
    <n v="7"/>
    <s v="01-07-2026"/>
    <n v="13148"/>
    <s v="1101-04"/>
    <n v="53538"/>
    <n v="0"/>
    <s v="Centralización recaudaciones julio 2026 #5769 - #5769"/>
    <n v="53538"/>
    <s v="Activo"/>
    <n v="53538"/>
    <x v="2"/>
  </r>
  <r>
    <n v="2026"/>
    <n v="7"/>
    <s v="01-07-2026"/>
    <n v="13160"/>
    <s v="1101-04"/>
    <n v="14990"/>
    <n v="0"/>
    <s v="Centralización recaudaciones julio 2026 #5781 - #5781"/>
    <n v="14990"/>
    <s v="Activo"/>
    <n v="14990"/>
    <x v="2"/>
  </r>
  <r>
    <n v="2026"/>
    <n v="7"/>
    <s v="01-07-2026"/>
    <n v="13181"/>
    <s v="1101-04"/>
    <n v="33990"/>
    <n v="0"/>
    <s v="Centralización recaudaciones julio 2026 #5802 - #5802"/>
    <n v="33990"/>
    <s v="Activo"/>
    <n v="33990"/>
    <x v="2"/>
  </r>
  <r>
    <n v="2026"/>
    <n v="7"/>
    <s v="01-07-2026"/>
    <n v="13199"/>
    <s v="1101-04"/>
    <n v="33990"/>
    <n v="0"/>
    <s v="Centralización recaudaciones julio 2026 #5820 - #5820"/>
    <n v="33990"/>
    <s v="Activo"/>
    <n v="33990"/>
    <x v="2"/>
  </r>
  <r>
    <n v="2026"/>
    <n v="7"/>
    <s v="01-07-2026"/>
    <n v="13209"/>
    <s v="1101-04"/>
    <n v="232730"/>
    <n v="0"/>
    <s v="Centralización recaudaciones julio 2026 #5830 - #5830"/>
    <n v="232730"/>
    <s v="Activo"/>
    <n v="232730"/>
    <x v="2"/>
  </r>
  <r>
    <n v="2026"/>
    <n v="7"/>
    <s v="01-07-2026"/>
    <n v="13225"/>
    <s v="1101-04"/>
    <n v="60000"/>
    <n v="0"/>
    <s v="Centralización recaudaciones julio 2026 #5846 - #5846"/>
    <n v="60000"/>
    <s v="Activo"/>
    <n v="60000"/>
    <x v="2"/>
  </r>
  <r>
    <n v="2026"/>
    <n v="7"/>
    <s v="01-07-2026"/>
    <n v="13233"/>
    <s v="1101-04"/>
    <n v="24990"/>
    <n v="0"/>
    <s v="Centralización recaudaciones julio 2026 #5854 - #5854"/>
    <n v="24990"/>
    <s v="Activo"/>
    <n v="24990"/>
    <x v="2"/>
  </r>
  <r>
    <n v="2026"/>
    <n v="7"/>
    <s v="01-07-2026"/>
    <n v="13257"/>
    <s v="1101-04"/>
    <n v="54000"/>
    <n v="0"/>
    <s v="Centralización recaudaciones julio 2026 #5878 - #5878"/>
    <n v="54000"/>
    <s v="Activo"/>
    <n v="54000"/>
    <x v="2"/>
  </r>
  <r>
    <n v="2026"/>
    <n v="7"/>
    <s v="01-07-2026"/>
    <n v="13274"/>
    <s v="1101-04"/>
    <n v="40000"/>
    <n v="0"/>
    <s v="Centralización recaudaciones julio 2026 #5895 - #5895"/>
    <n v="40000"/>
    <s v="Activo"/>
    <n v="40000"/>
    <x v="2"/>
  </r>
  <r>
    <n v="2026"/>
    <n v="7"/>
    <s v="01-07-2026"/>
    <n v="13278"/>
    <s v="1101-04"/>
    <n v="236618"/>
    <n v="0"/>
    <s v="Centralización recaudaciones julio 2026 #5899 - #5899"/>
    <n v="236618"/>
    <s v="Activo"/>
    <n v="236618"/>
    <x v="2"/>
  </r>
  <r>
    <n v="2026"/>
    <n v="7"/>
    <s v="01-07-2026"/>
    <n v="13291"/>
    <s v="1101-04"/>
    <n v="30000"/>
    <n v="0"/>
    <s v="Centralización recaudaciones julio 2026 #5912 - #5912"/>
    <n v="30000"/>
    <s v="Activo"/>
    <n v="30000"/>
    <x v="2"/>
  </r>
  <r>
    <n v="2026"/>
    <n v="7"/>
    <s v="01-07-2026"/>
    <n v="13301"/>
    <s v="1101-04"/>
    <n v="30000"/>
    <n v="0"/>
    <s v="Centralización recaudaciones julio 2026 #5922 - #5922"/>
    <n v="30000"/>
    <s v="Activo"/>
    <n v="30000"/>
    <x v="2"/>
  </r>
  <r>
    <n v="2026"/>
    <n v="7"/>
    <s v="01-07-2026"/>
    <n v="13310"/>
    <s v="1101-04"/>
    <n v="50870"/>
    <n v="0"/>
    <s v="Centralización recaudaciones julio 2026 #5931 - #5931"/>
    <n v="50870"/>
    <s v="Activo"/>
    <n v="50870"/>
    <x v="2"/>
  </r>
  <r>
    <n v="2026"/>
    <n v="7"/>
    <s v="02-07-2026"/>
    <n v="12655"/>
    <s v="1101-04"/>
    <n v="40000"/>
    <n v="0"/>
    <s v="Centralización recaudaciones julio 2026 #5284 - #5284"/>
    <n v="40000"/>
    <s v="Activo"/>
    <n v="40000"/>
    <x v="2"/>
  </r>
  <r>
    <n v="2026"/>
    <n v="7"/>
    <s v="02-07-2026"/>
    <n v="12670"/>
    <s v="1101-04"/>
    <n v="39990"/>
    <n v="0"/>
    <s v="Centralización recaudaciones julio 2026 #5299 - #5299"/>
    <n v="39990"/>
    <s v="Activo"/>
    <n v="39990"/>
    <x v="2"/>
  </r>
  <r>
    <n v="2026"/>
    <n v="7"/>
    <s v="02-07-2026"/>
    <n v="12673"/>
    <s v="1101-04"/>
    <n v="56980"/>
    <n v="0"/>
    <s v="Centralización recaudaciones julio 2026 #5302 - #5302"/>
    <n v="56980"/>
    <s v="Activo"/>
    <n v="56980"/>
    <x v="2"/>
  </r>
  <r>
    <n v="2026"/>
    <n v="7"/>
    <s v="02-07-2026"/>
    <n v="12676"/>
    <s v="1101-04"/>
    <n v="30000"/>
    <n v="0"/>
    <s v="Centralización recaudaciones julio 2026 #5305 - #5305"/>
    <n v="30000"/>
    <s v="Activo"/>
    <n v="30000"/>
    <x v="2"/>
  </r>
  <r>
    <n v="2026"/>
    <n v="7"/>
    <s v="02-07-2026"/>
    <n v="12682"/>
    <s v="1101-04"/>
    <n v="50000"/>
    <n v="0"/>
    <s v="Centralización recaudaciones julio 2026 #5311 - #5311"/>
    <n v="50000"/>
    <s v="Activo"/>
    <n v="50000"/>
    <x v="2"/>
  </r>
  <r>
    <n v="2026"/>
    <n v="7"/>
    <s v="02-07-2026"/>
    <n v="12684"/>
    <s v="1101-04"/>
    <n v="30000"/>
    <n v="0"/>
    <s v="Centralización recaudaciones julio 2026 #5313 - #5313"/>
    <n v="30000"/>
    <s v="Activo"/>
    <n v="30000"/>
    <x v="2"/>
  </r>
  <r>
    <n v="2026"/>
    <n v="7"/>
    <s v="02-07-2026"/>
    <n v="12687"/>
    <s v="1101-04"/>
    <n v="59990"/>
    <n v="0"/>
    <s v="Centralización recaudaciones julio 2026 #5316 - #5316"/>
    <n v="59990"/>
    <s v="Activo"/>
    <n v="59990"/>
    <x v="2"/>
  </r>
  <r>
    <n v="2026"/>
    <n v="7"/>
    <s v="02-07-2026"/>
    <n v="12692"/>
    <s v="1101-04"/>
    <n v="40000"/>
    <n v="0"/>
    <s v="Centralización recaudaciones julio 2026 #5321 - #5321"/>
    <n v="40000"/>
    <s v="Activo"/>
    <n v="40000"/>
    <x v="2"/>
  </r>
  <r>
    <n v="2026"/>
    <n v="7"/>
    <s v="02-07-2026"/>
    <n v="12695"/>
    <s v="1101-04"/>
    <n v="30000"/>
    <n v="0"/>
    <s v="Centralización recaudaciones julio 2026 #5324 - #5324"/>
    <n v="30000"/>
    <s v="Activo"/>
    <n v="30000"/>
    <x v="2"/>
  </r>
  <r>
    <n v="2026"/>
    <n v="7"/>
    <s v="02-07-2026"/>
    <n v="12698"/>
    <s v="1101-04"/>
    <n v="90980"/>
    <n v="0"/>
    <s v="Centralización recaudaciones julio 2026 #5327 - #5327"/>
    <n v="90980"/>
    <s v="Activo"/>
    <n v="90980"/>
    <x v="2"/>
  </r>
  <r>
    <n v="2026"/>
    <n v="7"/>
    <s v="02-07-2026"/>
    <n v="12700"/>
    <s v="1101-04"/>
    <n v="30000"/>
    <n v="0"/>
    <s v="Centralización recaudaciones julio 2026 #5329 - #5329"/>
    <n v="30000"/>
    <s v="Activo"/>
    <n v="30000"/>
    <x v="2"/>
  </r>
  <r>
    <n v="2026"/>
    <n v="7"/>
    <s v="02-07-2026"/>
    <n v="12702"/>
    <s v="1101-04"/>
    <n v="40000"/>
    <n v="0"/>
    <s v="Centralización recaudaciones julio 2026 #5331 - #5331"/>
    <n v="40000"/>
    <s v="Activo"/>
    <n v="40000"/>
    <x v="2"/>
  </r>
  <r>
    <n v="2026"/>
    <n v="7"/>
    <s v="02-07-2026"/>
    <n v="12709"/>
    <s v="1101-04"/>
    <n v="70000"/>
    <n v="0"/>
    <s v="Centralización recaudaciones julio 2026 #5338 - #5338"/>
    <n v="70000"/>
    <s v="Activo"/>
    <n v="70000"/>
    <x v="2"/>
  </r>
  <r>
    <n v="2026"/>
    <n v="7"/>
    <s v="02-07-2026"/>
    <n v="12710"/>
    <s v="1101-04"/>
    <n v="123000"/>
    <n v="0"/>
    <s v="Centralización recaudaciones julio 2026 #5339 - #5339"/>
    <n v="123000"/>
    <s v="Activo"/>
    <n v="123000"/>
    <x v="2"/>
  </r>
  <r>
    <n v="2026"/>
    <n v="7"/>
    <s v="02-07-2026"/>
    <n v="12712"/>
    <s v="1101-04"/>
    <n v="28990"/>
    <n v="0"/>
    <s v="Centralización recaudaciones julio 2026 #5341 - #5341"/>
    <n v="28990"/>
    <s v="Activo"/>
    <n v="28990"/>
    <x v="2"/>
  </r>
  <r>
    <n v="2026"/>
    <n v="7"/>
    <s v="02-07-2026"/>
    <n v="12715"/>
    <s v="1101-04"/>
    <n v="30000"/>
    <n v="0"/>
    <s v="Centralización recaudaciones julio 2026 #5344 - #5344"/>
    <n v="30000"/>
    <s v="Activo"/>
    <n v="30000"/>
    <x v="2"/>
  </r>
  <r>
    <n v="2026"/>
    <n v="7"/>
    <s v="02-07-2026"/>
    <n v="12719"/>
    <s v="1101-04"/>
    <n v="30000"/>
    <n v="0"/>
    <s v="Centralización recaudaciones julio 2026 #5345 - #5345"/>
    <n v="30000"/>
    <s v="Activo"/>
    <n v="30000"/>
    <x v="2"/>
  </r>
  <r>
    <n v="2026"/>
    <n v="7"/>
    <s v="02-07-2026"/>
    <n v="12721"/>
    <s v="1101-04"/>
    <n v="30000"/>
    <n v="0"/>
    <s v="Centralización recaudaciones julio 2026 #5347 - #5347"/>
    <n v="30000"/>
    <s v="Activo"/>
    <n v="30000"/>
    <x v="2"/>
  </r>
  <r>
    <n v="2026"/>
    <n v="7"/>
    <s v="02-07-2026"/>
    <n v="12727"/>
    <s v="1101-04"/>
    <n v="28990"/>
    <n v="0"/>
    <s v="Centralización recaudaciones julio 2026 #5353 - #5353"/>
    <n v="28990"/>
    <s v="Activo"/>
    <n v="28990"/>
    <x v="2"/>
  </r>
  <r>
    <n v="2026"/>
    <n v="7"/>
    <s v="02-07-2026"/>
    <n v="12736"/>
    <s v="1101-04"/>
    <n v="34990"/>
    <n v="0"/>
    <s v="Centralización recaudaciones julio 2026 #5362 - #5362"/>
    <n v="34990"/>
    <s v="Activo"/>
    <n v="34990"/>
    <x v="2"/>
  </r>
  <r>
    <n v="2026"/>
    <n v="7"/>
    <s v="02-07-2026"/>
    <n v="12738"/>
    <s v="1101-04"/>
    <n v="43990"/>
    <n v="0"/>
    <s v="Centralización recaudaciones julio 2026 #5364 - #5364"/>
    <n v="43990"/>
    <s v="Activo"/>
    <n v="43990"/>
    <x v="2"/>
  </r>
  <r>
    <n v="2026"/>
    <n v="7"/>
    <s v="02-07-2026"/>
    <n v="12741"/>
    <s v="1101-04"/>
    <n v="30000"/>
    <n v="0"/>
    <s v="Centralización recaudaciones julio 2026 #5367 - #5367"/>
    <n v="30000"/>
    <s v="Activo"/>
    <n v="30000"/>
    <x v="2"/>
  </r>
  <r>
    <n v="2026"/>
    <n v="7"/>
    <s v="02-07-2026"/>
    <n v="12742"/>
    <s v="1101-04"/>
    <n v="296114"/>
    <n v="0"/>
    <s v="Centralización recaudaciones julio 2026 #5368 - #5368"/>
    <n v="296114"/>
    <s v="Activo"/>
    <n v="296114"/>
    <x v="2"/>
  </r>
  <r>
    <n v="2026"/>
    <n v="7"/>
    <s v="02-07-2026"/>
    <n v="12744"/>
    <s v="1101-04"/>
    <n v="37990"/>
    <n v="0"/>
    <s v="Centralización recaudaciones julio 2026 #5370 - #5370"/>
    <n v="37990"/>
    <s v="Activo"/>
    <n v="37990"/>
    <x v="2"/>
  </r>
  <r>
    <n v="2026"/>
    <n v="7"/>
    <s v="02-07-2026"/>
    <n v="12745"/>
    <s v="1101-04"/>
    <n v="30000"/>
    <n v="0"/>
    <s v="Centralización recaudaciones julio 2026 #5371 - #5371"/>
    <n v="30000"/>
    <s v="Activo"/>
    <n v="30000"/>
    <x v="2"/>
  </r>
  <r>
    <n v="2026"/>
    <n v="7"/>
    <s v="02-07-2026"/>
    <n v="12746"/>
    <s v="1101-04"/>
    <n v="30000"/>
    <n v="0"/>
    <s v="Centralización recaudaciones julio 2026 #5372 - #5372"/>
    <n v="30000"/>
    <s v="Activo"/>
    <n v="30000"/>
    <x v="2"/>
  </r>
  <r>
    <n v="2026"/>
    <n v="7"/>
    <s v="02-07-2026"/>
    <n v="12747"/>
    <s v="1101-04"/>
    <n v="30000"/>
    <n v="0"/>
    <s v="Centralización recaudaciones julio 2026 #5373 - #5373"/>
    <n v="30000"/>
    <s v="Activo"/>
    <n v="30000"/>
    <x v="2"/>
  </r>
  <r>
    <n v="2026"/>
    <n v="7"/>
    <s v="02-07-2026"/>
    <n v="12750"/>
    <s v="1101-04"/>
    <n v="29990"/>
    <n v="0"/>
    <s v="Centralización recaudaciones julio 2026 #5376 - #5376"/>
    <n v="29990"/>
    <s v="Activo"/>
    <n v="29990"/>
    <x v="2"/>
  </r>
  <r>
    <n v="2026"/>
    <n v="7"/>
    <s v="02-07-2026"/>
    <n v="12753"/>
    <s v="1101-04"/>
    <n v="43980"/>
    <n v="0"/>
    <s v="Centralización recaudaciones julio 2026 #5379 - #5379"/>
    <n v="43980"/>
    <s v="Activo"/>
    <n v="43980"/>
    <x v="2"/>
  </r>
  <r>
    <n v="2026"/>
    <n v="7"/>
    <s v="02-07-2026"/>
    <n v="12754"/>
    <s v="1101-04"/>
    <n v="34990"/>
    <n v="0"/>
    <s v="Centralización recaudaciones julio 2026 #5380 - #5380"/>
    <n v="34990"/>
    <s v="Activo"/>
    <n v="34990"/>
    <x v="2"/>
  </r>
  <r>
    <n v="2026"/>
    <n v="7"/>
    <s v="02-07-2026"/>
    <n v="12764"/>
    <s v="1101-04"/>
    <n v="30000"/>
    <n v="0"/>
    <s v="Centralización recaudaciones julio 2026 #5390 - #5390"/>
    <n v="30000"/>
    <s v="Activo"/>
    <n v="30000"/>
    <x v="2"/>
  </r>
  <r>
    <n v="2026"/>
    <n v="7"/>
    <s v="02-07-2026"/>
    <n v="12765"/>
    <s v="1101-04"/>
    <n v="30000"/>
    <n v="0"/>
    <s v="Centralización recaudaciones julio 2026 #5391 - #5391"/>
    <n v="30000"/>
    <s v="Activo"/>
    <n v="30000"/>
    <x v="2"/>
  </r>
  <r>
    <n v="2026"/>
    <n v="7"/>
    <s v="02-07-2026"/>
    <n v="12767"/>
    <s v="1101-04"/>
    <n v="30000"/>
    <n v="0"/>
    <s v="Centralización recaudaciones julio 2026 #5393 - #5393"/>
    <n v="30000"/>
    <s v="Activo"/>
    <n v="30000"/>
    <x v="2"/>
  </r>
  <r>
    <n v="2026"/>
    <n v="7"/>
    <s v="02-07-2026"/>
    <n v="12774"/>
    <s v="1101-04"/>
    <n v="21990"/>
    <n v="0"/>
    <s v="Centralización recaudaciones julio 2026 #5400 - #5400"/>
    <n v="21990"/>
    <s v="Activo"/>
    <n v="21990"/>
    <x v="2"/>
  </r>
  <r>
    <n v="2026"/>
    <n v="7"/>
    <s v="02-07-2026"/>
    <n v="12778"/>
    <s v="1101-04"/>
    <n v="42000"/>
    <n v="0"/>
    <s v="Centralización recaudaciones julio 2026 #5404 - #5404"/>
    <n v="42000"/>
    <s v="Activo"/>
    <n v="42000"/>
    <x v="2"/>
  </r>
  <r>
    <n v="2026"/>
    <n v="7"/>
    <s v="02-07-2026"/>
    <n v="12779"/>
    <s v="1101-04"/>
    <n v="582525"/>
    <n v="0"/>
    <s v="Centralización recaudaciones julio 2026 #5405 - #5405"/>
    <n v="582525"/>
    <s v="Activo"/>
    <n v="582525"/>
    <x v="2"/>
  </r>
  <r>
    <n v="2026"/>
    <n v="7"/>
    <s v="02-07-2026"/>
    <n v="12784"/>
    <s v="1101-04"/>
    <n v="43990"/>
    <n v="0"/>
    <s v="Centralización recaudaciones julio 2026 #5407 - #5407"/>
    <n v="43990"/>
    <s v="Activo"/>
    <n v="43990"/>
    <x v="2"/>
  </r>
  <r>
    <n v="2026"/>
    <n v="7"/>
    <s v="02-07-2026"/>
    <n v="12787"/>
    <s v="1101-04"/>
    <n v="28990"/>
    <n v="0"/>
    <s v="Centralización recaudaciones julio 2026 #5410 - #5410"/>
    <n v="28990"/>
    <s v="Activo"/>
    <n v="28990"/>
    <x v="2"/>
  </r>
  <r>
    <n v="2026"/>
    <n v="7"/>
    <s v="02-07-2026"/>
    <n v="12788"/>
    <s v="1101-04"/>
    <n v="21990"/>
    <n v="0"/>
    <s v="Centralización recaudaciones julio 2026 #5411 - #5411"/>
    <n v="21990"/>
    <s v="Activo"/>
    <n v="21990"/>
    <x v="2"/>
  </r>
  <r>
    <n v="2026"/>
    <n v="7"/>
    <s v="02-07-2026"/>
    <n v="12800"/>
    <s v="1101-04"/>
    <n v="30000"/>
    <n v="0"/>
    <s v="Centralización recaudaciones julio 2026 #5423 - #5423"/>
    <n v="30000"/>
    <s v="Activo"/>
    <n v="30000"/>
    <x v="2"/>
  </r>
  <r>
    <n v="2026"/>
    <n v="7"/>
    <s v="02-07-2026"/>
    <n v="12806"/>
    <s v="1101-04"/>
    <n v="30000"/>
    <n v="0"/>
    <s v="Centralización recaudaciones julio 2026 #5429 - #5429"/>
    <n v="30000"/>
    <s v="Activo"/>
    <n v="30000"/>
    <x v="2"/>
  </r>
  <r>
    <n v="2026"/>
    <n v="7"/>
    <s v="02-07-2026"/>
    <n v="12809"/>
    <s v="1101-04"/>
    <n v="30000"/>
    <n v="0"/>
    <s v="Centralización recaudaciones julio 2026 #5432 - #5432"/>
    <n v="30000"/>
    <s v="Activo"/>
    <n v="30000"/>
    <x v="2"/>
  </r>
  <r>
    <n v="2026"/>
    <n v="7"/>
    <s v="02-07-2026"/>
    <n v="12810"/>
    <s v="1101-04"/>
    <n v="30000"/>
    <n v="0"/>
    <s v="Centralización recaudaciones julio 2026 #5433 - #5433"/>
    <n v="30000"/>
    <s v="Activo"/>
    <n v="30000"/>
    <x v="2"/>
  </r>
  <r>
    <n v="2026"/>
    <n v="7"/>
    <s v="02-07-2026"/>
    <n v="12819"/>
    <s v="1101-04"/>
    <n v="30000"/>
    <n v="0"/>
    <s v="Centralización recaudaciones julio 2026 #5442 - #5442"/>
    <n v="30000"/>
    <s v="Activo"/>
    <n v="30000"/>
    <x v="2"/>
  </r>
  <r>
    <n v="2026"/>
    <n v="7"/>
    <s v="02-07-2026"/>
    <n v="12826"/>
    <s v="1101-04"/>
    <n v="21990"/>
    <n v="0"/>
    <s v="Centralización recaudaciones julio 2026 #5449 - #5449"/>
    <n v="21990"/>
    <s v="Activo"/>
    <n v="21990"/>
    <x v="2"/>
  </r>
  <r>
    <n v="2026"/>
    <n v="7"/>
    <s v="02-07-2026"/>
    <n v="12827"/>
    <s v="1101-04"/>
    <n v="43990"/>
    <n v="0"/>
    <s v="Centralización recaudaciones julio 2026 #5450 - #5450"/>
    <n v="43990"/>
    <s v="Activo"/>
    <n v="43990"/>
    <x v="2"/>
  </r>
  <r>
    <n v="2026"/>
    <n v="7"/>
    <s v="02-07-2026"/>
    <n v="12828"/>
    <s v="1101-04"/>
    <n v="30000"/>
    <n v="0"/>
    <s v="Centralización recaudaciones julio 2026 #5451 - #5451"/>
    <n v="30000"/>
    <s v="Activo"/>
    <n v="30000"/>
    <x v="2"/>
  </r>
  <r>
    <n v="2026"/>
    <n v="7"/>
    <s v="02-07-2026"/>
    <n v="12833"/>
    <s v="1101-04"/>
    <n v="30000"/>
    <n v="0"/>
    <s v="Centralización recaudaciones julio 2026 #5456 - #5456"/>
    <n v="30000"/>
    <s v="Activo"/>
    <n v="30000"/>
    <x v="2"/>
  </r>
  <r>
    <n v="2026"/>
    <n v="7"/>
    <s v="02-07-2026"/>
    <n v="12839"/>
    <s v="1101-04"/>
    <n v="47960"/>
    <n v="0"/>
    <s v="Centralización recaudaciones julio 2026 #5462 - #5462"/>
    <n v="47960"/>
    <s v="Activo"/>
    <n v="47960"/>
    <x v="2"/>
  </r>
  <r>
    <n v="2026"/>
    <n v="7"/>
    <s v="02-07-2026"/>
    <n v="12840"/>
    <s v="1101-04"/>
    <n v="28990"/>
    <n v="0"/>
    <s v="Centralización recaudaciones julio 2026 #5463 - #5463"/>
    <n v="28990"/>
    <s v="Activo"/>
    <n v="28990"/>
    <x v="2"/>
  </r>
  <r>
    <n v="2026"/>
    <n v="7"/>
    <s v="02-07-2026"/>
    <n v="12846"/>
    <s v="1101-04"/>
    <n v="64000"/>
    <n v="0"/>
    <s v="Centralización recaudaciones julio 2026 #5469 - #5469"/>
    <n v="64000"/>
    <s v="Activo"/>
    <n v="64000"/>
    <x v="2"/>
  </r>
  <r>
    <n v="2026"/>
    <n v="7"/>
    <s v="02-07-2026"/>
    <n v="12847"/>
    <s v="1101-04"/>
    <n v="30000"/>
    <n v="0"/>
    <s v="Centralización recaudaciones julio 2026 #5470 - #5470"/>
    <n v="30000"/>
    <s v="Activo"/>
    <n v="30000"/>
    <x v="2"/>
  </r>
  <r>
    <n v="2026"/>
    <n v="7"/>
    <s v="02-07-2026"/>
    <n v="12848"/>
    <s v="1101-04"/>
    <n v="30000"/>
    <n v="0"/>
    <s v="Centralización recaudaciones julio 2026 #5471 - #5471"/>
    <n v="30000"/>
    <s v="Activo"/>
    <n v="30000"/>
    <x v="2"/>
  </r>
  <r>
    <n v="2026"/>
    <n v="7"/>
    <s v="02-07-2026"/>
    <n v="12851"/>
    <s v="1101-04"/>
    <n v="510"/>
    <n v="0"/>
    <s v="Centralización recaudaciones julio 2026 #5474 - #5474"/>
    <n v="510"/>
    <s v="Activo"/>
    <n v="510"/>
    <x v="2"/>
  </r>
  <r>
    <n v="2026"/>
    <n v="7"/>
    <s v="02-07-2026"/>
    <n v="12861"/>
    <s v="1101-04"/>
    <n v="374863"/>
    <n v="0"/>
    <s v="Centralización recaudaciones julio 2026 #5484 - #5484"/>
    <n v="374863"/>
    <s v="Activo"/>
    <n v="374863"/>
    <x v="2"/>
  </r>
  <r>
    <n v="2026"/>
    <n v="7"/>
    <s v="02-07-2026"/>
    <n v="12862"/>
    <s v="1101-04"/>
    <n v="100000"/>
    <n v="0"/>
    <s v="Centralización recaudaciones julio 2026 #5485 - #5485"/>
    <n v="100000"/>
    <s v="Activo"/>
    <n v="100000"/>
    <x v="2"/>
  </r>
  <r>
    <n v="2026"/>
    <n v="7"/>
    <s v="02-07-2026"/>
    <n v="12880"/>
    <s v="1101-04"/>
    <n v="21990"/>
    <n v="0"/>
    <s v="Centralización recaudaciones julio 2026 #5503 - #5503"/>
    <n v="21990"/>
    <s v="Activo"/>
    <n v="21990"/>
    <x v="2"/>
  </r>
  <r>
    <n v="2026"/>
    <n v="7"/>
    <s v="02-07-2026"/>
    <n v="12882"/>
    <s v="1101-04"/>
    <n v="28990"/>
    <n v="0"/>
    <s v="Centralización recaudaciones julio 2026 #5505 - #5505"/>
    <n v="28990"/>
    <s v="Activo"/>
    <n v="28990"/>
    <x v="2"/>
  </r>
  <r>
    <n v="2026"/>
    <n v="7"/>
    <s v="02-07-2026"/>
    <n v="12886"/>
    <s v="1101-04"/>
    <n v="21990"/>
    <n v="0"/>
    <s v="Centralización recaudaciones julio 2026 #5509 - #5509"/>
    <n v="21990"/>
    <s v="Activo"/>
    <n v="21990"/>
    <x v="2"/>
  </r>
  <r>
    <n v="2026"/>
    <n v="7"/>
    <s v="02-07-2026"/>
    <n v="12894"/>
    <s v="1101-04"/>
    <n v="30000"/>
    <n v="0"/>
    <s v="Centralización recaudaciones julio 2026 #5517 - #5517"/>
    <n v="30000"/>
    <s v="Activo"/>
    <n v="30000"/>
    <x v="2"/>
  </r>
  <r>
    <n v="2026"/>
    <n v="7"/>
    <s v="02-07-2026"/>
    <n v="12904"/>
    <s v="1101-04"/>
    <n v="25990"/>
    <n v="0"/>
    <s v="Centralización recaudaciones julio 2026 #5527 - #5527"/>
    <n v="25990"/>
    <s v="Activo"/>
    <n v="25990"/>
    <x v="2"/>
  </r>
  <r>
    <n v="2026"/>
    <n v="7"/>
    <s v="02-07-2026"/>
    <n v="12918"/>
    <s v="1101-04"/>
    <n v="28990"/>
    <n v="0"/>
    <s v="Centralización recaudaciones julio 2026 #5539 - #5539"/>
    <n v="28990"/>
    <s v="Activo"/>
    <n v="28990"/>
    <x v="2"/>
  </r>
  <r>
    <n v="2026"/>
    <n v="7"/>
    <s v="02-07-2026"/>
    <n v="12944"/>
    <s v="1101-04"/>
    <n v="21990"/>
    <n v="0"/>
    <s v="Centralización recaudaciones julio 2026 #5565 - #5565"/>
    <n v="21990"/>
    <s v="Activo"/>
    <n v="21990"/>
    <x v="2"/>
  </r>
  <r>
    <n v="2026"/>
    <n v="7"/>
    <s v="02-07-2026"/>
    <n v="12965"/>
    <s v="1101-04"/>
    <n v="43980"/>
    <n v="0"/>
    <s v="Centralización recaudaciones julio 2026 #5586 - #5586"/>
    <n v="43980"/>
    <s v="Activo"/>
    <n v="43980"/>
    <x v="2"/>
  </r>
  <r>
    <n v="2026"/>
    <n v="7"/>
    <s v="02-07-2026"/>
    <n v="12968"/>
    <s v="1101-04"/>
    <n v="54000"/>
    <n v="0"/>
    <s v="Centralización recaudaciones julio 2026 #5589 - #5589"/>
    <n v="54000"/>
    <s v="Activo"/>
    <n v="54000"/>
    <x v="2"/>
  </r>
  <r>
    <n v="2026"/>
    <n v="7"/>
    <s v="02-07-2026"/>
    <n v="12992"/>
    <s v="1101-04"/>
    <n v="60000"/>
    <n v="0"/>
    <s v="Centralización recaudaciones julio 2026 #5613 - #5613"/>
    <n v="60000"/>
    <s v="Activo"/>
    <n v="60000"/>
    <x v="2"/>
  </r>
  <r>
    <n v="2026"/>
    <n v="7"/>
    <s v="02-07-2026"/>
    <n v="12997"/>
    <s v="1101-04"/>
    <n v="73980"/>
    <n v="0"/>
    <s v="Centralización recaudaciones julio 2026 #5618 - #5618"/>
    <n v="73980"/>
    <s v="Activo"/>
    <n v="73980"/>
    <x v="2"/>
  </r>
  <r>
    <n v="2026"/>
    <n v="7"/>
    <s v="02-07-2026"/>
    <n v="13000"/>
    <s v="1101-04"/>
    <n v="14380"/>
    <n v="0"/>
    <s v="Centralización recaudaciones julio 2026 #5621 - #5621"/>
    <n v="14380"/>
    <s v="Activo"/>
    <n v="14380"/>
    <x v="2"/>
  </r>
  <r>
    <n v="2026"/>
    <n v="7"/>
    <s v="02-07-2026"/>
    <n v="13035"/>
    <s v="1101-04"/>
    <n v="14990"/>
    <n v="0"/>
    <s v="Centralización recaudaciones julio 2026 #5656 - #5656"/>
    <n v="14990"/>
    <s v="Activo"/>
    <n v="14990"/>
    <x v="2"/>
  </r>
  <r>
    <n v="2026"/>
    <n v="7"/>
    <s v="02-07-2026"/>
    <n v="13047"/>
    <s v="1101-04"/>
    <n v="48970"/>
    <n v="0"/>
    <s v="Centralización recaudaciones julio 2026 #5668 - #5668"/>
    <n v="48970"/>
    <s v="Activo"/>
    <n v="48970"/>
    <x v="2"/>
  </r>
  <r>
    <n v="2026"/>
    <n v="7"/>
    <s v="02-07-2026"/>
    <n v="13066"/>
    <s v="1101-04"/>
    <n v="53990"/>
    <n v="0"/>
    <s v="Centralización recaudaciones julio 2026 #5687 - #5687"/>
    <n v="53990"/>
    <s v="Activo"/>
    <n v="53990"/>
    <x v="2"/>
  </r>
  <r>
    <n v="2026"/>
    <n v="7"/>
    <s v="02-07-2026"/>
    <n v="13082"/>
    <s v="1101-04"/>
    <n v="60000"/>
    <n v="0"/>
    <s v="Centralización recaudaciones julio 2026 #5703 - #5703"/>
    <n v="60000"/>
    <s v="Activo"/>
    <n v="60000"/>
    <x v="2"/>
  </r>
  <r>
    <n v="2026"/>
    <n v="7"/>
    <s v="02-07-2026"/>
    <n v="13083"/>
    <s v="1101-04"/>
    <n v="33490"/>
    <n v="0"/>
    <s v="Centralización recaudaciones julio 2026 #5704 - #5704"/>
    <n v="33490"/>
    <s v="Activo"/>
    <n v="33490"/>
    <x v="2"/>
  </r>
  <r>
    <n v="2026"/>
    <n v="7"/>
    <s v="02-07-2026"/>
    <n v="13089"/>
    <s v="1101-04"/>
    <n v="84000"/>
    <n v="0"/>
    <s v="Centralización recaudaciones julio 2026 #5710 - #5710"/>
    <n v="84000"/>
    <s v="Activo"/>
    <n v="84000"/>
    <x v="2"/>
  </r>
  <r>
    <n v="2026"/>
    <n v="7"/>
    <s v="02-07-2026"/>
    <n v="13092"/>
    <s v="1101-04"/>
    <n v="60000"/>
    <n v="0"/>
    <s v="Centralización recaudaciones julio 2026 #5713 - #5713"/>
    <n v="60000"/>
    <s v="Activo"/>
    <n v="60000"/>
    <x v="2"/>
  </r>
  <r>
    <n v="2026"/>
    <n v="7"/>
    <s v="02-07-2026"/>
    <n v="13154"/>
    <s v="1101-04"/>
    <n v="14990"/>
    <n v="0"/>
    <s v="Centralización recaudaciones julio 2026 #5775 - #5775"/>
    <n v="14990"/>
    <s v="Activo"/>
    <n v="14990"/>
    <x v="2"/>
  </r>
  <r>
    <n v="2026"/>
    <n v="7"/>
    <s v="02-07-2026"/>
    <n v="13162"/>
    <s v="1101-04"/>
    <n v="32990"/>
    <n v="0"/>
    <s v="Centralización recaudaciones julio 2026 #5783 - #5783"/>
    <n v="32990"/>
    <s v="Activo"/>
    <n v="32990"/>
    <x v="2"/>
  </r>
  <r>
    <n v="2026"/>
    <n v="7"/>
    <s v="02-07-2026"/>
    <n v="13176"/>
    <s v="1101-04"/>
    <n v="30000"/>
    <n v="0"/>
    <s v="Centralización recaudaciones julio 2026 #5797 - #5797"/>
    <n v="30000"/>
    <s v="Activo"/>
    <n v="30000"/>
    <x v="2"/>
  </r>
  <r>
    <n v="2026"/>
    <n v="7"/>
    <s v="02-07-2026"/>
    <n v="13205"/>
    <s v="1101-04"/>
    <n v="34980"/>
    <n v="0"/>
    <s v="Centralización recaudaciones julio 2026 #5826 - #5826"/>
    <n v="34980"/>
    <s v="Activo"/>
    <n v="34980"/>
    <x v="2"/>
  </r>
  <r>
    <n v="2026"/>
    <n v="7"/>
    <s v="02-07-2026"/>
    <n v="13206"/>
    <s v="1101-04"/>
    <n v="14990"/>
    <n v="0"/>
    <s v="Centralización recaudaciones julio 2026 #5827 - #5827"/>
    <n v="14990"/>
    <s v="Activo"/>
    <n v="14990"/>
    <x v="2"/>
  </r>
  <r>
    <n v="2026"/>
    <n v="7"/>
    <s v="02-07-2026"/>
    <n v="13212"/>
    <s v="1101-04"/>
    <n v="51980"/>
    <n v="0"/>
    <s v="Centralización recaudaciones julio 2026 #5833 - #5833"/>
    <n v="51980"/>
    <s v="Activo"/>
    <n v="51980"/>
    <x v="2"/>
  </r>
  <r>
    <n v="2026"/>
    <n v="7"/>
    <s v="02-07-2026"/>
    <n v="13213"/>
    <s v="1101-04"/>
    <n v="14990"/>
    <n v="0"/>
    <s v="Centralización recaudaciones julio 2026 #5834 - #5834"/>
    <n v="14990"/>
    <s v="Activo"/>
    <n v="14990"/>
    <x v="2"/>
  </r>
  <r>
    <n v="2026"/>
    <n v="7"/>
    <s v="02-07-2026"/>
    <n v="13227"/>
    <s v="1101-04"/>
    <n v="14990"/>
    <n v="0"/>
    <s v="Centralización recaudaciones julio 2026 #5848 - #5848"/>
    <n v="14990"/>
    <s v="Activo"/>
    <n v="14990"/>
    <x v="2"/>
  </r>
  <r>
    <n v="2026"/>
    <n v="7"/>
    <s v="02-07-2026"/>
    <n v="13234"/>
    <s v="1101-04"/>
    <n v="30000"/>
    <n v="0"/>
    <s v="Centralización recaudaciones julio 2026 #5855 - #5855"/>
    <n v="30000"/>
    <s v="Activo"/>
    <n v="30000"/>
    <x v="2"/>
  </r>
  <r>
    <n v="2026"/>
    <n v="7"/>
    <s v="02-07-2026"/>
    <n v="13245"/>
    <s v="1101-04"/>
    <n v="60000"/>
    <n v="0"/>
    <s v="Centralización recaudaciones julio 2026 #5866 - #5866"/>
    <n v="60000"/>
    <s v="Activo"/>
    <n v="60000"/>
    <x v="2"/>
  </r>
  <r>
    <n v="2026"/>
    <n v="7"/>
    <s v="02-07-2026"/>
    <n v="13248"/>
    <s v="1101-04"/>
    <n v="21990"/>
    <n v="0"/>
    <s v="Centralización recaudaciones julio 2026 #5869 - #5869"/>
    <n v="21990"/>
    <s v="Activo"/>
    <n v="21990"/>
    <x v="2"/>
  </r>
  <r>
    <n v="2026"/>
    <n v="7"/>
    <s v="02-07-2026"/>
    <n v="13269"/>
    <s v="1101-04"/>
    <n v="14990"/>
    <n v="0"/>
    <s v="Centralización recaudaciones julio 2026 #5890 - #5890"/>
    <n v="14990"/>
    <s v="Activo"/>
    <n v="14990"/>
    <x v="2"/>
  </r>
  <r>
    <n v="2026"/>
    <n v="7"/>
    <s v="02-07-2026"/>
    <n v="13270"/>
    <s v="1101-04"/>
    <n v="14990"/>
    <n v="0"/>
    <s v="Centralización recaudaciones julio 2026 #5891 - #5891"/>
    <n v="14990"/>
    <s v="Activo"/>
    <n v="14990"/>
    <x v="2"/>
  </r>
  <r>
    <n v="2026"/>
    <n v="7"/>
    <s v="02-07-2026"/>
    <n v="13271"/>
    <s v="1101-04"/>
    <n v="14990"/>
    <n v="0"/>
    <s v="Centralización recaudaciones julio 2026 #5892 - #5892"/>
    <n v="14990"/>
    <s v="Activo"/>
    <n v="14990"/>
    <x v="2"/>
  </r>
  <r>
    <n v="2026"/>
    <n v="7"/>
    <s v="02-07-2026"/>
    <n v="13286"/>
    <s v="1101-04"/>
    <n v="14990"/>
    <n v="0"/>
    <s v="Centralización recaudaciones julio 2026 #5907 - #5907"/>
    <n v="14990"/>
    <s v="Activo"/>
    <n v="14990"/>
    <x v="2"/>
  </r>
  <r>
    <n v="2026"/>
    <n v="7"/>
    <s v="02-07-2026"/>
    <n v="13305"/>
    <s v="1101-04"/>
    <n v="33990"/>
    <n v="0"/>
    <s v="Centralización recaudaciones julio 2026 #5926 - #5926"/>
    <n v="33990"/>
    <s v="Activo"/>
    <n v="33990"/>
    <x v="2"/>
  </r>
  <r>
    <n v="2026"/>
    <n v="7"/>
    <s v="02-07-2026"/>
    <n v="13306"/>
    <s v="1101-04"/>
    <n v="19990"/>
    <n v="0"/>
    <s v="Centralización recaudaciones julio 2026 #5927 - #5927"/>
    <n v="19990"/>
    <s v="Activo"/>
    <n v="19990"/>
    <x v="2"/>
  </r>
  <r>
    <n v="2026"/>
    <n v="7"/>
    <s v="02-07-2026"/>
    <n v="13311"/>
    <s v="1101-04"/>
    <n v="900000"/>
    <n v="0"/>
    <s v="Centralización recaudaciones julio 2026 #5932 - #5932"/>
    <n v="900000"/>
    <s v="Activo"/>
    <n v="900000"/>
    <x v="2"/>
  </r>
  <r>
    <n v="2026"/>
    <n v="7"/>
    <s v="02-07-2026"/>
    <n v="13312"/>
    <s v="1101-04"/>
    <n v="24990"/>
    <n v="0"/>
    <s v="Centralización recaudaciones julio 2026 #5933 - #5933"/>
    <n v="24990"/>
    <s v="Activo"/>
    <n v="24990"/>
    <x v="2"/>
  </r>
  <r>
    <n v="2026"/>
    <n v="7"/>
    <s v="02-07-2026"/>
    <n v="13314"/>
    <s v="1101-04"/>
    <n v="149318"/>
    <n v="0"/>
    <s v="Centralización recaudaciones julio 2026 #5935 - #5935"/>
    <n v="149318"/>
    <s v="Activo"/>
    <n v="149318"/>
    <x v="2"/>
  </r>
  <r>
    <n v="2026"/>
    <n v="7"/>
    <s v="02-07-2026"/>
    <n v="13324"/>
    <s v="1101-04"/>
    <n v="10990"/>
    <n v="0"/>
    <s v="Centralización recaudaciones julio 2026 #5945 - #5945"/>
    <n v="10990"/>
    <s v="Activo"/>
    <n v="10990"/>
    <x v="2"/>
  </r>
  <r>
    <n v="2026"/>
    <n v="7"/>
    <s v="03-07-2026"/>
    <n v="8658"/>
    <s v="1101-04"/>
    <n v="0"/>
    <n v="7757"/>
    <s v="Pago fact 7910316 banco itaú chile"/>
    <n v="-7757"/>
    <s v="Activo"/>
    <n v="-7757"/>
    <x v="2"/>
  </r>
  <r>
    <n v="2026"/>
    <n v="7"/>
    <s v="03-07-2026"/>
    <n v="8659"/>
    <s v="1101-04"/>
    <n v="0"/>
    <n v="1474"/>
    <s v="Pago fact 7910316 banco itaú chile"/>
    <n v="-1474"/>
    <s v="Activo"/>
    <n v="-1474"/>
    <x v="2"/>
  </r>
  <r>
    <n v="2026"/>
    <n v="7"/>
    <s v="03-07-2026"/>
    <n v="8660"/>
    <s v="1101-04"/>
    <n v="0"/>
    <n v="5494703"/>
    <s v="Pago cuota 1337 credito itau 60529874"/>
    <n v="-5494703"/>
    <s v="Activo"/>
    <n v="-5494703"/>
    <x v="2"/>
  </r>
  <r>
    <n v="2026"/>
    <n v="7"/>
    <s v="03-07-2026"/>
    <n v="8666"/>
    <s v="1101-04"/>
    <n v="0"/>
    <n v="7757"/>
    <s v="Centralización pagos julio 2026 #824 - #824"/>
    <n v="-7757"/>
    <s v="Activo"/>
    <n v="-7757"/>
    <x v="2"/>
  </r>
  <r>
    <n v="2026"/>
    <n v="7"/>
    <s v="03-07-2026"/>
    <n v="8667"/>
    <s v="1101-04"/>
    <n v="0"/>
    <n v="1474"/>
    <s v="Centralización pagos julio 2026 #825 - #825"/>
    <n v="-1474"/>
    <s v="Activo"/>
    <n v="-1474"/>
    <x v="2"/>
  </r>
  <r>
    <n v="2026"/>
    <n v="7"/>
    <s v="03-07-2026"/>
    <n v="12659"/>
    <s v="1101-04"/>
    <n v="63980"/>
    <n v="0"/>
    <s v="Centralización recaudaciones julio 2026 #5288 - #5288"/>
    <n v="63980"/>
    <s v="Activo"/>
    <n v="63980"/>
    <x v="2"/>
  </r>
  <r>
    <n v="2026"/>
    <n v="7"/>
    <s v="03-07-2026"/>
    <n v="12666"/>
    <s v="1101-04"/>
    <n v="153747"/>
    <n v="0"/>
    <s v="Centralización recaudaciones julio 2026 #5295 - #5295"/>
    <n v="153747"/>
    <s v="Activo"/>
    <n v="153747"/>
    <x v="2"/>
  </r>
  <r>
    <n v="2026"/>
    <n v="7"/>
    <s v="03-07-2026"/>
    <n v="12697"/>
    <s v="1101-04"/>
    <n v="35000"/>
    <n v="0"/>
    <s v="Centralización recaudaciones julio 2026 #5326 - #5326"/>
    <n v="35000"/>
    <s v="Activo"/>
    <n v="35000"/>
    <x v="2"/>
  </r>
  <r>
    <n v="2026"/>
    <n v="7"/>
    <s v="03-07-2026"/>
    <n v="12701"/>
    <s v="1101-04"/>
    <n v="40000"/>
    <n v="0"/>
    <s v="Centralización recaudaciones julio 2026 #5330 - #5330"/>
    <n v="40000"/>
    <s v="Activo"/>
    <n v="40000"/>
    <x v="2"/>
  </r>
  <r>
    <n v="2026"/>
    <n v="7"/>
    <s v="03-07-2026"/>
    <n v="12706"/>
    <s v="1101-04"/>
    <n v="30000"/>
    <n v="0"/>
    <s v="Centralización recaudaciones julio 2026 #5335 - #5335"/>
    <n v="30000"/>
    <s v="Activo"/>
    <n v="30000"/>
    <x v="2"/>
  </r>
  <r>
    <n v="2026"/>
    <n v="7"/>
    <s v="03-07-2026"/>
    <n v="12720"/>
    <s v="1101-04"/>
    <n v="38990"/>
    <n v="0"/>
    <s v="Centralización recaudaciones julio 2026 #5346 - #5346"/>
    <n v="38990"/>
    <s v="Activo"/>
    <n v="38990"/>
    <x v="2"/>
  </r>
  <r>
    <n v="2026"/>
    <n v="7"/>
    <s v="03-07-2026"/>
    <n v="12722"/>
    <s v="1101-04"/>
    <n v="30000"/>
    <n v="0"/>
    <s v="Centralización recaudaciones julio 2026 #5348 - #5348"/>
    <n v="30000"/>
    <s v="Activo"/>
    <n v="30000"/>
    <x v="2"/>
  </r>
  <r>
    <n v="2026"/>
    <n v="7"/>
    <s v="03-07-2026"/>
    <n v="12728"/>
    <s v="1101-04"/>
    <n v="32990"/>
    <n v="0"/>
    <s v="Centralización recaudaciones julio 2026 #5354 - #5354"/>
    <n v="32990"/>
    <s v="Activo"/>
    <n v="32990"/>
    <x v="2"/>
  </r>
  <r>
    <n v="2026"/>
    <n v="7"/>
    <s v="03-07-2026"/>
    <n v="12732"/>
    <s v="1101-04"/>
    <n v="50000"/>
    <n v="0"/>
    <s v="Centralización recaudaciones julio 2026 #5358 - #5358"/>
    <n v="50000"/>
    <s v="Activo"/>
    <n v="50000"/>
    <x v="2"/>
  </r>
  <r>
    <n v="2026"/>
    <n v="7"/>
    <s v="03-07-2026"/>
    <n v="12739"/>
    <s v="1101-04"/>
    <n v="58000"/>
    <n v="0"/>
    <s v="Centralización recaudaciones julio 2026 #5365 - #5365"/>
    <n v="58000"/>
    <s v="Activo"/>
    <n v="58000"/>
    <x v="2"/>
  </r>
  <r>
    <n v="2026"/>
    <n v="7"/>
    <s v="03-07-2026"/>
    <n v="12751"/>
    <s v="1101-04"/>
    <n v="30000"/>
    <n v="0"/>
    <s v="Centralización recaudaciones julio 2026 #5377 - #5377"/>
    <n v="30000"/>
    <s v="Activo"/>
    <n v="30000"/>
    <x v="2"/>
  </r>
  <r>
    <n v="2026"/>
    <n v="7"/>
    <s v="03-07-2026"/>
    <n v="12762"/>
    <s v="1101-04"/>
    <n v="497196"/>
    <n v="0"/>
    <s v="Centralización recaudaciones julio 2026 #5388 - #5388"/>
    <n v="497196"/>
    <s v="Activo"/>
    <n v="497196"/>
    <x v="2"/>
  </r>
  <r>
    <n v="2026"/>
    <n v="7"/>
    <s v="03-07-2026"/>
    <n v="12771"/>
    <s v="1101-04"/>
    <n v="59990"/>
    <n v="0"/>
    <s v="Centralización recaudaciones julio 2026 #5397 - #5397"/>
    <n v="59990"/>
    <s v="Activo"/>
    <n v="59990"/>
    <x v="2"/>
  </r>
  <r>
    <n v="2026"/>
    <n v="7"/>
    <s v="03-07-2026"/>
    <n v="12781"/>
    <s v="1101-04"/>
    <n v="2055856"/>
    <n v="0"/>
    <s v="Centralización recaudaciones julio 2026 #5279 - #5279"/>
    <n v="2055856"/>
    <s v="Activo"/>
    <n v="2055856"/>
    <x v="2"/>
  </r>
  <r>
    <n v="2026"/>
    <n v="7"/>
    <s v="03-07-2026"/>
    <n v="12782"/>
    <s v="1101-04"/>
    <n v="122374"/>
    <n v="0"/>
    <s v="Centralización recaudaciones julio 2026 #5280 - #5280"/>
    <n v="122374"/>
    <s v="Activo"/>
    <n v="122374"/>
    <x v="2"/>
  </r>
  <r>
    <n v="2026"/>
    <n v="7"/>
    <s v="03-07-2026"/>
    <n v="12794"/>
    <s v="1101-04"/>
    <n v="38990"/>
    <n v="0"/>
    <s v="Centralización recaudaciones julio 2026 #5417 - #5417"/>
    <n v="38990"/>
    <s v="Activo"/>
    <n v="38990"/>
    <x v="2"/>
  </r>
  <r>
    <n v="2026"/>
    <n v="7"/>
    <s v="03-07-2026"/>
    <n v="12832"/>
    <s v="1101-04"/>
    <n v="31000"/>
    <n v="0"/>
    <s v="Centralización recaudaciones julio 2026 #5455 - #5455"/>
    <n v="31000"/>
    <s v="Activo"/>
    <n v="31000"/>
    <x v="2"/>
  </r>
  <r>
    <n v="2026"/>
    <n v="7"/>
    <s v="03-07-2026"/>
    <n v="12852"/>
    <s v="1101-04"/>
    <n v="14480"/>
    <n v="0"/>
    <s v="Centralización recaudaciones julio 2026 #5475 - #5475"/>
    <n v="14480"/>
    <s v="Activo"/>
    <n v="14480"/>
    <x v="2"/>
  </r>
  <r>
    <n v="2026"/>
    <n v="7"/>
    <s v="03-07-2026"/>
    <n v="12859"/>
    <s v="1101-04"/>
    <n v="30000"/>
    <n v="0"/>
    <s v="Centralización recaudaciones julio 2026 #5482 - #5482"/>
    <n v="30000"/>
    <s v="Activo"/>
    <n v="30000"/>
    <x v="2"/>
  </r>
  <r>
    <n v="2026"/>
    <n v="7"/>
    <s v="03-07-2026"/>
    <n v="12860"/>
    <s v="1101-04"/>
    <n v="30000"/>
    <n v="0"/>
    <s v="Centralización recaudaciones julio 2026 #5483 - #5483"/>
    <n v="30000"/>
    <s v="Activo"/>
    <n v="30000"/>
    <x v="2"/>
  </r>
  <r>
    <n v="2026"/>
    <n v="7"/>
    <s v="03-07-2026"/>
    <n v="12865"/>
    <s v="1101-04"/>
    <n v="34990"/>
    <n v="0"/>
    <s v="Centralización recaudaciones julio 2026 #5488 - #5488"/>
    <n v="34990"/>
    <s v="Activo"/>
    <n v="34990"/>
    <x v="2"/>
  </r>
  <r>
    <n v="2026"/>
    <n v="7"/>
    <s v="03-07-2026"/>
    <n v="12866"/>
    <s v="1101-04"/>
    <n v="30000"/>
    <n v="0"/>
    <s v="Centralización recaudaciones julio 2026 #5489 - #5489"/>
    <n v="30000"/>
    <s v="Activo"/>
    <n v="30000"/>
    <x v="2"/>
  </r>
  <r>
    <n v="2026"/>
    <n v="7"/>
    <s v="03-07-2026"/>
    <n v="12877"/>
    <s v="1101-04"/>
    <n v="40000"/>
    <n v="0"/>
    <s v="Centralización recaudaciones julio 2026 #5500 - #5500"/>
    <n v="40000"/>
    <s v="Activo"/>
    <n v="40000"/>
    <x v="2"/>
  </r>
  <r>
    <n v="2026"/>
    <n v="7"/>
    <s v="03-07-2026"/>
    <n v="12883"/>
    <s v="1101-04"/>
    <n v="34608"/>
    <n v="0"/>
    <s v="Centralización recaudaciones julio 2026 #5506 - #5506"/>
    <n v="34608"/>
    <s v="Activo"/>
    <n v="34608"/>
    <x v="2"/>
  </r>
  <r>
    <n v="2026"/>
    <n v="7"/>
    <s v="03-07-2026"/>
    <n v="12889"/>
    <s v="1101-04"/>
    <n v="33490"/>
    <n v="0"/>
    <s v="Centralización recaudaciones julio 2026 #5512 - #5512"/>
    <n v="33490"/>
    <s v="Activo"/>
    <n v="33490"/>
    <x v="2"/>
  </r>
  <r>
    <n v="2026"/>
    <n v="7"/>
    <s v="03-07-2026"/>
    <n v="12891"/>
    <s v="1101-04"/>
    <n v="21990"/>
    <n v="0"/>
    <s v="Centralización recaudaciones julio 2026 #5514 - #5514"/>
    <n v="21990"/>
    <s v="Activo"/>
    <n v="21990"/>
    <x v="2"/>
  </r>
  <r>
    <n v="2026"/>
    <n v="7"/>
    <s v="03-07-2026"/>
    <n v="12895"/>
    <s v="1101-04"/>
    <n v="28990"/>
    <n v="0"/>
    <s v="Centralización recaudaciones julio 2026 #5518 - #5518"/>
    <n v="28990"/>
    <s v="Activo"/>
    <n v="28990"/>
    <x v="2"/>
  </r>
  <r>
    <n v="2026"/>
    <n v="7"/>
    <s v="03-07-2026"/>
    <n v="12936"/>
    <s v="1101-04"/>
    <n v="150519"/>
    <n v="0"/>
    <s v="Centralización recaudaciones julio 2026 #5557 - #5557"/>
    <n v="150519"/>
    <s v="Activo"/>
    <n v="150519"/>
    <x v="2"/>
  </r>
  <r>
    <n v="2026"/>
    <n v="7"/>
    <s v="03-07-2026"/>
    <n v="12959"/>
    <s v="1101-04"/>
    <n v="34000"/>
    <n v="0"/>
    <s v="Centralización recaudaciones julio 2026 #5580 - #5580"/>
    <n v="34000"/>
    <s v="Activo"/>
    <n v="34000"/>
    <x v="2"/>
  </r>
  <r>
    <n v="2026"/>
    <n v="7"/>
    <s v="03-07-2026"/>
    <n v="12971"/>
    <s v="1101-04"/>
    <n v="1575496"/>
    <n v="0"/>
    <s v="Centralización recaudaciones julio 2026 #5592 - #5592"/>
    <n v="1575496"/>
    <s v="Activo"/>
    <n v="1575496"/>
    <x v="2"/>
  </r>
  <r>
    <n v="2026"/>
    <n v="7"/>
    <s v="03-07-2026"/>
    <n v="12979"/>
    <s v="1101-04"/>
    <n v="33490"/>
    <n v="0"/>
    <s v="Centralización recaudaciones julio 2026 #5600 - #5600"/>
    <n v="33490"/>
    <s v="Activo"/>
    <n v="33490"/>
    <x v="2"/>
  </r>
  <r>
    <n v="2026"/>
    <n v="7"/>
    <s v="03-07-2026"/>
    <n v="12986"/>
    <s v="1101-04"/>
    <n v="174821"/>
    <n v="0"/>
    <s v="Centralización recaudaciones julio 2026 #5607 - #5607"/>
    <n v="174821"/>
    <s v="Activo"/>
    <n v="174821"/>
    <x v="2"/>
  </r>
  <r>
    <n v="2026"/>
    <n v="7"/>
    <s v="03-07-2026"/>
    <n v="12990"/>
    <s v="1101-04"/>
    <n v="30000"/>
    <n v="0"/>
    <s v="Centralización recaudaciones julio 2026 #5611 - #5611"/>
    <n v="30000"/>
    <s v="Activo"/>
    <n v="30000"/>
    <x v="2"/>
  </r>
  <r>
    <n v="2026"/>
    <n v="7"/>
    <s v="03-07-2026"/>
    <n v="12993"/>
    <s v="1101-04"/>
    <n v="35980"/>
    <n v="0"/>
    <s v="Centralización recaudaciones julio 2026 #5614 - #5614"/>
    <n v="35980"/>
    <s v="Activo"/>
    <n v="35980"/>
    <x v="2"/>
  </r>
  <r>
    <n v="2026"/>
    <n v="7"/>
    <s v="03-07-2026"/>
    <n v="13019"/>
    <s v="1101-04"/>
    <n v="2478886"/>
    <n v="0"/>
    <s v="Centralización recaudaciones julio 2026 #5640 - #5640"/>
    <n v="2478886"/>
    <s v="Activo"/>
    <n v="2478886"/>
    <x v="2"/>
  </r>
  <r>
    <n v="2026"/>
    <n v="7"/>
    <s v="03-07-2026"/>
    <n v="13027"/>
    <s v="1101-04"/>
    <n v="17990"/>
    <n v="0"/>
    <s v="Centralización recaudaciones julio 2026 #5648 - #5648"/>
    <n v="17990"/>
    <s v="Activo"/>
    <n v="17990"/>
    <x v="2"/>
  </r>
  <r>
    <n v="2026"/>
    <n v="7"/>
    <s v="03-07-2026"/>
    <n v="13053"/>
    <s v="1101-04"/>
    <n v="36990"/>
    <n v="0"/>
    <s v="Centralización recaudaciones julio 2026 #5674 - #5674"/>
    <n v="36990"/>
    <s v="Activo"/>
    <n v="36990"/>
    <x v="2"/>
  </r>
  <r>
    <n v="2026"/>
    <n v="7"/>
    <s v="03-07-2026"/>
    <n v="13060"/>
    <s v="1101-04"/>
    <n v="34990"/>
    <n v="0"/>
    <s v="Centralización recaudaciones julio 2026 #5681 - #5681"/>
    <n v="34990"/>
    <s v="Activo"/>
    <n v="34990"/>
    <x v="2"/>
  </r>
  <r>
    <n v="2026"/>
    <n v="7"/>
    <s v="03-07-2026"/>
    <n v="13086"/>
    <s v="1101-04"/>
    <n v="430276"/>
    <n v="0"/>
    <s v="Centralización recaudaciones julio 2026 #5707 - #5707"/>
    <n v="430276"/>
    <s v="Activo"/>
    <n v="430276"/>
    <x v="2"/>
  </r>
  <r>
    <n v="2026"/>
    <n v="7"/>
    <s v="03-07-2026"/>
    <n v="13090"/>
    <s v="1101-04"/>
    <n v="1554071"/>
    <n v="0"/>
    <s v="Centralización recaudaciones julio 2026 #5711 - #5711"/>
    <n v="1554071"/>
    <s v="Activo"/>
    <n v="1554071"/>
    <x v="2"/>
  </r>
  <r>
    <n v="2026"/>
    <n v="7"/>
    <s v="03-07-2026"/>
    <n v="13108"/>
    <s v="1101-04"/>
    <n v="29990"/>
    <n v="0"/>
    <s v="Centralización recaudaciones julio 2026 #5729 - #5729"/>
    <n v="29990"/>
    <s v="Activo"/>
    <n v="29990"/>
    <x v="2"/>
  </r>
  <r>
    <n v="2026"/>
    <n v="7"/>
    <s v="03-07-2026"/>
    <n v="13117"/>
    <s v="1101-04"/>
    <n v="65438"/>
    <n v="0"/>
    <s v="Centralización recaudaciones julio 2026 #5738 - #5738"/>
    <n v="65438"/>
    <s v="Activo"/>
    <n v="65438"/>
    <x v="2"/>
  </r>
  <r>
    <n v="2026"/>
    <n v="7"/>
    <s v="03-07-2026"/>
    <n v="13121"/>
    <s v="1101-04"/>
    <n v="30000"/>
    <n v="0"/>
    <s v="Centralización recaudaciones julio 2026 #5742 - #5742"/>
    <n v="30000"/>
    <s v="Activo"/>
    <n v="30000"/>
    <x v="2"/>
  </r>
  <r>
    <n v="2026"/>
    <n v="7"/>
    <s v="03-07-2026"/>
    <n v="13123"/>
    <s v="1101-04"/>
    <n v="14990"/>
    <n v="0"/>
    <s v="Centralización recaudaciones julio 2026 #5744 - #5744"/>
    <n v="14990"/>
    <s v="Activo"/>
    <n v="14990"/>
    <x v="2"/>
  </r>
  <r>
    <n v="2026"/>
    <n v="7"/>
    <s v="03-07-2026"/>
    <n v="13151"/>
    <s v="1101-04"/>
    <n v="320462"/>
    <n v="0"/>
    <s v="Centralización recaudaciones julio 2026 #5772 - #5772"/>
    <n v="320462"/>
    <s v="Activo"/>
    <n v="320462"/>
    <x v="2"/>
  </r>
  <r>
    <n v="2026"/>
    <n v="7"/>
    <s v="03-07-2026"/>
    <n v="13158"/>
    <s v="1101-04"/>
    <n v="30000"/>
    <n v="0"/>
    <s v="Centralización recaudaciones julio 2026 #5779 - #5779"/>
    <n v="30000"/>
    <s v="Activo"/>
    <n v="30000"/>
    <x v="2"/>
  </r>
  <r>
    <n v="2026"/>
    <n v="7"/>
    <s v="03-07-2026"/>
    <n v="13159"/>
    <s v="1101-04"/>
    <n v="16990"/>
    <n v="0"/>
    <s v="Centralización recaudaciones julio 2026 #5780 - #5780"/>
    <n v="16990"/>
    <s v="Activo"/>
    <n v="16990"/>
    <x v="2"/>
  </r>
  <r>
    <n v="2026"/>
    <n v="7"/>
    <s v="03-07-2026"/>
    <n v="13161"/>
    <s v="1101-04"/>
    <n v="24990"/>
    <n v="0"/>
    <s v="Centralización recaudaciones julio 2026 #5782 - #5782"/>
    <n v="24990"/>
    <s v="Activo"/>
    <n v="24990"/>
    <x v="2"/>
  </r>
  <r>
    <n v="2026"/>
    <n v="7"/>
    <s v="03-07-2026"/>
    <n v="13174"/>
    <s v="1101-04"/>
    <n v="624593"/>
    <n v="0"/>
    <s v="Centralización recaudaciones julio 2026 #5795 - #5795"/>
    <n v="624593"/>
    <s v="Activo"/>
    <n v="624593"/>
    <x v="2"/>
  </r>
  <r>
    <n v="2026"/>
    <n v="7"/>
    <s v="03-07-2026"/>
    <n v="13177"/>
    <s v="1101-04"/>
    <n v="38980"/>
    <n v="0"/>
    <s v="Centralización recaudaciones julio 2026 #5798 - #5798"/>
    <n v="38980"/>
    <s v="Activo"/>
    <n v="38980"/>
    <x v="2"/>
  </r>
  <r>
    <n v="2026"/>
    <n v="7"/>
    <s v="03-07-2026"/>
    <n v="13180"/>
    <s v="1101-04"/>
    <n v="30000"/>
    <n v="0"/>
    <s v="Centralización recaudaciones julio 2026 #5801 - #5801"/>
    <n v="30000"/>
    <s v="Activo"/>
    <n v="30000"/>
    <x v="2"/>
  </r>
  <r>
    <n v="2026"/>
    <n v="7"/>
    <s v="03-07-2026"/>
    <n v="13198"/>
    <s v="1101-04"/>
    <n v="40000"/>
    <n v="0"/>
    <s v="Centralización recaudaciones julio 2026 #5819 - #5819"/>
    <n v="40000"/>
    <s v="Activo"/>
    <n v="40000"/>
    <x v="2"/>
  </r>
  <r>
    <n v="2026"/>
    <n v="7"/>
    <s v="03-07-2026"/>
    <n v="13210"/>
    <s v="1101-04"/>
    <n v="163404"/>
    <n v="0"/>
    <s v="Centralización recaudaciones julio 2026 #5831 - #5831"/>
    <n v="163404"/>
    <s v="Activo"/>
    <n v="163404"/>
    <x v="2"/>
  </r>
  <r>
    <n v="2026"/>
    <n v="7"/>
    <s v="03-07-2026"/>
    <n v="13220"/>
    <s v="1101-04"/>
    <n v="520000"/>
    <n v="0"/>
    <s v="Centralización recaudaciones julio 2026 #5841 - #5841"/>
    <n v="520000"/>
    <s v="Activo"/>
    <n v="520000"/>
    <x v="2"/>
  </r>
  <r>
    <n v="2026"/>
    <n v="7"/>
    <s v="03-07-2026"/>
    <n v="13228"/>
    <s v="1101-04"/>
    <n v="520000"/>
    <n v="0"/>
    <s v="Centralización recaudaciones julio 2026 #5849 - #5849"/>
    <n v="520000"/>
    <s v="Activo"/>
    <n v="520000"/>
    <x v="2"/>
  </r>
  <r>
    <n v="2026"/>
    <n v="7"/>
    <s v="03-07-2026"/>
    <n v="13242"/>
    <s v="1101-04"/>
    <n v="2478886"/>
    <n v="0"/>
    <s v="Centralización recaudaciones julio 2026 #5863 - #5863"/>
    <n v="2478886"/>
    <s v="Activo"/>
    <n v="2478886"/>
    <x v="2"/>
  </r>
  <r>
    <n v="2026"/>
    <n v="7"/>
    <s v="03-07-2026"/>
    <n v="13244"/>
    <s v="1101-04"/>
    <n v="30000"/>
    <n v="0"/>
    <s v="Centralización recaudaciones julio 2026 #5865 - #5865"/>
    <n v="30000"/>
    <s v="Activo"/>
    <n v="30000"/>
    <x v="2"/>
  </r>
  <r>
    <n v="2026"/>
    <n v="7"/>
    <s v="03-07-2026"/>
    <n v="13272"/>
    <s v="1101-04"/>
    <n v="30000"/>
    <n v="0"/>
    <s v="Centralización recaudaciones julio 2026 #5893 - #5893"/>
    <n v="30000"/>
    <s v="Activo"/>
    <n v="30000"/>
    <x v="2"/>
  </r>
  <r>
    <n v="2026"/>
    <n v="7"/>
    <s v="03-07-2026"/>
    <n v="13273"/>
    <s v="1101-04"/>
    <n v="30000"/>
    <n v="0"/>
    <s v="Centralización recaudaciones julio 2026 #5894 - #5894"/>
    <n v="30000"/>
    <s v="Activo"/>
    <n v="30000"/>
    <x v="2"/>
  </r>
  <r>
    <n v="2026"/>
    <n v="7"/>
    <s v="03-07-2026"/>
    <n v="13280"/>
    <s v="1101-04"/>
    <n v="15000"/>
    <n v="0"/>
    <s v="Centralización recaudaciones julio 2026 #5901 - #5901"/>
    <n v="15000"/>
    <s v="Activo"/>
    <n v="15000"/>
    <x v="2"/>
  </r>
  <r>
    <n v="2026"/>
    <n v="7"/>
    <s v="03-07-2026"/>
    <n v="13283"/>
    <s v="1101-04"/>
    <n v="30000"/>
    <n v="0"/>
    <s v="Centralización recaudaciones julio 2026 #5904 - #5904"/>
    <n v="30000"/>
    <s v="Activo"/>
    <n v="30000"/>
    <x v="2"/>
  </r>
  <r>
    <n v="2026"/>
    <n v="7"/>
    <s v="03-07-2026"/>
    <n v="13288"/>
    <s v="1101-04"/>
    <n v="14990"/>
    <n v="0"/>
    <s v="Centralización recaudaciones julio 2026 #5909 - #5909"/>
    <n v="14990"/>
    <s v="Activo"/>
    <n v="14990"/>
    <x v="2"/>
  </r>
  <r>
    <n v="2026"/>
    <n v="7"/>
    <s v="03-07-2026"/>
    <n v="13296"/>
    <s v="1101-04"/>
    <n v="378420"/>
    <n v="0"/>
    <s v="Centralización recaudaciones julio 2026 #5917 - #5917"/>
    <n v="378420"/>
    <s v="Activo"/>
    <n v="378420"/>
    <x v="2"/>
  </r>
  <r>
    <n v="2026"/>
    <n v="7"/>
    <s v="03-07-2026"/>
    <n v="13308"/>
    <s v="1101-04"/>
    <n v="878613"/>
    <n v="0"/>
    <s v="Centralización recaudaciones julio 2026 #5929 - #5929"/>
    <n v="878613"/>
    <s v="Activo"/>
    <n v="878613"/>
    <x v="2"/>
  </r>
  <r>
    <n v="2026"/>
    <n v="7"/>
    <s v="03-07-2026"/>
    <n v="13317"/>
    <s v="1101-04"/>
    <n v="710827"/>
    <n v="0"/>
    <s v="Centralización recaudaciones julio 2026 #5938 - #5938"/>
    <n v="710827"/>
    <s v="Activo"/>
    <n v="710827"/>
    <x v="2"/>
  </r>
  <r>
    <n v="2026"/>
    <n v="7"/>
    <s v="03-07-2026"/>
    <n v="13318"/>
    <s v="1101-04"/>
    <n v="1332800"/>
    <n v="0"/>
    <s v="Centralización recaudaciones julio 2026 #5939 - #5939"/>
    <n v="1332800"/>
    <s v="Activo"/>
    <n v="1332800"/>
    <x v="2"/>
  </r>
  <r>
    <n v="2026"/>
    <n v="7"/>
    <s v="03-07-2026"/>
    <n v="13326"/>
    <s v="1101-04"/>
    <n v="34660"/>
    <n v="0"/>
    <s v="Centralización recaudaciones julio 2026 #5947 - #5947"/>
    <n v="34660"/>
    <s v="Activo"/>
    <n v="34660"/>
    <x v="2"/>
  </r>
  <r>
    <n v="2026"/>
    <n v="7"/>
    <s v="06-07-2026"/>
    <n v="12660"/>
    <s v="1101-04"/>
    <n v="1000"/>
    <n v="0"/>
    <s v="Centralización recaudaciones julio 2026 #5289 - #5289"/>
    <n v="1000"/>
    <s v="Activo"/>
    <n v="1000"/>
    <x v="2"/>
  </r>
  <r>
    <n v="2026"/>
    <n v="7"/>
    <s v="06-07-2026"/>
    <n v="12663"/>
    <s v="1101-04"/>
    <n v="74990"/>
    <n v="0"/>
    <s v="Centralización recaudaciones julio 2026 #5292 - #5292"/>
    <n v="74990"/>
    <s v="Activo"/>
    <n v="74990"/>
    <x v="2"/>
  </r>
  <r>
    <n v="2026"/>
    <n v="7"/>
    <s v="06-07-2026"/>
    <n v="12681"/>
    <s v="1101-04"/>
    <n v="29990"/>
    <n v="0"/>
    <s v="Centralización recaudaciones julio 2026 #5310 - #5310"/>
    <n v="29990"/>
    <s v="Activo"/>
    <n v="29990"/>
    <x v="2"/>
  </r>
  <r>
    <n v="2026"/>
    <n v="7"/>
    <s v="06-07-2026"/>
    <n v="12725"/>
    <s v="1101-04"/>
    <n v="19990"/>
    <n v="0"/>
    <s v="Centralización recaudaciones julio 2026 #5351 - #5351"/>
    <n v="19990"/>
    <s v="Activo"/>
    <n v="19990"/>
    <x v="2"/>
  </r>
  <r>
    <n v="2026"/>
    <n v="7"/>
    <s v="06-07-2026"/>
    <n v="12730"/>
    <s v="1101-04"/>
    <n v="40000"/>
    <n v="0"/>
    <s v="Centralización recaudaciones julio 2026 #5356 - #5356"/>
    <n v="40000"/>
    <s v="Activo"/>
    <n v="40000"/>
    <x v="2"/>
  </r>
  <r>
    <n v="2026"/>
    <n v="7"/>
    <s v="06-07-2026"/>
    <n v="12755"/>
    <s v="1101-04"/>
    <n v="40000"/>
    <n v="0"/>
    <s v="Centralización recaudaciones julio 2026 #5381 - #5381"/>
    <n v="40000"/>
    <s v="Activo"/>
    <n v="40000"/>
    <x v="2"/>
  </r>
  <r>
    <n v="2026"/>
    <n v="7"/>
    <s v="06-07-2026"/>
    <n v="12757"/>
    <s v="1101-04"/>
    <n v="29990"/>
    <n v="0"/>
    <s v="Centralización recaudaciones julio 2026 #5383 - #5383"/>
    <n v="29990"/>
    <s v="Activo"/>
    <n v="29990"/>
    <x v="2"/>
  </r>
  <r>
    <n v="2026"/>
    <n v="7"/>
    <s v="06-07-2026"/>
    <n v="12760"/>
    <s v="1101-04"/>
    <n v="29990"/>
    <n v="0"/>
    <s v="Centralización recaudaciones julio 2026 #5386 - #5386"/>
    <n v="29990"/>
    <s v="Activo"/>
    <n v="29990"/>
    <x v="2"/>
  </r>
  <r>
    <n v="2026"/>
    <n v="7"/>
    <s v="06-07-2026"/>
    <n v="12785"/>
    <s v="1101-04"/>
    <n v="35000"/>
    <n v="0"/>
    <s v="Centralización recaudaciones julio 2026 #5408 - #5408"/>
    <n v="35000"/>
    <s v="Activo"/>
    <n v="35000"/>
    <x v="2"/>
  </r>
  <r>
    <n v="2026"/>
    <n v="7"/>
    <s v="06-07-2026"/>
    <n v="12792"/>
    <s v="1101-04"/>
    <n v="15000"/>
    <n v="0"/>
    <s v="Centralización recaudaciones julio 2026 #5415 - #5415"/>
    <n v="15000"/>
    <s v="Activo"/>
    <n v="15000"/>
    <x v="2"/>
  </r>
  <r>
    <n v="2026"/>
    <n v="7"/>
    <s v="06-07-2026"/>
    <n v="12798"/>
    <s v="1101-04"/>
    <n v="50000"/>
    <n v="0"/>
    <s v="Centralización recaudaciones julio 2026 #5421 - #5421"/>
    <n v="50000"/>
    <s v="Activo"/>
    <n v="50000"/>
    <x v="2"/>
  </r>
  <r>
    <n v="2026"/>
    <n v="7"/>
    <s v="06-07-2026"/>
    <n v="12805"/>
    <s v="1101-04"/>
    <n v="29990"/>
    <n v="0"/>
    <s v="Centralización recaudaciones julio 2026 #5428 - #5428"/>
    <n v="29990"/>
    <s v="Activo"/>
    <n v="29990"/>
    <x v="2"/>
  </r>
  <r>
    <n v="2026"/>
    <n v="7"/>
    <s v="06-07-2026"/>
    <n v="12822"/>
    <s v="1101-04"/>
    <n v="29990"/>
    <n v="0"/>
    <s v="Centralización recaudaciones julio 2026 #5445 - #5445"/>
    <n v="29990"/>
    <s v="Activo"/>
    <n v="29990"/>
    <x v="2"/>
  </r>
  <r>
    <n v="2026"/>
    <n v="7"/>
    <s v="06-07-2026"/>
    <n v="12823"/>
    <s v="1101-04"/>
    <n v="59990"/>
    <n v="0"/>
    <s v="Centralización recaudaciones julio 2026 #5446 - #5446"/>
    <n v="59990"/>
    <s v="Activo"/>
    <n v="59990"/>
    <x v="2"/>
  </r>
  <r>
    <n v="2026"/>
    <n v="7"/>
    <s v="06-07-2026"/>
    <n v="12831"/>
    <s v="1101-04"/>
    <n v="59990"/>
    <n v="0"/>
    <s v="Centralización recaudaciones julio 2026 #5454 - #5454"/>
    <n v="59990"/>
    <s v="Activo"/>
    <n v="59990"/>
    <x v="2"/>
  </r>
  <r>
    <n v="2026"/>
    <n v="7"/>
    <s v="06-07-2026"/>
    <n v="12884"/>
    <s v="1101-04"/>
    <n v="382"/>
    <n v="0"/>
    <s v="Centralización recaudaciones julio 2026 #5507 - #5507"/>
    <n v="382"/>
    <s v="Activo"/>
    <n v="382"/>
    <x v="2"/>
  </r>
  <r>
    <n v="2026"/>
    <n v="7"/>
    <s v="06-07-2026"/>
    <n v="12896"/>
    <s v="1101-04"/>
    <n v="29990"/>
    <n v="0"/>
    <s v="Centralización recaudaciones julio 2026 #5519 - #5519"/>
    <n v="29990"/>
    <s v="Activo"/>
    <n v="29990"/>
    <x v="2"/>
  </r>
  <r>
    <n v="2026"/>
    <n v="7"/>
    <s v="06-07-2026"/>
    <n v="12897"/>
    <s v="1101-04"/>
    <n v="21990"/>
    <n v="0"/>
    <s v="Centralización recaudaciones julio 2026 #5520 - #5520"/>
    <n v="21990"/>
    <s v="Activo"/>
    <n v="21990"/>
    <x v="2"/>
  </r>
  <r>
    <n v="2026"/>
    <n v="7"/>
    <s v="06-07-2026"/>
    <n v="12903"/>
    <s v="1101-04"/>
    <n v="25990"/>
    <n v="0"/>
    <s v="Centralización recaudaciones julio 2026 #5526 - #5526"/>
    <n v="25990"/>
    <s v="Activo"/>
    <n v="25990"/>
    <x v="2"/>
  </r>
  <r>
    <n v="2026"/>
    <n v="7"/>
    <s v="06-07-2026"/>
    <n v="12905"/>
    <s v="1101-04"/>
    <n v="38990"/>
    <n v="0"/>
    <s v="Centralización recaudaciones julio 2026 #5528 - #5528"/>
    <n v="38990"/>
    <s v="Activo"/>
    <n v="38990"/>
    <x v="2"/>
  </r>
  <r>
    <n v="2026"/>
    <n v="7"/>
    <s v="06-07-2026"/>
    <n v="12906"/>
    <s v="1101-04"/>
    <n v="40000"/>
    <n v="0"/>
    <s v="Centralización recaudaciones julio 2026 #5529 - #5529"/>
    <n v="40000"/>
    <s v="Activo"/>
    <n v="40000"/>
    <x v="2"/>
  </r>
  <r>
    <n v="2026"/>
    <n v="7"/>
    <s v="06-07-2026"/>
    <n v="12915"/>
    <s v="1101-04"/>
    <n v="29990"/>
    <n v="0"/>
    <s v="Centralización recaudaciones julio 2026 #5536 - #5536"/>
    <n v="29990"/>
    <s v="Activo"/>
    <n v="29990"/>
    <x v="2"/>
  </r>
  <r>
    <n v="2026"/>
    <n v="7"/>
    <s v="06-07-2026"/>
    <n v="12921"/>
    <s v="1101-04"/>
    <n v="32990"/>
    <n v="0"/>
    <s v="Centralización recaudaciones julio 2026 #5542 - #5542"/>
    <n v="32990"/>
    <s v="Activo"/>
    <n v="32990"/>
    <x v="2"/>
  </r>
  <r>
    <n v="2026"/>
    <n v="7"/>
    <s v="06-07-2026"/>
    <n v="12922"/>
    <s v="1101-04"/>
    <n v="29990"/>
    <n v="0"/>
    <s v="Centralización recaudaciones julio 2026 #5543 - #5543"/>
    <n v="29990"/>
    <s v="Activo"/>
    <n v="29990"/>
    <x v="2"/>
  </r>
  <r>
    <n v="2026"/>
    <n v="7"/>
    <s v="06-07-2026"/>
    <n v="12929"/>
    <s v="1101-04"/>
    <n v="15000"/>
    <n v="0"/>
    <s v="Centralización recaudaciones julio 2026 #5550 - #5550"/>
    <n v="15000"/>
    <s v="Activo"/>
    <n v="15000"/>
    <x v="2"/>
  </r>
  <r>
    <n v="2026"/>
    <n v="7"/>
    <s v="06-07-2026"/>
    <n v="12931"/>
    <s v="1101-04"/>
    <n v="14990"/>
    <n v="0"/>
    <s v="Centralización recaudaciones julio 2026 #5552 - #5552"/>
    <n v="14990"/>
    <s v="Activo"/>
    <n v="14990"/>
    <x v="2"/>
  </r>
  <r>
    <n v="2026"/>
    <n v="7"/>
    <s v="06-07-2026"/>
    <n v="12933"/>
    <s v="1101-04"/>
    <n v="28990"/>
    <n v="0"/>
    <s v="Centralización recaudaciones julio 2026 #5554 - #5554"/>
    <n v="28990"/>
    <s v="Activo"/>
    <n v="28990"/>
    <x v="2"/>
  </r>
  <r>
    <n v="2026"/>
    <n v="7"/>
    <s v="06-07-2026"/>
    <n v="12934"/>
    <s v="1101-04"/>
    <n v="15000"/>
    <n v="0"/>
    <s v="Centralización recaudaciones julio 2026 #5555 - #5555"/>
    <n v="15000"/>
    <s v="Activo"/>
    <n v="15000"/>
    <x v="2"/>
  </r>
  <r>
    <n v="2026"/>
    <n v="7"/>
    <s v="06-07-2026"/>
    <n v="12937"/>
    <s v="1101-04"/>
    <n v="10411"/>
    <n v="0"/>
    <s v="Centralización recaudaciones julio 2026 #5558 - #5558"/>
    <n v="10411"/>
    <s v="Activo"/>
    <n v="10411"/>
    <x v="2"/>
  </r>
  <r>
    <n v="2026"/>
    <n v="7"/>
    <s v="06-07-2026"/>
    <n v="12948"/>
    <s v="1101-04"/>
    <n v="29990"/>
    <n v="0"/>
    <s v="Centralización recaudaciones julio 2026 #5569 - #5569"/>
    <n v="29990"/>
    <s v="Activo"/>
    <n v="29990"/>
    <x v="2"/>
  </r>
  <r>
    <n v="2026"/>
    <n v="7"/>
    <s v="06-07-2026"/>
    <n v="12952"/>
    <s v="1101-04"/>
    <n v="29990"/>
    <n v="0"/>
    <s v="Centralización recaudaciones julio 2026 #5573 - #5573"/>
    <n v="29990"/>
    <s v="Activo"/>
    <n v="29990"/>
    <x v="2"/>
  </r>
  <r>
    <n v="2026"/>
    <n v="7"/>
    <s v="06-07-2026"/>
    <n v="12960"/>
    <s v="1101-04"/>
    <n v="389"/>
    <n v="0"/>
    <s v="Centralización recaudaciones julio 2026 #5581 - #5581"/>
    <n v="389"/>
    <s v="Activo"/>
    <n v="389"/>
    <x v="2"/>
  </r>
  <r>
    <n v="2026"/>
    <n v="7"/>
    <s v="06-07-2026"/>
    <n v="12964"/>
    <s v="1101-04"/>
    <n v="29990"/>
    <n v="0"/>
    <s v="Centralización recaudaciones julio 2026 #5585 - #5585"/>
    <n v="29990"/>
    <s v="Activo"/>
    <n v="29990"/>
    <x v="2"/>
  </r>
  <r>
    <n v="2026"/>
    <n v="7"/>
    <s v="06-07-2026"/>
    <n v="12972"/>
    <s v="1101-04"/>
    <n v="29990"/>
    <n v="0"/>
    <s v="Centralización recaudaciones julio 2026 #5593 - #5593"/>
    <n v="29990"/>
    <s v="Activo"/>
    <n v="29990"/>
    <x v="2"/>
  </r>
  <r>
    <n v="2026"/>
    <n v="7"/>
    <s v="06-07-2026"/>
    <n v="12973"/>
    <s v="1101-04"/>
    <n v="33990"/>
    <n v="0"/>
    <s v="Centralización recaudaciones julio 2026 #5594 - #5594"/>
    <n v="33990"/>
    <s v="Activo"/>
    <n v="33990"/>
    <x v="2"/>
  </r>
  <r>
    <n v="2026"/>
    <n v="7"/>
    <s v="06-07-2026"/>
    <n v="12975"/>
    <s v="1101-04"/>
    <n v="37990"/>
    <n v="0"/>
    <s v="Centralización recaudaciones julio 2026 #5596 - #5596"/>
    <n v="37990"/>
    <s v="Activo"/>
    <n v="37990"/>
    <x v="2"/>
  </r>
  <r>
    <n v="2026"/>
    <n v="7"/>
    <s v="06-07-2026"/>
    <n v="12980"/>
    <s v="1101-04"/>
    <n v="40960"/>
    <n v="0"/>
    <s v="Centralización recaudaciones julio 2026 #5601 - #5601"/>
    <n v="40960"/>
    <s v="Activo"/>
    <n v="40960"/>
    <x v="2"/>
  </r>
  <r>
    <n v="2026"/>
    <n v="7"/>
    <s v="06-07-2026"/>
    <n v="12991"/>
    <s v="1101-04"/>
    <n v="29990"/>
    <n v="0"/>
    <s v="Centralización recaudaciones julio 2026 #5612 - #5612"/>
    <n v="29990"/>
    <s v="Activo"/>
    <n v="29990"/>
    <x v="2"/>
  </r>
  <r>
    <n v="2026"/>
    <n v="7"/>
    <s v="06-07-2026"/>
    <n v="12995"/>
    <s v="1101-04"/>
    <n v="15000"/>
    <n v="0"/>
    <s v="Centralización recaudaciones julio 2026 #5616 - #5616"/>
    <n v="15000"/>
    <s v="Activo"/>
    <n v="15000"/>
    <x v="2"/>
  </r>
  <r>
    <n v="2026"/>
    <n v="7"/>
    <s v="06-07-2026"/>
    <n v="13004"/>
    <s v="1101-04"/>
    <n v="34000"/>
    <n v="0"/>
    <s v="Centralización recaudaciones julio 2026 #5625 - #5625"/>
    <n v="34000"/>
    <s v="Activo"/>
    <n v="34000"/>
    <x v="2"/>
  </r>
  <r>
    <n v="2026"/>
    <n v="7"/>
    <s v="06-07-2026"/>
    <n v="13088"/>
    <s v="1101-04"/>
    <n v="816776"/>
    <n v="0"/>
    <s v="Centralización recaudaciones julio 2026 #5709 - #5709"/>
    <n v="816776"/>
    <s v="Activo"/>
    <n v="816776"/>
    <x v="2"/>
  </r>
  <r>
    <n v="2026"/>
    <n v="7"/>
    <s v="06-07-2026"/>
    <n v="13100"/>
    <s v="1101-04"/>
    <n v="53224"/>
    <n v="0"/>
    <s v="Centralización recaudaciones julio 2026 #5721 - #5721"/>
    <n v="53224"/>
    <s v="Activo"/>
    <n v="53224"/>
    <x v="2"/>
  </r>
  <r>
    <n v="2026"/>
    <n v="7"/>
    <s v="06-07-2026"/>
    <n v="13114"/>
    <s v="1101-04"/>
    <n v="64000"/>
    <n v="0"/>
    <s v="Centralización recaudaciones julio 2026 #5735 - #5735"/>
    <n v="64000"/>
    <s v="Activo"/>
    <n v="64000"/>
    <x v="2"/>
  </r>
  <r>
    <n v="2026"/>
    <n v="7"/>
    <s v="06-07-2026"/>
    <n v="13143"/>
    <s v="1101-04"/>
    <n v="14990"/>
    <n v="0"/>
    <s v="Centralización recaudaciones julio 2026 #5764 - #5764"/>
    <n v="14990"/>
    <s v="Activo"/>
    <n v="14990"/>
    <x v="2"/>
  </r>
  <r>
    <n v="2026"/>
    <n v="7"/>
    <s v="06-07-2026"/>
    <n v="13156"/>
    <s v="1101-04"/>
    <n v="17990"/>
    <n v="0"/>
    <s v="Centralización recaudaciones julio 2026 #5777 - #5777"/>
    <n v="17990"/>
    <s v="Activo"/>
    <n v="17990"/>
    <x v="2"/>
  </r>
  <r>
    <n v="2026"/>
    <n v="7"/>
    <s v="06-07-2026"/>
    <n v="13197"/>
    <s v="1101-04"/>
    <n v="59980"/>
    <n v="0"/>
    <s v="Centralización recaudaciones julio 2026 #5818 - #5818"/>
    <n v="59980"/>
    <s v="Activo"/>
    <n v="59980"/>
    <x v="2"/>
  </r>
  <r>
    <n v="2026"/>
    <n v="7"/>
    <s v="06-07-2026"/>
    <n v="13221"/>
    <s v="1101-04"/>
    <n v="520000"/>
    <n v="0"/>
    <s v="Centralización recaudaciones julio 2026 #5842 - #5842"/>
    <n v="520000"/>
    <s v="Activo"/>
    <n v="520000"/>
    <x v="2"/>
  </r>
  <r>
    <n v="2026"/>
    <n v="7"/>
    <s v="06-07-2026"/>
    <n v="13246"/>
    <s v="1101-04"/>
    <n v="17990"/>
    <n v="0"/>
    <s v="Centralización recaudaciones julio 2026 #5867 - #5867"/>
    <n v="17990"/>
    <s v="Activo"/>
    <n v="17990"/>
    <x v="2"/>
  </r>
  <r>
    <n v="2026"/>
    <n v="7"/>
    <s v="06-07-2026"/>
    <n v="13249"/>
    <s v="1101-04"/>
    <n v="799186"/>
    <n v="0"/>
    <s v="Centralización recaudaciones julio 2026 #5870 - #5870"/>
    <n v="799186"/>
    <s v="Activo"/>
    <n v="799186"/>
    <x v="2"/>
  </r>
  <r>
    <n v="2026"/>
    <n v="7"/>
    <s v="06-07-2026"/>
    <n v="13252"/>
    <s v="1101-04"/>
    <n v="40000"/>
    <n v="0"/>
    <s v="Centralización recaudaciones julio 2026 #5873 - #5873"/>
    <n v="40000"/>
    <s v="Activo"/>
    <n v="40000"/>
    <x v="2"/>
  </r>
  <r>
    <n v="2026"/>
    <n v="7"/>
    <s v="06-07-2026"/>
    <n v="13289"/>
    <s v="1101-04"/>
    <n v="19000"/>
    <n v="0"/>
    <s v="Centralización recaudaciones julio 2026 #5910 - #5910"/>
    <n v="19000"/>
    <s v="Activo"/>
    <n v="19000"/>
    <x v="2"/>
  </r>
  <r>
    <n v="2026"/>
    <n v="7"/>
    <s v="06-07-2026"/>
    <n v="13292"/>
    <s v="1101-04"/>
    <n v="29990"/>
    <n v="0"/>
    <s v="Centralización recaudaciones julio 2026 #5913 - #5913"/>
    <n v="29990"/>
    <s v="Activo"/>
    <n v="29990"/>
    <x v="2"/>
  </r>
  <r>
    <n v="2026"/>
    <n v="7"/>
    <s v="06-07-2026"/>
    <n v="13299"/>
    <s v="1101-04"/>
    <n v="30000"/>
    <n v="0"/>
    <s v="Centralización recaudaciones julio 2026 #5920 - #5920"/>
    <n v="30000"/>
    <s v="Activo"/>
    <n v="30000"/>
    <x v="2"/>
  </r>
  <r>
    <n v="2026"/>
    <n v="7"/>
    <s v="06-07-2026"/>
    <n v="13302"/>
    <s v="1101-04"/>
    <n v="29990"/>
    <n v="0"/>
    <s v="Centralización recaudaciones julio 2026 #5923 - #5923"/>
    <n v="29990"/>
    <s v="Activo"/>
    <n v="29990"/>
    <x v="2"/>
  </r>
  <r>
    <n v="2026"/>
    <n v="7"/>
    <s v="06-07-2026"/>
    <n v="13303"/>
    <s v="1101-04"/>
    <n v="30000"/>
    <n v="0"/>
    <s v="Centralización recaudaciones julio 2026 #5924 - #5924"/>
    <n v="30000"/>
    <s v="Activo"/>
    <n v="30000"/>
    <x v="2"/>
  </r>
  <r>
    <n v="2026"/>
    <n v="7"/>
    <s v="06-07-2026"/>
    <n v="13307"/>
    <s v="1101-04"/>
    <n v="40000"/>
    <n v="0"/>
    <s v="Centralización recaudaciones julio 2026 #5928 - #5928"/>
    <n v="40000"/>
    <s v="Activo"/>
    <n v="40000"/>
    <x v="2"/>
  </r>
  <r>
    <n v="2026"/>
    <n v="7"/>
    <s v="06-07-2026"/>
    <n v="13315"/>
    <s v="1101-04"/>
    <n v="30000"/>
    <n v="0"/>
    <s v="Centralización recaudaciones julio 2026 #5936 - #5936"/>
    <n v="30000"/>
    <s v="Activo"/>
    <n v="30000"/>
    <x v="2"/>
  </r>
  <r>
    <n v="2026"/>
    <n v="7"/>
    <s v="06-07-2026"/>
    <n v="13331"/>
    <s v="1101-04"/>
    <n v="28991"/>
    <n v="0"/>
    <s v="Centralización recaudaciones julio 2026 #5952 - #5952"/>
    <n v="28991"/>
    <s v="Activo"/>
    <n v="28991"/>
    <x v="2"/>
  </r>
  <r>
    <n v="2026"/>
    <n v="7"/>
    <s v="06-07-2026"/>
    <n v="10864"/>
    <s v="1101-04"/>
    <n v="0"/>
    <n v="5000000"/>
    <s v="Traspaso entre bancos"/>
    <n v="-5000000"/>
    <s v="Activo"/>
    <n v="-5000000"/>
    <x v="2"/>
  </r>
  <r>
    <n v="2026"/>
    <n v="7"/>
    <s v="06-07-2026"/>
    <n v="10865"/>
    <s v="1101-04"/>
    <n v="0"/>
    <n v="5000000"/>
    <s v="Traspaso entre bancos"/>
    <n v="-5000000"/>
    <s v="Activo"/>
    <n v="-5000000"/>
    <x v="2"/>
  </r>
  <r>
    <n v="2026"/>
    <n v="7"/>
    <s v="06-07-2026"/>
    <n v="10866"/>
    <s v="1101-04"/>
    <n v="0"/>
    <n v="5000000"/>
    <s v="Traspaso entre bancos"/>
    <n v="-5000000"/>
    <s v="Activo"/>
    <n v="-5000000"/>
    <x v="2"/>
  </r>
  <r>
    <n v="2026"/>
    <n v="7"/>
    <s v="06-07-2026"/>
    <n v="10867"/>
    <s v="1101-04"/>
    <n v="0"/>
    <n v="5000000"/>
    <s v="Traspaso entre bancos"/>
    <n v="-5000000"/>
    <s v="Activo"/>
    <n v="-5000000"/>
    <x v="2"/>
  </r>
  <r>
    <n v="2026"/>
    <n v="7"/>
    <s v="06-07-2026"/>
    <n v="10870"/>
    <s v="1101-04"/>
    <n v="0"/>
    <n v="5000000"/>
    <s v="Traspaso entre cuentas"/>
    <n v="-5000000"/>
    <s v="Activo"/>
    <n v="-5000000"/>
    <x v="2"/>
  </r>
  <r>
    <n v="2026"/>
    <n v="7"/>
    <s v="06-07-2026"/>
    <n v="10871"/>
    <s v="1101-04"/>
    <n v="0"/>
    <n v="3000000"/>
    <s v="Traspaso entre cuentas"/>
    <n v="-3000000"/>
    <s v="Activo"/>
    <n v="-3000000"/>
    <x v="2"/>
  </r>
  <r>
    <n v="2026"/>
    <n v="7"/>
    <s v="07-07-2026"/>
    <n v="12665"/>
    <s v="1101-04"/>
    <n v="244900"/>
    <n v="0"/>
    <s v="Centralización recaudaciones julio 2026 #5294 - #5294"/>
    <n v="244900"/>
    <s v="Activo"/>
    <n v="244900"/>
    <x v="2"/>
  </r>
  <r>
    <n v="2026"/>
    <n v="7"/>
    <s v="07-07-2026"/>
    <n v="12718"/>
    <s v="1101-04"/>
    <n v="59980"/>
    <n v="0"/>
    <s v="Centralización recaudaciones julio 2026 #5281 - #5281"/>
    <n v="59980"/>
    <s v="Activo"/>
    <n v="59980"/>
    <x v="2"/>
  </r>
  <r>
    <n v="2026"/>
    <n v="7"/>
    <s v="07-07-2026"/>
    <n v="12758"/>
    <s v="1101-04"/>
    <n v="59980"/>
    <n v="0"/>
    <s v="Centralización recaudaciones julio 2026 #5384 - #5384"/>
    <n v="59980"/>
    <s v="Activo"/>
    <n v="59980"/>
    <x v="2"/>
  </r>
  <r>
    <n v="2026"/>
    <n v="7"/>
    <s v="07-07-2026"/>
    <n v="12772"/>
    <s v="1101-04"/>
    <n v="14000"/>
    <n v="0"/>
    <s v="Centralización recaudaciones julio 2026 #5398 - #5398"/>
    <n v="14000"/>
    <s v="Activo"/>
    <n v="14000"/>
    <x v="2"/>
  </r>
  <r>
    <n v="2026"/>
    <n v="7"/>
    <s v="07-07-2026"/>
    <n v="12789"/>
    <s v="1101-04"/>
    <n v="134351"/>
    <n v="0"/>
    <s v="Centralización recaudaciones julio 2026 #5412 - #5412"/>
    <n v="134351"/>
    <s v="Activo"/>
    <n v="134351"/>
    <x v="2"/>
  </r>
  <r>
    <n v="2026"/>
    <n v="7"/>
    <s v="07-07-2026"/>
    <n v="12791"/>
    <s v="1101-04"/>
    <n v="50000"/>
    <n v="0"/>
    <s v="Centralización recaudaciones julio 2026 #5414 - #5414"/>
    <n v="50000"/>
    <s v="Activo"/>
    <n v="50000"/>
    <x v="2"/>
  </r>
  <r>
    <n v="2026"/>
    <n v="7"/>
    <s v="07-07-2026"/>
    <n v="12867"/>
    <s v="1101-04"/>
    <n v="1390269"/>
    <n v="0"/>
    <s v="Centralización recaudaciones julio 2026 #5490 - #5490"/>
    <n v="1390269"/>
    <s v="Activo"/>
    <n v="1390269"/>
    <x v="2"/>
  </r>
  <r>
    <n v="2026"/>
    <n v="7"/>
    <s v="07-07-2026"/>
    <n v="12898"/>
    <s v="1101-04"/>
    <n v="21990"/>
    <n v="0"/>
    <s v="Centralización recaudaciones julio 2026 #5521 - #5521"/>
    <n v="21990"/>
    <s v="Activo"/>
    <n v="21990"/>
    <x v="2"/>
  </r>
  <r>
    <n v="2026"/>
    <n v="7"/>
    <s v="07-07-2026"/>
    <n v="12911"/>
    <s v="1101-04"/>
    <n v="38990"/>
    <n v="0"/>
    <s v="Centralización recaudaciones julio 2026 #5532 - #5532"/>
    <n v="38990"/>
    <s v="Activo"/>
    <n v="38990"/>
    <x v="2"/>
  </r>
  <r>
    <n v="2026"/>
    <n v="7"/>
    <s v="07-07-2026"/>
    <n v="12932"/>
    <s v="1101-04"/>
    <n v="5000"/>
    <n v="0"/>
    <s v="Centralización recaudaciones julio 2026 #5553 - #5553"/>
    <n v="5000"/>
    <s v="Activo"/>
    <n v="5000"/>
    <x v="2"/>
  </r>
  <r>
    <n v="2026"/>
    <n v="7"/>
    <s v="07-07-2026"/>
    <n v="12939"/>
    <s v="1101-04"/>
    <n v="17990"/>
    <n v="0"/>
    <s v="Centralización recaudaciones julio 2026 #5560 - #5560"/>
    <n v="17990"/>
    <s v="Activo"/>
    <n v="17990"/>
    <x v="2"/>
  </r>
  <r>
    <n v="2026"/>
    <n v="7"/>
    <s v="07-07-2026"/>
    <n v="12946"/>
    <s v="1101-04"/>
    <n v="29990"/>
    <n v="0"/>
    <s v="Centralización recaudaciones julio 2026 #5567 - #5567"/>
    <n v="29990"/>
    <s v="Activo"/>
    <n v="29990"/>
    <x v="2"/>
  </r>
  <r>
    <n v="2026"/>
    <n v="7"/>
    <s v="07-07-2026"/>
    <n v="12957"/>
    <s v="1101-04"/>
    <n v="19990"/>
    <n v="0"/>
    <s v="Centralización recaudaciones julio 2026 #5578 - #5578"/>
    <n v="19990"/>
    <s v="Activo"/>
    <n v="19990"/>
    <x v="2"/>
  </r>
  <r>
    <n v="2026"/>
    <n v="7"/>
    <s v="07-07-2026"/>
    <n v="12961"/>
    <s v="1101-04"/>
    <n v="601"/>
    <n v="0"/>
    <s v="Centralización recaudaciones julio 2026 #5582 - #5582"/>
    <n v="601"/>
    <s v="Activo"/>
    <n v="601"/>
    <x v="2"/>
  </r>
  <r>
    <n v="2026"/>
    <n v="7"/>
    <s v="07-07-2026"/>
    <n v="12963"/>
    <s v="1101-04"/>
    <n v="38990"/>
    <n v="0"/>
    <s v="Centralización recaudaciones julio 2026 #5584 - #5584"/>
    <n v="38990"/>
    <s v="Activo"/>
    <n v="38990"/>
    <x v="2"/>
  </r>
  <r>
    <n v="2026"/>
    <n v="7"/>
    <s v="07-07-2026"/>
    <n v="12969"/>
    <s v="1101-04"/>
    <n v="74990"/>
    <n v="0"/>
    <s v="Centralización recaudaciones julio 2026 #5590 - #5590"/>
    <n v="74990"/>
    <s v="Activo"/>
    <n v="74990"/>
    <x v="2"/>
  </r>
  <r>
    <n v="2026"/>
    <n v="7"/>
    <s v="07-07-2026"/>
    <n v="12974"/>
    <s v="1101-04"/>
    <n v="1000"/>
    <n v="0"/>
    <s v="Centralización recaudaciones julio 2026 #5595 - #5595"/>
    <n v="1000"/>
    <s v="Activo"/>
    <n v="1000"/>
    <x v="2"/>
  </r>
  <r>
    <n v="2026"/>
    <n v="7"/>
    <s v="07-07-2026"/>
    <n v="12987"/>
    <s v="1101-04"/>
    <n v="15000"/>
    <n v="0"/>
    <s v="Centralización recaudaciones julio 2026 #5608 - #5608"/>
    <n v="15000"/>
    <s v="Activo"/>
    <n v="15000"/>
    <x v="2"/>
  </r>
  <r>
    <n v="2026"/>
    <n v="7"/>
    <s v="07-07-2026"/>
    <n v="13005"/>
    <s v="1101-04"/>
    <n v="303"/>
    <n v="0"/>
    <s v="Centralización recaudaciones julio 2026 #5626 - #5626"/>
    <n v="303"/>
    <s v="Activo"/>
    <n v="303"/>
    <x v="2"/>
  </r>
  <r>
    <n v="2026"/>
    <n v="7"/>
    <s v="07-07-2026"/>
    <n v="13014"/>
    <s v="1101-04"/>
    <n v="32990"/>
    <n v="0"/>
    <s v="Centralización recaudaciones julio 2026 #5635 - #5635"/>
    <n v="32990"/>
    <s v="Activo"/>
    <n v="32990"/>
    <x v="2"/>
  </r>
  <r>
    <n v="2026"/>
    <n v="7"/>
    <s v="07-07-2026"/>
    <n v="13015"/>
    <s v="1101-04"/>
    <n v="29990"/>
    <n v="0"/>
    <s v="Centralización recaudaciones julio 2026 #5636 - #5636"/>
    <n v="29990"/>
    <s v="Activo"/>
    <n v="29990"/>
    <x v="2"/>
  </r>
  <r>
    <n v="2026"/>
    <n v="7"/>
    <s v="07-07-2026"/>
    <n v="13052"/>
    <s v="1101-04"/>
    <n v="34990"/>
    <n v="0"/>
    <s v="Centralización recaudaciones julio 2026 #5673 - #5673"/>
    <n v="34990"/>
    <s v="Activo"/>
    <n v="34990"/>
    <x v="2"/>
  </r>
  <r>
    <n v="2026"/>
    <n v="7"/>
    <s v="07-07-2026"/>
    <n v="13063"/>
    <s v="1101-04"/>
    <n v="14990"/>
    <n v="0"/>
    <s v="Centralización recaudaciones julio 2026 #5684 - #5684"/>
    <n v="14990"/>
    <s v="Activo"/>
    <n v="14990"/>
    <x v="2"/>
  </r>
  <r>
    <n v="2026"/>
    <n v="7"/>
    <s v="07-07-2026"/>
    <n v="13120"/>
    <s v="1101-04"/>
    <n v="21990"/>
    <n v="0"/>
    <s v="Centralización recaudaciones julio 2026 #5741 - #5741"/>
    <n v="21990"/>
    <s v="Activo"/>
    <n v="21990"/>
    <x v="2"/>
  </r>
  <r>
    <n v="2026"/>
    <n v="7"/>
    <s v="07-07-2026"/>
    <n v="13155"/>
    <s v="1101-04"/>
    <n v="111399"/>
    <n v="0"/>
    <s v="Centralización recaudaciones julio 2026 #5776 - #5776"/>
    <n v="111399"/>
    <s v="Activo"/>
    <n v="111399"/>
    <x v="2"/>
  </r>
  <r>
    <n v="2026"/>
    <n v="7"/>
    <s v="07-07-2026"/>
    <n v="13165"/>
    <s v="1101-04"/>
    <n v="14990"/>
    <n v="0"/>
    <s v="Centralización recaudaciones julio 2026 #5786 - #5786"/>
    <n v="14990"/>
    <s v="Activo"/>
    <n v="14990"/>
    <x v="2"/>
  </r>
  <r>
    <n v="2026"/>
    <n v="7"/>
    <s v="07-07-2026"/>
    <n v="13196"/>
    <s v="1101-04"/>
    <n v="28990"/>
    <n v="0"/>
    <s v="Centralización recaudaciones julio 2026 #5817 - #5817"/>
    <n v="28990"/>
    <s v="Activo"/>
    <n v="28990"/>
    <x v="2"/>
  </r>
  <r>
    <n v="2026"/>
    <n v="7"/>
    <s v="07-07-2026"/>
    <n v="13201"/>
    <s v="1101-04"/>
    <n v="21990"/>
    <n v="0"/>
    <s v="Centralización recaudaciones julio 2026 #5822 - #5822"/>
    <n v="21990"/>
    <s v="Activo"/>
    <n v="21990"/>
    <x v="2"/>
  </r>
  <r>
    <n v="2026"/>
    <n v="7"/>
    <s v="07-07-2026"/>
    <n v="13211"/>
    <s v="1101-04"/>
    <n v="36954"/>
    <n v="0"/>
    <s v="Centralización recaudaciones julio 2026 #5832 - #5832"/>
    <n v="36954"/>
    <s v="Activo"/>
    <n v="36954"/>
    <x v="2"/>
  </r>
  <r>
    <n v="2026"/>
    <n v="7"/>
    <s v="07-07-2026"/>
    <n v="13237"/>
    <s v="1101-04"/>
    <n v="2192981"/>
    <n v="0"/>
    <s v="Centralización recaudaciones julio 2026 #5858 - #5858"/>
    <n v="2192981"/>
    <s v="Activo"/>
    <n v="2192981"/>
    <x v="2"/>
  </r>
  <r>
    <n v="2026"/>
    <n v="7"/>
    <s v="07-07-2026"/>
    <n v="13239"/>
    <s v="1101-04"/>
    <n v="40000"/>
    <n v="0"/>
    <s v="Centralización recaudaciones julio 2026 #5860 - #5860"/>
    <n v="40000"/>
    <s v="Activo"/>
    <n v="40000"/>
    <x v="2"/>
  </r>
  <r>
    <n v="2026"/>
    <n v="7"/>
    <s v="07-07-2026"/>
    <n v="13282"/>
    <s v="1101-04"/>
    <n v="29990"/>
    <n v="0"/>
    <s v="Centralización recaudaciones julio 2026 #5903 - #5903"/>
    <n v="29990"/>
    <s v="Activo"/>
    <n v="29990"/>
    <x v="2"/>
  </r>
  <r>
    <n v="2026"/>
    <n v="7"/>
    <s v="07-07-2026"/>
    <n v="13320"/>
    <s v="1101-04"/>
    <n v="45496"/>
    <n v="0"/>
    <s v="Centralización recaudaciones julio 2026 #5941 - #5941"/>
    <n v="45496"/>
    <s v="Activo"/>
    <n v="45496"/>
    <x v="2"/>
  </r>
  <r>
    <n v="2026"/>
    <n v="7"/>
    <s v="08-07-2026"/>
    <n v="12766"/>
    <s v="1101-04"/>
    <n v="40000"/>
    <n v="0"/>
    <s v="Centralización recaudaciones julio 2026 #5392 - #5392"/>
    <n v="40000"/>
    <s v="Activo"/>
    <n v="40000"/>
    <x v="2"/>
  </r>
  <r>
    <n v="2026"/>
    <n v="7"/>
    <s v="08-07-2026"/>
    <n v="12773"/>
    <s v="1101-04"/>
    <n v="7900"/>
    <n v="0"/>
    <s v="Centralización recaudaciones julio 2026 #5399 - #5399"/>
    <n v="7900"/>
    <s v="Activo"/>
    <n v="7900"/>
    <x v="2"/>
  </r>
  <r>
    <n v="2026"/>
    <n v="7"/>
    <s v="08-07-2026"/>
    <n v="12793"/>
    <s v="1101-04"/>
    <n v="4000"/>
    <n v="0"/>
    <s v="Centralización recaudaciones julio 2026 #5416 - #5416"/>
    <n v="4000"/>
    <s v="Activo"/>
    <n v="4000"/>
    <x v="2"/>
  </r>
  <r>
    <n v="2026"/>
    <n v="7"/>
    <s v="08-07-2026"/>
    <n v="12811"/>
    <s v="1101-04"/>
    <n v="90000"/>
    <n v="0"/>
    <s v="Centralización recaudaciones julio 2026 #5434 - #5434"/>
    <n v="90000"/>
    <s v="Activo"/>
    <n v="90000"/>
    <x v="2"/>
  </r>
  <r>
    <n v="2026"/>
    <n v="7"/>
    <s v="08-07-2026"/>
    <n v="12920"/>
    <s v="1101-04"/>
    <n v="21990"/>
    <n v="0"/>
    <s v="Centralización recaudaciones julio 2026 #5541 - #5541"/>
    <n v="21990"/>
    <s v="Activo"/>
    <n v="21990"/>
    <x v="2"/>
  </r>
  <r>
    <n v="2026"/>
    <n v="7"/>
    <s v="08-07-2026"/>
    <n v="12924"/>
    <s v="1101-04"/>
    <n v="21990"/>
    <n v="0"/>
    <s v="Centralización recaudaciones julio 2026 #5545 - #5545"/>
    <n v="21990"/>
    <s v="Activo"/>
    <n v="21990"/>
    <x v="2"/>
  </r>
  <r>
    <n v="2026"/>
    <n v="7"/>
    <s v="08-07-2026"/>
    <n v="12930"/>
    <s v="1101-04"/>
    <n v="4990"/>
    <n v="0"/>
    <s v="Centralización recaudaciones julio 2026 #5551 - #5551"/>
    <n v="4990"/>
    <s v="Activo"/>
    <n v="4990"/>
    <x v="2"/>
  </r>
  <r>
    <n v="2026"/>
    <n v="7"/>
    <s v="08-07-2026"/>
    <n v="12935"/>
    <s v="1101-04"/>
    <n v="4990"/>
    <n v="0"/>
    <s v="Centralización recaudaciones julio 2026 #5556 - #5556"/>
    <n v="4990"/>
    <s v="Activo"/>
    <n v="4990"/>
    <x v="2"/>
  </r>
  <r>
    <n v="2026"/>
    <n v="7"/>
    <s v="08-07-2026"/>
    <n v="12940"/>
    <s v="1101-04"/>
    <n v="2000"/>
    <n v="0"/>
    <s v="Centralización recaudaciones julio 2026 #5561 - #5561"/>
    <n v="2000"/>
    <s v="Activo"/>
    <n v="2000"/>
    <x v="2"/>
  </r>
  <r>
    <n v="2026"/>
    <n v="7"/>
    <s v="08-07-2026"/>
    <n v="12949"/>
    <s v="1101-04"/>
    <n v="24990"/>
    <n v="0"/>
    <s v="Centralización recaudaciones julio 2026 #5570 - #5570"/>
    <n v="24990"/>
    <s v="Activo"/>
    <n v="24990"/>
    <x v="2"/>
  </r>
  <r>
    <n v="2026"/>
    <n v="7"/>
    <s v="08-07-2026"/>
    <n v="12983"/>
    <s v="1101-04"/>
    <n v="21990"/>
    <n v="0"/>
    <s v="Centralización recaudaciones julio 2026 #5604 - #5604"/>
    <n v="21990"/>
    <s v="Activo"/>
    <n v="21990"/>
    <x v="2"/>
  </r>
  <r>
    <n v="2026"/>
    <n v="7"/>
    <s v="08-07-2026"/>
    <n v="12984"/>
    <s v="1101-04"/>
    <n v="21990"/>
    <n v="0"/>
    <s v="Centralización recaudaciones julio 2026 #5605 - #5605"/>
    <n v="21990"/>
    <s v="Activo"/>
    <n v="21990"/>
    <x v="2"/>
  </r>
  <r>
    <n v="2026"/>
    <n v="7"/>
    <s v="08-07-2026"/>
    <n v="12988"/>
    <s v="1101-04"/>
    <n v="4990"/>
    <n v="0"/>
    <s v="Centralización recaudaciones julio 2026 #5609 - #5609"/>
    <n v="4990"/>
    <s v="Activo"/>
    <n v="4990"/>
    <x v="2"/>
  </r>
  <r>
    <n v="2026"/>
    <n v="7"/>
    <s v="08-07-2026"/>
    <n v="12989"/>
    <s v="1101-04"/>
    <n v="28990"/>
    <n v="0"/>
    <s v="Centralización recaudaciones julio 2026 #5610 - #5610"/>
    <n v="28990"/>
    <s v="Activo"/>
    <n v="28990"/>
    <x v="2"/>
  </r>
  <r>
    <n v="2026"/>
    <n v="7"/>
    <s v="08-07-2026"/>
    <n v="12996"/>
    <s v="1101-04"/>
    <n v="4990"/>
    <n v="0"/>
    <s v="Centralización recaudaciones julio 2026 #5617 - #5617"/>
    <n v="4990"/>
    <s v="Activo"/>
    <n v="4990"/>
    <x v="2"/>
  </r>
  <r>
    <n v="2026"/>
    <n v="7"/>
    <s v="08-07-2026"/>
    <n v="13003"/>
    <s v="1101-04"/>
    <n v="29990"/>
    <n v="0"/>
    <s v="Centralización recaudaciones julio 2026 #5624 - #5624"/>
    <n v="29990"/>
    <s v="Activo"/>
    <n v="29990"/>
    <x v="2"/>
  </r>
  <r>
    <n v="2026"/>
    <n v="7"/>
    <s v="08-07-2026"/>
    <n v="13006"/>
    <s v="1101-04"/>
    <n v="687"/>
    <n v="0"/>
    <s v="Centralización recaudaciones julio 2026 #5627 - #5627"/>
    <n v="687"/>
    <s v="Activo"/>
    <n v="687"/>
    <x v="2"/>
  </r>
  <r>
    <n v="2026"/>
    <n v="7"/>
    <s v="08-07-2026"/>
    <n v="13011"/>
    <s v="1101-04"/>
    <n v="49990"/>
    <n v="0"/>
    <s v="Centralización recaudaciones julio 2026 #5632 - #5632"/>
    <n v="49990"/>
    <s v="Activo"/>
    <n v="49990"/>
    <x v="2"/>
  </r>
  <r>
    <n v="2026"/>
    <n v="7"/>
    <s v="08-07-2026"/>
    <n v="13018"/>
    <s v="1101-04"/>
    <n v="21990"/>
    <n v="0"/>
    <s v="Centralización recaudaciones julio 2026 #5639 - #5639"/>
    <n v="21990"/>
    <s v="Activo"/>
    <n v="21990"/>
    <x v="2"/>
  </r>
  <r>
    <n v="2026"/>
    <n v="7"/>
    <s v="08-07-2026"/>
    <n v="13030"/>
    <s v="1101-04"/>
    <n v="70000"/>
    <n v="0"/>
    <s v="Centralización recaudaciones julio 2026 #5651 - #5651"/>
    <n v="70000"/>
    <s v="Activo"/>
    <n v="70000"/>
    <x v="2"/>
  </r>
  <r>
    <n v="2026"/>
    <n v="7"/>
    <s v="08-07-2026"/>
    <n v="13032"/>
    <s v="1101-04"/>
    <n v="22990"/>
    <n v="0"/>
    <s v="Centralización recaudaciones julio 2026 #5653 - #5653"/>
    <n v="22990"/>
    <s v="Activo"/>
    <n v="22990"/>
    <x v="2"/>
  </r>
  <r>
    <n v="2026"/>
    <n v="7"/>
    <s v="08-07-2026"/>
    <n v="13033"/>
    <s v="1101-04"/>
    <n v="29990"/>
    <n v="0"/>
    <s v="Centralización recaudaciones julio 2026 #5654 - #5654"/>
    <n v="29990"/>
    <s v="Activo"/>
    <n v="29990"/>
    <x v="2"/>
  </r>
  <r>
    <n v="2026"/>
    <n v="7"/>
    <s v="08-07-2026"/>
    <n v="13034"/>
    <s v="1101-04"/>
    <n v="21990"/>
    <n v="0"/>
    <s v="Centralización recaudaciones julio 2026 #5655 - #5655"/>
    <n v="21990"/>
    <s v="Activo"/>
    <n v="21990"/>
    <x v="2"/>
  </r>
  <r>
    <n v="2026"/>
    <n v="7"/>
    <s v="08-07-2026"/>
    <n v="13037"/>
    <s v="1101-04"/>
    <n v="28990"/>
    <n v="0"/>
    <s v="Centralización recaudaciones julio 2026 #5658 - #5658"/>
    <n v="28990"/>
    <s v="Activo"/>
    <n v="28990"/>
    <x v="2"/>
  </r>
  <r>
    <n v="2026"/>
    <n v="7"/>
    <s v="08-07-2026"/>
    <n v="13045"/>
    <s v="1101-04"/>
    <n v="7328"/>
    <n v="0"/>
    <s v="Centralización recaudaciones julio 2026 #5666 - #5666"/>
    <n v="7328"/>
    <s v="Activo"/>
    <n v="7328"/>
    <x v="2"/>
  </r>
  <r>
    <n v="2026"/>
    <n v="7"/>
    <s v="08-07-2026"/>
    <n v="13051"/>
    <s v="1101-04"/>
    <n v="46990"/>
    <n v="0"/>
    <s v="Centralización recaudaciones julio 2026 #5672 - #5672"/>
    <n v="46990"/>
    <s v="Activo"/>
    <n v="46990"/>
    <x v="2"/>
  </r>
  <r>
    <n v="2026"/>
    <n v="7"/>
    <s v="08-07-2026"/>
    <n v="13062"/>
    <s v="1101-04"/>
    <n v="34990"/>
    <n v="0"/>
    <s v="Centralización recaudaciones julio 2026 #5683 - #5683"/>
    <n v="34990"/>
    <s v="Activo"/>
    <n v="34990"/>
    <x v="2"/>
  </r>
  <r>
    <n v="2026"/>
    <n v="7"/>
    <s v="08-07-2026"/>
    <n v="13064"/>
    <s v="1101-04"/>
    <n v="5000"/>
    <n v="0"/>
    <s v="Centralización recaudaciones julio 2026 #5685 - #5685"/>
    <n v="5000"/>
    <s v="Activo"/>
    <n v="5000"/>
    <x v="2"/>
  </r>
  <r>
    <n v="2026"/>
    <n v="7"/>
    <s v="08-07-2026"/>
    <n v="13079"/>
    <s v="1101-04"/>
    <n v="29990"/>
    <n v="0"/>
    <s v="Centralización recaudaciones julio 2026 #5700 - #5700"/>
    <n v="29990"/>
    <s v="Activo"/>
    <n v="29990"/>
    <x v="2"/>
  </r>
  <r>
    <n v="2026"/>
    <n v="7"/>
    <s v="08-07-2026"/>
    <n v="13084"/>
    <s v="1101-04"/>
    <n v="29990"/>
    <n v="0"/>
    <s v="Centralización recaudaciones julio 2026 #5705 - #5705"/>
    <n v="29990"/>
    <s v="Activo"/>
    <n v="29990"/>
    <x v="2"/>
  </r>
  <r>
    <n v="2026"/>
    <n v="7"/>
    <s v="08-07-2026"/>
    <n v="13087"/>
    <s v="1101-04"/>
    <n v="2135"/>
    <n v="0"/>
    <s v="Centralización recaudaciones julio 2026 #5708 - #5708"/>
    <n v="2135"/>
    <s v="Activo"/>
    <n v="2135"/>
    <x v="2"/>
  </r>
  <r>
    <n v="2026"/>
    <n v="7"/>
    <s v="08-07-2026"/>
    <n v="13101"/>
    <s v="1101-04"/>
    <n v="1766"/>
    <n v="0"/>
    <s v="Centralización recaudaciones julio 2026 #5722 - #5722"/>
    <n v="1766"/>
    <s v="Activo"/>
    <n v="1766"/>
    <x v="2"/>
  </r>
  <r>
    <n v="2026"/>
    <n v="7"/>
    <s v="08-07-2026"/>
    <n v="13110"/>
    <s v="1101-04"/>
    <n v="46638"/>
    <n v="0"/>
    <s v="Centralización recaudaciones julio 2026 #5731 - #5731"/>
    <n v="46638"/>
    <s v="Activo"/>
    <n v="46638"/>
    <x v="2"/>
  </r>
  <r>
    <n v="2026"/>
    <n v="7"/>
    <s v="08-07-2026"/>
    <n v="13115"/>
    <s v="1101-04"/>
    <n v="990"/>
    <n v="0"/>
    <s v="Centralización recaudaciones julio 2026 #5736 - #5736"/>
    <n v="990"/>
    <s v="Activo"/>
    <n v="990"/>
    <x v="2"/>
  </r>
  <r>
    <n v="2026"/>
    <n v="7"/>
    <s v="08-07-2026"/>
    <n v="13124"/>
    <s v="1101-04"/>
    <n v="3000"/>
    <n v="0"/>
    <s v="Centralización recaudaciones julio 2026 #5745 - #5745"/>
    <n v="3000"/>
    <s v="Activo"/>
    <n v="3000"/>
    <x v="2"/>
  </r>
  <r>
    <n v="2026"/>
    <n v="7"/>
    <s v="08-07-2026"/>
    <n v="13125"/>
    <s v="1101-04"/>
    <n v="29990"/>
    <n v="0"/>
    <s v="Centralización recaudaciones julio 2026 #5746 - #5746"/>
    <n v="29990"/>
    <s v="Activo"/>
    <n v="29990"/>
    <x v="2"/>
  </r>
  <r>
    <n v="2026"/>
    <n v="7"/>
    <s v="08-07-2026"/>
    <n v="13126"/>
    <s v="1101-04"/>
    <n v="35000"/>
    <n v="0"/>
    <s v="Centralización recaudaciones julio 2026 #5747 - #5747"/>
    <n v="35000"/>
    <s v="Activo"/>
    <n v="35000"/>
    <x v="2"/>
  </r>
  <r>
    <n v="2026"/>
    <n v="7"/>
    <s v="08-07-2026"/>
    <n v="13144"/>
    <s v="1101-04"/>
    <n v="5000"/>
    <n v="0"/>
    <s v="Centralización recaudaciones julio 2026 #5765 - #5765"/>
    <n v="5000"/>
    <s v="Activo"/>
    <n v="5000"/>
    <x v="2"/>
  </r>
  <r>
    <n v="2026"/>
    <n v="7"/>
    <s v="08-07-2026"/>
    <n v="13157"/>
    <s v="1101-04"/>
    <n v="2000"/>
    <n v="0"/>
    <s v="Centralización recaudaciones julio 2026 #5778 - #5778"/>
    <n v="2000"/>
    <s v="Activo"/>
    <n v="2000"/>
    <x v="2"/>
  </r>
  <r>
    <n v="2026"/>
    <n v="7"/>
    <s v="08-07-2026"/>
    <n v="13166"/>
    <s v="1101-04"/>
    <n v="6910"/>
    <n v="0"/>
    <s v="Centralización recaudaciones julio 2026 #5787 - #5787"/>
    <n v="6910"/>
    <s v="Activo"/>
    <n v="6910"/>
    <x v="2"/>
  </r>
  <r>
    <n v="2026"/>
    <n v="7"/>
    <s v="08-07-2026"/>
    <n v="13186"/>
    <s v="1101-04"/>
    <n v="29738"/>
    <n v="0"/>
    <s v="Centralización recaudaciones julio 2026 #5807 - #5807"/>
    <n v="29738"/>
    <s v="Activo"/>
    <n v="29738"/>
    <x v="2"/>
  </r>
  <r>
    <n v="2026"/>
    <n v="7"/>
    <s v="08-07-2026"/>
    <n v="13214"/>
    <s v="1101-04"/>
    <n v="24990"/>
    <n v="0"/>
    <s v="Centralización recaudaciones julio 2026 #5835 - #5835"/>
    <n v="24990"/>
    <s v="Activo"/>
    <n v="24990"/>
    <x v="2"/>
  </r>
  <r>
    <n v="2026"/>
    <n v="7"/>
    <s v="08-07-2026"/>
    <n v="13219"/>
    <s v="1101-04"/>
    <n v="34990"/>
    <n v="0"/>
    <s v="Centralización recaudaciones julio 2026 #5840 - #5840"/>
    <n v="34990"/>
    <s v="Activo"/>
    <n v="34990"/>
    <x v="2"/>
  </r>
  <r>
    <n v="2026"/>
    <n v="7"/>
    <s v="08-07-2026"/>
    <n v="13263"/>
    <s v="1101-04"/>
    <n v="192183"/>
    <n v="0"/>
    <s v="Centralización recaudaciones julio 2026 #5884 - #5884"/>
    <n v="192183"/>
    <s v="Activo"/>
    <n v="192183"/>
    <x v="2"/>
  </r>
  <r>
    <n v="2026"/>
    <n v="7"/>
    <s v="08-07-2026"/>
    <n v="13276"/>
    <s v="1101-04"/>
    <n v="1706000"/>
    <n v="0"/>
    <s v="Centralización recaudaciones julio 2026 #5897 - #5897"/>
    <n v="1706000"/>
    <s v="Activo"/>
    <n v="1706000"/>
    <x v="2"/>
  </r>
  <r>
    <n v="2026"/>
    <n v="7"/>
    <s v="08-07-2026"/>
    <n v="13281"/>
    <s v="1101-04"/>
    <n v="2838"/>
    <n v="0"/>
    <s v="Centralización recaudaciones julio 2026 #5902 - #5902"/>
    <n v="2838"/>
    <s v="Activo"/>
    <n v="2838"/>
    <x v="2"/>
  </r>
  <r>
    <n v="2026"/>
    <n v="7"/>
    <s v="08-07-2026"/>
    <n v="13285"/>
    <s v="1101-04"/>
    <n v="29750"/>
    <n v="0"/>
    <s v="Centralización recaudaciones julio 2026 #5906 - #5906"/>
    <n v="29750"/>
    <s v="Activo"/>
    <n v="29750"/>
    <x v="2"/>
  </r>
  <r>
    <n v="2026"/>
    <n v="7"/>
    <s v="08-07-2026"/>
    <n v="13304"/>
    <s v="1101-04"/>
    <n v="36990"/>
    <n v="0"/>
    <s v="Centralización recaudaciones julio 2026 #5925 - #5925"/>
    <n v="36990"/>
    <s v="Activo"/>
    <n v="36990"/>
    <x v="2"/>
  </r>
  <r>
    <n v="2026"/>
    <n v="7"/>
    <s v="08-07-2026"/>
    <n v="13325"/>
    <s v="1101-04"/>
    <n v="21990"/>
    <n v="0"/>
    <s v="Centralización recaudaciones julio 2026 #5946 - #5946"/>
    <n v="21990"/>
    <s v="Activo"/>
    <n v="21990"/>
    <x v="2"/>
  </r>
  <r>
    <n v="2026"/>
    <n v="7"/>
    <s v="08-07-2026"/>
    <n v="13329"/>
    <s v="1101-04"/>
    <n v="60000"/>
    <n v="0"/>
    <s v="Centralización recaudaciones julio 2026 #5950 - #5950"/>
    <n v="60000"/>
    <s v="Activo"/>
    <n v="60000"/>
    <x v="2"/>
  </r>
  <r>
    <n v="2026"/>
    <n v="7"/>
    <s v="09-07-2026"/>
    <n v="8661"/>
    <s v="1101-04"/>
    <n v="0"/>
    <n v="3872910"/>
    <s v="Pago facturas varias"/>
    <n v="-3872910"/>
    <s v="Activo"/>
    <n v="-3872910"/>
    <x v="2"/>
  </r>
  <r>
    <n v="2026"/>
    <n v="7"/>
    <s v="09-07-2026"/>
    <n v="12804"/>
    <s v="1101-04"/>
    <n v="40000"/>
    <n v="0"/>
    <s v="Centralización recaudaciones julio 2026 #5427 - #5427"/>
    <n v="40000"/>
    <s v="Activo"/>
    <n v="40000"/>
    <x v="2"/>
  </r>
  <r>
    <n v="2026"/>
    <n v="7"/>
    <s v="09-07-2026"/>
    <n v="12830"/>
    <s v="1101-04"/>
    <n v="50000"/>
    <n v="0"/>
    <s v="Centralización recaudaciones julio 2026 #5453 - #5453"/>
    <n v="50000"/>
    <s v="Activo"/>
    <n v="50000"/>
    <x v="2"/>
  </r>
  <r>
    <n v="2026"/>
    <n v="7"/>
    <s v="09-07-2026"/>
    <n v="12873"/>
    <s v="1101-04"/>
    <n v="288274"/>
    <n v="0"/>
    <s v="Centralización recaudaciones julio 2026 #5496 - #5496"/>
    <n v="288274"/>
    <s v="Activo"/>
    <n v="288274"/>
    <x v="2"/>
  </r>
  <r>
    <n v="2026"/>
    <n v="7"/>
    <s v="09-07-2026"/>
    <n v="12881"/>
    <s v="1101-04"/>
    <n v="61980"/>
    <n v="0"/>
    <s v="Centralización recaudaciones julio 2026 #5504 - #5504"/>
    <n v="61980"/>
    <s v="Activo"/>
    <n v="61980"/>
    <x v="2"/>
  </r>
  <r>
    <n v="2026"/>
    <n v="7"/>
    <s v="09-07-2026"/>
    <n v="12907"/>
    <s v="1101-04"/>
    <n v="60980"/>
    <n v="0"/>
    <s v="Centralización recaudaciones julio 2026 #5530 - #5530"/>
    <n v="60980"/>
    <s v="Activo"/>
    <n v="60980"/>
    <x v="2"/>
  </r>
  <r>
    <n v="2026"/>
    <n v="7"/>
    <s v="09-07-2026"/>
    <n v="12928"/>
    <s v="1101-04"/>
    <n v="59980"/>
    <n v="0"/>
    <s v="Centralización recaudaciones julio 2026 #5549 - #5549"/>
    <n v="59980"/>
    <s v="Activo"/>
    <n v="59980"/>
    <x v="2"/>
  </r>
  <r>
    <n v="2026"/>
    <n v="7"/>
    <s v="09-07-2026"/>
    <n v="12956"/>
    <s v="1101-04"/>
    <n v="24990"/>
    <n v="0"/>
    <s v="Centralización recaudaciones julio 2026 #5577 - #5577"/>
    <n v="24990"/>
    <s v="Activo"/>
    <n v="24990"/>
    <x v="2"/>
  </r>
  <r>
    <n v="2026"/>
    <n v="7"/>
    <s v="09-07-2026"/>
    <n v="12981"/>
    <s v="1101-04"/>
    <n v="40000"/>
    <n v="0"/>
    <s v="Centralización recaudaciones julio 2026 #5602 - #5602"/>
    <n v="40000"/>
    <s v="Activo"/>
    <n v="40000"/>
    <x v="2"/>
  </r>
  <r>
    <n v="2026"/>
    <n v="7"/>
    <s v="09-07-2026"/>
    <n v="13038"/>
    <s v="1101-04"/>
    <n v="35000"/>
    <n v="0"/>
    <s v="Centralización recaudaciones julio 2026 #5659 - #5659"/>
    <n v="35000"/>
    <s v="Activo"/>
    <n v="35000"/>
    <x v="2"/>
  </r>
  <r>
    <n v="2026"/>
    <n v="7"/>
    <s v="09-07-2026"/>
    <n v="13040"/>
    <s v="1101-04"/>
    <n v="15000"/>
    <n v="0"/>
    <s v="Centralización recaudaciones julio 2026 #5661 - #5661"/>
    <n v="15000"/>
    <s v="Activo"/>
    <n v="15000"/>
    <x v="2"/>
  </r>
  <r>
    <n v="2026"/>
    <n v="7"/>
    <s v="09-07-2026"/>
    <n v="13046"/>
    <s v="1101-04"/>
    <n v="14662"/>
    <n v="0"/>
    <s v="Centralización recaudaciones julio 2026 #5667 - #5667"/>
    <n v="14662"/>
    <s v="Activo"/>
    <n v="14662"/>
    <x v="2"/>
  </r>
  <r>
    <n v="2026"/>
    <n v="7"/>
    <s v="09-07-2026"/>
    <n v="13072"/>
    <s v="1101-04"/>
    <n v="28990"/>
    <n v="0"/>
    <s v="Centralización recaudaciones julio 2026 #5693 - #5693"/>
    <n v="28990"/>
    <s v="Activo"/>
    <n v="28990"/>
    <x v="2"/>
  </r>
  <r>
    <n v="2026"/>
    <n v="7"/>
    <s v="09-07-2026"/>
    <n v="13077"/>
    <s v="1101-04"/>
    <n v="2983"/>
    <n v="0"/>
    <s v="Centralización recaudaciones julio 2026 #5698 - #5698"/>
    <n v="2983"/>
    <s v="Activo"/>
    <n v="2983"/>
    <x v="2"/>
  </r>
  <r>
    <n v="2026"/>
    <n v="7"/>
    <s v="09-07-2026"/>
    <n v="13081"/>
    <s v="1101-04"/>
    <n v="28990"/>
    <n v="0"/>
    <s v="Centralización recaudaciones julio 2026 #5702 - #5702"/>
    <n v="28990"/>
    <s v="Activo"/>
    <n v="28990"/>
    <x v="2"/>
  </r>
  <r>
    <n v="2026"/>
    <n v="7"/>
    <s v="09-07-2026"/>
    <n v="13091"/>
    <s v="1101-04"/>
    <n v="206324"/>
    <n v="0"/>
    <s v="Centralización recaudaciones julio 2026 #5712 - #5712"/>
    <n v="206324"/>
    <s v="Activo"/>
    <n v="206324"/>
    <x v="2"/>
  </r>
  <r>
    <n v="2026"/>
    <n v="7"/>
    <s v="09-07-2026"/>
    <n v="13096"/>
    <s v="1101-04"/>
    <n v="15000"/>
    <n v="0"/>
    <s v="Centralización recaudaciones julio 2026 #5717 - #5717"/>
    <n v="15000"/>
    <s v="Activo"/>
    <n v="15000"/>
    <x v="2"/>
  </r>
  <r>
    <n v="2026"/>
    <n v="7"/>
    <s v="09-07-2026"/>
    <n v="13129"/>
    <s v="1101-04"/>
    <n v="19039"/>
    <n v="0"/>
    <s v="Centralización recaudaciones julio 2026 #5750 - #5750"/>
    <n v="19039"/>
    <s v="Activo"/>
    <n v="19039"/>
    <x v="2"/>
  </r>
  <r>
    <n v="2026"/>
    <n v="7"/>
    <s v="09-07-2026"/>
    <n v="13138"/>
    <s v="1101-04"/>
    <n v="18129"/>
    <n v="0"/>
    <s v="Centralización recaudaciones julio 2026 #5759 - #5759"/>
    <n v="18129"/>
    <s v="Activo"/>
    <n v="18129"/>
    <x v="2"/>
  </r>
  <r>
    <n v="2026"/>
    <n v="7"/>
    <s v="09-07-2026"/>
    <n v="13164"/>
    <s v="1101-04"/>
    <n v="21990"/>
    <n v="0"/>
    <s v="Centralización recaudaciones julio 2026 #5785 - #5785"/>
    <n v="21990"/>
    <s v="Activo"/>
    <n v="21990"/>
    <x v="2"/>
  </r>
  <r>
    <n v="2026"/>
    <n v="7"/>
    <s v="09-07-2026"/>
    <n v="13185"/>
    <s v="1101-04"/>
    <n v="367813"/>
    <n v="0"/>
    <s v="Centralización recaudaciones julio 2026 #5806 - #5806"/>
    <n v="367813"/>
    <s v="Activo"/>
    <n v="367813"/>
    <x v="2"/>
  </r>
  <r>
    <n v="2026"/>
    <n v="7"/>
    <s v="09-07-2026"/>
    <n v="13188"/>
    <s v="1101-04"/>
    <n v="21990"/>
    <n v="0"/>
    <s v="Centralización recaudaciones julio 2026 #5809 - #5809"/>
    <n v="21990"/>
    <s v="Activo"/>
    <n v="21990"/>
    <x v="2"/>
  </r>
  <r>
    <n v="2026"/>
    <n v="7"/>
    <s v="09-07-2026"/>
    <n v="13192"/>
    <s v="1101-04"/>
    <n v="17036"/>
    <n v="0"/>
    <s v="Centralización recaudaciones julio 2026 #5813 - #5813"/>
    <n v="17036"/>
    <s v="Activo"/>
    <n v="17036"/>
    <x v="2"/>
  </r>
  <r>
    <n v="2026"/>
    <n v="7"/>
    <s v="09-07-2026"/>
    <n v="13204"/>
    <s v="1101-04"/>
    <n v="110000"/>
    <n v="0"/>
    <s v="Centralización recaudaciones julio 2026 #5825 - #5825"/>
    <n v="110000"/>
    <s v="Activo"/>
    <n v="110000"/>
    <x v="2"/>
  </r>
  <r>
    <n v="2026"/>
    <n v="7"/>
    <s v="09-07-2026"/>
    <n v="13207"/>
    <s v="1101-04"/>
    <n v="14990"/>
    <n v="0"/>
    <s v="Centralización recaudaciones julio 2026 #5828 - #5828"/>
    <n v="14990"/>
    <s v="Activo"/>
    <n v="14990"/>
    <x v="2"/>
  </r>
  <r>
    <n v="2026"/>
    <n v="7"/>
    <s v="09-07-2026"/>
    <n v="13268"/>
    <s v="1101-04"/>
    <n v="576548"/>
    <n v="0"/>
    <s v="Centralización recaudaciones julio 2026 #5889 - #5889"/>
    <n v="576548"/>
    <s v="Activo"/>
    <n v="576548"/>
    <x v="2"/>
  </r>
  <r>
    <n v="2026"/>
    <n v="7"/>
    <s v="10-07-2026"/>
    <n v="12669"/>
    <s v="1101-04"/>
    <n v="59880"/>
    <n v="0"/>
    <s v="Centralización recaudaciones julio 2026 #5298 - #5298"/>
    <n v="59880"/>
    <s v="Activo"/>
    <n v="59880"/>
    <x v="2"/>
  </r>
  <r>
    <n v="2026"/>
    <n v="7"/>
    <s v="10-07-2026"/>
    <n v="12783"/>
    <s v="1101-04"/>
    <n v="576239"/>
    <n v="0"/>
    <s v="Centralización recaudaciones julio 2026 #5406 - #5406"/>
    <n v="576239"/>
    <s v="Activo"/>
    <n v="576239"/>
    <x v="2"/>
  </r>
  <r>
    <n v="2026"/>
    <n v="7"/>
    <s v="10-07-2026"/>
    <n v="12814"/>
    <s v="1101-04"/>
    <n v="354"/>
    <n v="0"/>
    <s v="Centralización recaudaciones julio 2026 #5437 - #5437"/>
    <n v="354"/>
    <s v="Activo"/>
    <n v="354"/>
    <x v="2"/>
  </r>
  <r>
    <n v="2026"/>
    <n v="7"/>
    <s v="10-07-2026"/>
    <n v="12947"/>
    <s v="1101-04"/>
    <n v="26990"/>
    <n v="0"/>
    <s v="Centralización recaudaciones julio 2026 #5568 - #5568"/>
    <n v="26990"/>
    <s v="Activo"/>
    <n v="26990"/>
    <x v="2"/>
  </r>
  <r>
    <n v="2026"/>
    <n v="7"/>
    <s v="10-07-2026"/>
    <n v="13041"/>
    <s v="1101-04"/>
    <n v="6990"/>
    <n v="0"/>
    <s v="Centralización recaudaciones julio 2026 #5662 - #5662"/>
    <n v="6990"/>
    <s v="Activo"/>
    <n v="6990"/>
    <x v="2"/>
  </r>
  <r>
    <n v="2026"/>
    <n v="7"/>
    <s v="10-07-2026"/>
    <n v="13078"/>
    <s v="1101-04"/>
    <n v="429427"/>
    <n v="0"/>
    <s v="Centralización recaudaciones julio 2026 #5699 - #5699"/>
    <n v="429427"/>
    <s v="Activo"/>
    <n v="429427"/>
    <x v="2"/>
  </r>
  <r>
    <n v="2026"/>
    <n v="7"/>
    <s v="10-07-2026"/>
    <n v="13097"/>
    <s v="1101-04"/>
    <n v="6990"/>
    <n v="0"/>
    <s v="Centralización recaudaciones julio 2026 #5718 - #5718"/>
    <n v="6990"/>
    <s v="Activo"/>
    <n v="6990"/>
    <x v="2"/>
  </r>
  <r>
    <n v="2026"/>
    <n v="7"/>
    <s v="10-07-2026"/>
    <n v="13130"/>
    <s v="1101-04"/>
    <n v="2951"/>
    <n v="0"/>
    <s v="Centralización recaudaciones julio 2026 #5751 - #5751"/>
    <n v="2951"/>
    <s v="Activo"/>
    <n v="2951"/>
    <x v="2"/>
  </r>
  <r>
    <n v="2026"/>
    <n v="7"/>
    <s v="10-07-2026"/>
    <n v="13139"/>
    <s v="1101-04"/>
    <n v="1159"/>
    <n v="0"/>
    <s v="Centralización recaudaciones julio 2026 #5760 - #5760"/>
    <n v="1159"/>
    <s v="Activo"/>
    <n v="1159"/>
    <x v="2"/>
  </r>
  <r>
    <n v="2026"/>
    <n v="7"/>
    <s v="10-07-2026"/>
    <n v="13191"/>
    <s v="1101-04"/>
    <n v="28990"/>
    <n v="0"/>
    <s v="Centralización recaudaciones julio 2026 #5812 - #5812"/>
    <n v="28990"/>
    <s v="Activo"/>
    <n v="28990"/>
    <x v="2"/>
  </r>
  <r>
    <n v="2026"/>
    <n v="7"/>
    <s v="10-07-2026"/>
    <n v="13208"/>
    <s v="1101-04"/>
    <n v="7000"/>
    <n v="0"/>
    <s v="Centralización recaudaciones julio 2026 #5829 - #5829"/>
    <n v="7000"/>
    <s v="Activo"/>
    <n v="7000"/>
    <x v="2"/>
  </r>
  <r>
    <n v="2026"/>
    <n v="7"/>
    <s v="10-07-2026"/>
    <n v="13215"/>
    <s v="1101-04"/>
    <n v="48000"/>
    <n v="0"/>
    <s v="Centralización recaudaciones julio 2026 #5836 - #5836"/>
    <n v="48000"/>
    <s v="Activo"/>
    <n v="48000"/>
    <x v="2"/>
  </r>
  <r>
    <n v="2026"/>
    <n v="7"/>
    <s v="10-07-2026"/>
    <n v="13231"/>
    <s v="1101-04"/>
    <n v="336320"/>
    <n v="0"/>
    <s v="Centralización recaudaciones julio 2026 #5852 - #5852"/>
    <n v="336320"/>
    <s v="Activo"/>
    <n v="336320"/>
    <x v="2"/>
  </r>
  <r>
    <n v="2026"/>
    <n v="7"/>
    <s v="10-07-2026"/>
    <n v="10860"/>
    <s v="1101-04"/>
    <n v="0"/>
    <n v="4000000"/>
    <s v="Traspaso entre bancos"/>
    <n v="-4000000"/>
    <s v="Activo"/>
    <n v="-4000000"/>
    <x v="2"/>
  </r>
  <r>
    <n v="2026"/>
    <n v="7"/>
    <s v="10-07-2026"/>
    <n v="10861"/>
    <s v="1101-04"/>
    <n v="0"/>
    <n v="5000000"/>
    <s v="Traspaso entre bancos"/>
    <n v="-5000000"/>
    <s v="Activo"/>
    <n v="-5000000"/>
    <x v="2"/>
  </r>
  <r>
    <n v="2026"/>
    <n v="7"/>
    <s v="13-07-2026"/>
    <n v="12863"/>
    <s v="1101-04"/>
    <n v="275415"/>
    <n v="0"/>
    <s v="Centralización recaudaciones julio 2026 #5486 - #5486"/>
    <n v="275415"/>
    <s v="Activo"/>
    <n v="275415"/>
    <x v="2"/>
  </r>
  <r>
    <n v="2026"/>
    <n v="7"/>
    <s v="13-07-2026"/>
    <n v="12874"/>
    <s v="1101-04"/>
    <n v="573405"/>
    <n v="0"/>
    <s v="Centralización recaudaciones julio 2026 #5497 - #5497"/>
    <n v="573405"/>
    <s v="Activo"/>
    <n v="573405"/>
    <x v="2"/>
  </r>
  <r>
    <n v="2026"/>
    <n v="7"/>
    <s v="13-07-2026"/>
    <n v="12951"/>
    <s v="1101-04"/>
    <n v="31990"/>
    <n v="0"/>
    <s v="Centralización recaudaciones julio 2026 #5572 - #5572"/>
    <n v="31990"/>
    <s v="Activo"/>
    <n v="31990"/>
    <x v="2"/>
  </r>
  <r>
    <n v="2026"/>
    <n v="7"/>
    <s v="13-07-2026"/>
    <n v="12985"/>
    <s v="1101-04"/>
    <n v="336320"/>
    <n v="0"/>
    <s v="Centralización recaudaciones julio 2026 #5606 - #5606"/>
    <n v="336320"/>
    <s v="Activo"/>
    <n v="336320"/>
    <x v="2"/>
  </r>
  <r>
    <n v="2026"/>
    <n v="7"/>
    <s v="13-07-2026"/>
    <n v="13042"/>
    <s v="1101-04"/>
    <n v="17990"/>
    <n v="0"/>
    <s v="Centralización recaudaciones julio 2026 #5663 - #5663"/>
    <n v="17990"/>
    <s v="Activo"/>
    <n v="17990"/>
    <x v="2"/>
  </r>
  <r>
    <n v="2026"/>
    <n v="7"/>
    <s v="13-07-2026"/>
    <n v="13085"/>
    <s v="1101-04"/>
    <n v="28990"/>
    <n v="0"/>
    <s v="Centralización recaudaciones julio 2026 #5706 - #5706"/>
    <n v="28990"/>
    <s v="Activo"/>
    <n v="28990"/>
    <x v="2"/>
  </r>
  <r>
    <n v="2026"/>
    <n v="7"/>
    <s v="13-07-2026"/>
    <n v="13140"/>
    <s v="1101-04"/>
    <n v="1018"/>
    <n v="0"/>
    <s v="Centralización recaudaciones julio 2026 #5761 - #5761"/>
    <n v="1018"/>
    <s v="Activo"/>
    <n v="1018"/>
    <x v="2"/>
  </r>
  <r>
    <n v="2026"/>
    <n v="7"/>
    <s v="13-07-2026"/>
    <n v="13183"/>
    <s v="1101-04"/>
    <n v="28990"/>
    <n v="0"/>
    <s v="Centralización recaudaciones julio 2026 #5804 - #5804"/>
    <n v="28990"/>
    <s v="Activo"/>
    <n v="28990"/>
    <x v="2"/>
  </r>
  <r>
    <n v="2026"/>
    <n v="7"/>
    <s v="13-07-2026"/>
    <n v="13217"/>
    <s v="1101-04"/>
    <n v="208250"/>
    <n v="0"/>
    <s v="Centralización recaudaciones julio 2026 #5838 - #5838"/>
    <n v="208250"/>
    <s v="Activo"/>
    <n v="208250"/>
    <x v="2"/>
  </r>
  <r>
    <n v="2026"/>
    <n v="7"/>
    <s v="13-07-2026"/>
    <n v="13224"/>
    <s v="1101-04"/>
    <n v="54990"/>
    <n v="0"/>
    <s v="Centralización recaudaciones julio 2026 #5845 - #5845"/>
    <n v="54990"/>
    <s v="Activo"/>
    <n v="54990"/>
    <x v="2"/>
  </r>
  <r>
    <n v="2026"/>
    <n v="7"/>
    <s v="13-07-2026"/>
    <n v="13235"/>
    <s v="1101-04"/>
    <n v="15000"/>
    <n v="0"/>
    <s v="Centralización recaudaciones julio 2026 #5856 - #5856"/>
    <n v="15000"/>
    <s v="Activo"/>
    <n v="15000"/>
    <x v="2"/>
  </r>
  <r>
    <n v="2026"/>
    <n v="7"/>
    <s v="13-07-2026"/>
    <n v="13238"/>
    <s v="1101-04"/>
    <n v="28990"/>
    <n v="0"/>
    <s v="Centralización recaudaciones julio 2026 #5859 - #5859"/>
    <n v="28990"/>
    <s v="Activo"/>
    <n v="28990"/>
    <x v="2"/>
  </r>
  <r>
    <n v="2026"/>
    <n v="7"/>
    <s v="13-07-2026"/>
    <n v="13254"/>
    <s v="1101-04"/>
    <n v="14990"/>
    <n v="0"/>
    <s v="Centralización recaudaciones julio 2026 #5875 - #5875"/>
    <n v="14990"/>
    <s v="Activo"/>
    <n v="14990"/>
    <x v="2"/>
  </r>
  <r>
    <n v="2026"/>
    <n v="7"/>
    <s v="13-07-2026"/>
    <n v="13333"/>
    <s v="1101-04"/>
    <n v="9231"/>
    <n v="0"/>
    <s v="Centralización recaudaciones julio 2026 #5954 - #5954"/>
    <n v="9231"/>
    <s v="Activo"/>
    <n v="9231"/>
    <x v="2"/>
  </r>
  <r>
    <n v="2026"/>
    <n v="7"/>
    <s v="14-07-2026"/>
    <n v="13043"/>
    <s v="1101-04"/>
    <n v="5000"/>
    <n v="0"/>
    <s v="Centralización recaudaciones julio 2026 #5664 - #5664"/>
    <n v="5000"/>
    <s v="Activo"/>
    <n v="5000"/>
    <x v="2"/>
  </r>
  <r>
    <n v="2026"/>
    <n v="7"/>
    <s v="14-07-2026"/>
    <n v="13073"/>
    <s v="1101-04"/>
    <n v="240228"/>
    <n v="0"/>
    <s v="Centralización recaudaciones julio 2026 #5694 - #5694"/>
    <n v="240228"/>
    <s v="Activo"/>
    <n v="240228"/>
    <x v="2"/>
  </r>
  <r>
    <n v="2026"/>
    <n v="7"/>
    <s v="14-07-2026"/>
    <n v="13131"/>
    <s v="1101-04"/>
    <n v="21990"/>
    <n v="0"/>
    <s v="Centralización recaudaciones julio 2026 #5752 - #5752"/>
    <n v="21990"/>
    <s v="Activo"/>
    <n v="21990"/>
    <x v="2"/>
  </r>
  <r>
    <n v="2026"/>
    <n v="7"/>
    <s v="14-07-2026"/>
    <n v="13141"/>
    <s v="1101-04"/>
    <n v="1684"/>
    <n v="0"/>
    <s v="Centralización recaudaciones julio 2026 #5762 - #5762"/>
    <n v="1684"/>
    <s v="Activo"/>
    <n v="1684"/>
    <x v="2"/>
  </r>
  <r>
    <n v="2026"/>
    <n v="7"/>
    <s v="14-07-2026"/>
    <n v="13163"/>
    <s v="1101-04"/>
    <n v="36980"/>
    <n v="0"/>
    <s v="Centralización recaudaciones julio 2026 #5784 - #5784"/>
    <n v="36980"/>
    <s v="Activo"/>
    <n v="36980"/>
    <x v="2"/>
  </r>
  <r>
    <n v="2026"/>
    <n v="7"/>
    <s v="14-07-2026"/>
    <n v="13193"/>
    <s v="1101-04"/>
    <n v="4198"/>
    <n v="0"/>
    <s v="Centralización recaudaciones julio 2026 #5814 - #5814"/>
    <n v="4198"/>
    <s v="Activo"/>
    <n v="4198"/>
    <x v="2"/>
  </r>
  <r>
    <n v="2026"/>
    <n v="7"/>
    <s v="14-07-2026"/>
    <n v="13236"/>
    <s v="1101-04"/>
    <n v="6990"/>
    <n v="0"/>
    <s v="Centralización recaudaciones julio 2026 #5857 - #5857"/>
    <n v="6990"/>
    <s v="Activo"/>
    <n v="6990"/>
    <x v="2"/>
  </r>
  <r>
    <n v="2026"/>
    <n v="7"/>
    <s v="14-07-2026"/>
    <n v="13255"/>
    <s v="1101-04"/>
    <n v="7000"/>
    <n v="0"/>
    <s v="Centralización recaudaciones julio 2026 #5876 - #5876"/>
    <n v="7000"/>
    <s v="Activo"/>
    <n v="7000"/>
    <x v="2"/>
  </r>
  <r>
    <n v="2026"/>
    <n v="7"/>
    <s v="15-07-2026"/>
    <n v="12817"/>
    <s v="1101-04"/>
    <n v="124000"/>
    <n v="0"/>
    <s v="Centralización recaudaciones julio 2026 #5440 - #5440"/>
    <n v="124000"/>
    <s v="Activo"/>
    <n v="124000"/>
    <x v="2"/>
  </r>
  <r>
    <n v="2026"/>
    <n v="7"/>
    <s v="15-07-2026"/>
    <n v="13194"/>
    <s v="1101-04"/>
    <n v="507"/>
    <n v="0"/>
    <s v="Centralización recaudaciones julio 2026 #5815 - #5815"/>
    <n v="507"/>
    <s v="Activo"/>
    <n v="507"/>
    <x v="2"/>
  </r>
  <r>
    <n v="2026"/>
    <n v="7"/>
    <s v="15-07-2026"/>
    <n v="13293"/>
    <s v="1101-04"/>
    <n v="336320"/>
    <n v="0"/>
    <s v="Centralización recaudaciones julio 2026 #5914 - #5914"/>
    <n v="336320"/>
    <s v="Activo"/>
    <n v="336320"/>
    <x v="2"/>
  </r>
  <r>
    <n v="2026"/>
    <n v="7"/>
    <s v="17-07-2026"/>
    <n v="8662"/>
    <s v="1101-04"/>
    <n v="0"/>
    <n v="200000"/>
    <s v="Pago remuneraciones"/>
    <n v="-200000"/>
    <s v="Activo"/>
    <n v="-200000"/>
    <x v="2"/>
  </r>
  <r>
    <n v="2026"/>
    <n v="7"/>
    <s v="17-07-2026"/>
    <n v="12658"/>
    <s v="1101-04"/>
    <n v="40000"/>
    <n v="0"/>
    <s v="Centralización recaudaciones julio 2026 #5287 - #5287"/>
    <n v="40000"/>
    <s v="Activo"/>
    <n v="40000"/>
    <x v="2"/>
  </r>
  <r>
    <n v="2026"/>
    <n v="7"/>
    <s v="17-07-2026"/>
    <n v="12699"/>
    <s v="1101-04"/>
    <n v="90980"/>
    <n v="0"/>
    <s v="Centralización recaudaciones julio 2026 #5328 - #5328"/>
    <n v="90980"/>
    <s v="Activo"/>
    <n v="90980"/>
    <x v="2"/>
  </r>
  <r>
    <n v="2026"/>
    <n v="7"/>
    <s v="17-07-2026"/>
    <n v="12864"/>
    <s v="1101-04"/>
    <n v="2670865"/>
    <n v="0"/>
    <s v="Centralización recaudaciones julio 2026 #5487 - #5487"/>
    <n v="2670865"/>
    <s v="Activo"/>
    <n v="2670865"/>
    <x v="2"/>
  </r>
  <r>
    <n v="2026"/>
    <n v="7"/>
    <s v="17-07-2026"/>
    <n v="12943"/>
    <s v="1101-04"/>
    <n v="28000"/>
    <n v="0"/>
    <s v="Centralización recaudaciones julio 2026 #5564 - #5564"/>
    <n v="28000"/>
    <s v="Activo"/>
    <n v="28000"/>
    <x v="2"/>
  </r>
  <r>
    <n v="2026"/>
    <n v="7"/>
    <s v="17-07-2026"/>
    <n v="12950"/>
    <s v="1101-04"/>
    <n v="31990"/>
    <n v="0"/>
    <s v="Centralización recaudaciones julio 2026 #5571 - #5571"/>
    <n v="31990"/>
    <s v="Activo"/>
    <n v="31990"/>
    <x v="2"/>
  </r>
  <r>
    <n v="2026"/>
    <n v="7"/>
    <s v="17-07-2026"/>
    <n v="12954"/>
    <s v="1101-04"/>
    <n v="24000"/>
    <n v="0"/>
    <s v="Centralización recaudaciones julio 2026 #5575 - #5575"/>
    <n v="24000"/>
    <s v="Activo"/>
    <n v="24000"/>
    <x v="2"/>
  </r>
  <r>
    <n v="2026"/>
    <n v="7"/>
    <s v="17-07-2026"/>
    <n v="12978"/>
    <s v="1101-04"/>
    <n v="28990"/>
    <n v="0"/>
    <s v="Centralización recaudaciones julio 2026 #5599 - #5599"/>
    <n v="28990"/>
    <s v="Activo"/>
    <n v="28990"/>
    <x v="2"/>
  </r>
  <r>
    <n v="2026"/>
    <n v="7"/>
    <s v="17-07-2026"/>
    <n v="13049"/>
    <s v="1101-04"/>
    <n v="28971"/>
    <n v="0"/>
    <s v="Centralización recaudaciones julio 2026 #5670 - #5670"/>
    <n v="28971"/>
    <s v="Activo"/>
    <n v="28971"/>
    <x v="2"/>
  </r>
  <r>
    <n v="2026"/>
    <n v="7"/>
    <s v="17-07-2026"/>
    <n v="13050"/>
    <s v="1101-04"/>
    <n v="133280"/>
    <n v="0"/>
    <s v="Centralización recaudaciones julio 2026 #5671 - #5671"/>
    <n v="133280"/>
    <s v="Activo"/>
    <n v="133280"/>
    <x v="2"/>
  </r>
  <r>
    <n v="2026"/>
    <n v="7"/>
    <s v="17-07-2026"/>
    <n v="13075"/>
    <s v="1101-04"/>
    <n v="32980"/>
    <n v="0"/>
    <s v="Centralización recaudaciones julio 2026 #5696 - #5696"/>
    <n v="32980"/>
    <s v="Activo"/>
    <n v="32980"/>
    <x v="2"/>
  </r>
  <r>
    <n v="2026"/>
    <n v="7"/>
    <s v="17-07-2026"/>
    <n v="13132"/>
    <s v="1101-04"/>
    <n v="1000"/>
    <n v="0"/>
    <s v="Centralización recaudaciones julio 2026 #5753 - #5753"/>
    <n v="1000"/>
    <s v="Activo"/>
    <n v="1000"/>
    <x v="2"/>
  </r>
  <r>
    <n v="2026"/>
    <n v="7"/>
    <s v="17-07-2026"/>
    <n v="13145"/>
    <s v="1101-04"/>
    <n v="23790"/>
    <n v="0"/>
    <s v="Centralización recaudaciones julio 2026 #5766 - #5766"/>
    <n v="23790"/>
    <s v="Activo"/>
    <n v="23790"/>
    <x v="2"/>
  </r>
  <r>
    <n v="2026"/>
    <n v="7"/>
    <s v="17-07-2026"/>
    <n v="13184"/>
    <s v="1101-04"/>
    <n v="28990"/>
    <n v="0"/>
    <s v="Centralización recaudaciones julio 2026 #5805 - #5805"/>
    <n v="28990"/>
    <s v="Activo"/>
    <n v="28990"/>
    <x v="2"/>
  </r>
  <r>
    <n v="2026"/>
    <n v="7"/>
    <s v="17-07-2026"/>
    <n v="13195"/>
    <s v="1101-04"/>
    <n v="249"/>
    <n v="0"/>
    <s v="Centralización recaudaciones julio 2026 #5816 - #5816"/>
    <n v="249"/>
    <s v="Activo"/>
    <n v="249"/>
    <x v="2"/>
  </r>
  <r>
    <n v="2026"/>
    <n v="7"/>
    <s v="17-07-2026"/>
    <n v="13243"/>
    <s v="1101-04"/>
    <n v="2478886"/>
    <n v="0"/>
    <s v="Centralización recaudaciones julio 2026 #5864 - #5864"/>
    <n v="2478886"/>
    <s v="Activo"/>
    <n v="2478886"/>
    <x v="2"/>
  </r>
  <r>
    <n v="2026"/>
    <n v="7"/>
    <s v="17-07-2026"/>
    <n v="13247"/>
    <s v="1101-04"/>
    <n v="31970"/>
    <n v="0"/>
    <s v="Centralización recaudaciones julio 2026 #5868 - #5868"/>
    <n v="31970"/>
    <s v="Activo"/>
    <n v="31970"/>
    <x v="2"/>
  </r>
  <r>
    <n v="2026"/>
    <n v="7"/>
    <s v="17-07-2026"/>
    <n v="13264"/>
    <s v="1101-04"/>
    <n v="971"/>
    <n v="0"/>
    <s v="Centralización recaudaciones julio 2026 #5885 - #5885"/>
    <n v="971"/>
    <s v="Activo"/>
    <n v="971"/>
    <x v="2"/>
  </r>
  <r>
    <n v="2026"/>
    <n v="7"/>
    <s v="17-07-2026"/>
    <n v="10879"/>
    <s v="1101-04"/>
    <n v="0"/>
    <n v="5000000"/>
    <s v="Traspaso entre cuentas"/>
    <n v="-5000000"/>
    <s v="Activo"/>
    <n v="-5000000"/>
    <x v="2"/>
  </r>
  <r>
    <n v="2026"/>
    <n v="7"/>
    <s v="20-07-2026"/>
    <n v="12705"/>
    <s v="1101-04"/>
    <n v="70052"/>
    <n v="0"/>
    <s v="Centralización recaudaciones julio 2026 #5334 - #5334"/>
    <n v="70052"/>
    <s v="Activo"/>
    <n v="70052"/>
    <x v="2"/>
  </r>
  <r>
    <n v="2026"/>
    <n v="7"/>
    <s v="20-07-2026"/>
    <n v="12777"/>
    <s v="1101-04"/>
    <n v="31990"/>
    <n v="0"/>
    <s v="Centralización recaudaciones julio 2026 #5403 - #5403"/>
    <n v="31990"/>
    <s v="Activo"/>
    <n v="31990"/>
    <x v="2"/>
  </r>
  <r>
    <n v="2026"/>
    <n v="7"/>
    <s v="20-07-2026"/>
    <n v="12816"/>
    <s v="1101-04"/>
    <n v="40000"/>
    <n v="0"/>
    <s v="Centralización recaudaciones julio 2026 #5439 - #5439"/>
    <n v="40000"/>
    <s v="Activo"/>
    <n v="40000"/>
    <x v="2"/>
  </r>
  <r>
    <n v="2026"/>
    <n v="7"/>
    <s v="20-07-2026"/>
    <n v="12835"/>
    <s v="1101-04"/>
    <n v="15990"/>
    <n v="0"/>
    <s v="Centralización recaudaciones julio 2026 #5458 - #5458"/>
    <n v="15990"/>
    <s v="Activo"/>
    <n v="15990"/>
    <x v="2"/>
  </r>
  <r>
    <n v="2026"/>
    <n v="7"/>
    <s v="20-07-2026"/>
    <n v="12893"/>
    <s v="1101-04"/>
    <n v="31990"/>
    <n v="0"/>
    <s v="Centralización recaudaciones julio 2026 #5516 - #5516"/>
    <n v="31990"/>
    <s v="Activo"/>
    <n v="31990"/>
    <x v="2"/>
  </r>
  <r>
    <n v="2026"/>
    <n v="7"/>
    <s v="20-07-2026"/>
    <n v="12899"/>
    <s v="1101-04"/>
    <n v="31990"/>
    <n v="0"/>
    <s v="Centralización recaudaciones julio 2026 #5522 - #5522"/>
    <n v="31990"/>
    <s v="Activo"/>
    <n v="31990"/>
    <x v="2"/>
  </r>
  <r>
    <n v="2026"/>
    <n v="7"/>
    <s v="20-07-2026"/>
    <n v="12962"/>
    <s v="1101-04"/>
    <n v="24990"/>
    <n v="0"/>
    <s v="Centralización recaudaciones julio 2026 #5583 - #5583"/>
    <n v="24990"/>
    <s v="Activo"/>
    <n v="24990"/>
    <x v="2"/>
  </r>
  <r>
    <n v="2026"/>
    <n v="7"/>
    <s v="20-07-2026"/>
    <n v="12982"/>
    <s v="1101-04"/>
    <n v="24990"/>
    <n v="0"/>
    <s v="Centralización recaudaciones julio 2026 #5603 - #5603"/>
    <n v="24990"/>
    <s v="Activo"/>
    <n v="24990"/>
    <x v="2"/>
  </r>
  <r>
    <n v="2026"/>
    <n v="7"/>
    <s v="20-07-2026"/>
    <n v="12998"/>
    <s v="1101-04"/>
    <n v="24990"/>
    <n v="0"/>
    <s v="Centralización recaudaciones julio 2026 #5619 - #5619"/>
    <n v="24990"/>
    <s v="Activo"/>
    <n v="24990"/>
    <x v="2"/>
  </r>
  <r>
    <n v="2026"/>
    <n v="7"/>
    <s v="20-07-2026"/>
    <n v="13007"/>
    <s v="1101-04"/>
    <n v="24990"/>
    <n v="0"/>
    <s v="Centralización recaudaciones julio 2026 #5628 - #5628"/>
    <n v="24990"/>
    <s v="Activo"/>
    <n v="24990"/>
    <x v="2"/>
  </r>
  <r>
    <n v="2026"/>
    <n v="7"/>
    <s v="20-07-2026"/>
    <n v="13009"/>
    <s v="1101-04"/>
    <n v="24990"/>
    <n v="0"/>
    <s v="Centralización recaudaciones julio 2026 #5630 - #5630"/>
    <n v="24990"/>
    <s v="Activo"/>
    <n v="24990"/>
    <x v="2"/>
  </r>
  <r>
    <n v="2026"/>
    <n v="7"/>
    <s v="20-07-2026"/>
    <n v="13017"/>
    <s v="1101-04"/>
    <n v="24990"/>
    <n v="0"/>
    <s v="Centralización recaudaciones julio 2026 #5638 - #5638"/>
    <n v="24990"/>
    <s v="Activo"/>
    <n v="24990"/>
    <x v="2"/>
  </r>
  <r>
    <n v="2026"/>
    <n v="7"/>
    <s v="20-07-2026"/>
    <n v="13031"/>
    <s v="1101-04"/>
    <n v="32990"/>
    <n v="0"/>
    <s v="Centralización recaudaciones julio 2026 #5652 - #5652"/>
    <n v="32990"/>
    <s v="Activo"/>
    <n v="32990"/>
    <x v="2"/>
  </r>
  <r>
    <n v="2026"/>
    <n v="7"/>
    <s v="20-07-2026"/>
    <n v="13058"/>
    <s v="1101-04"/>
    <n v="21990"/>
    <n v="0"/>
    <s v="Centralización recaudaciones julio 2026 #5679 - #5679"/>
    <n v="21990"/>
    <s v="Activo"/>
    <n v="21990"/>
    <x v="2"/>
  </r>
  <r>
    <n v="2026"/>
    <n v="7"/>
    <s v="20-07-2026"/>
    <n v="13059"/>
    <s v="1101-04"/>
    <n v="892349"/>
    <n v="0"/>
    <s v="Centralización recaudaciones julio 2026 #5680 - #5680"/>
    <n v="892349"/>
    <s v="Activo"/>
    <n v="892349"/>
    <x v="2"/>
  </r>
  <r>
    <n v="2026"/>
    <n v="7"/>
    <s v="20-07-2026"/>
    <n v="13111"/>
    <s v="1101-04"/>
    <n v="27360"/>
    <n v="0"/>
    <s v="Centralización recaudaciones julio 2026 #5732 - #5732"/>
    <n v="27360"/>
    <s v="Activo"/>
    <n v="27360"/>
    <x v="2"/>
  </r>
  <r>
    <n v="2026"/>
    <n v="7"/>
    <s v="20-07-2026"/>
    <n v="13170"/>
    <s v="1101-04"/>
    <n v="10131"/>
    <n v="0"/>
    <s v="Centralización recaudaciones julio 2026 #5791 - #5791"/>
    <n v="10131"/>
    <s v="Activo"/>
    <n v="10131"/>
    <x v="2"/>
  </r>
  <r>
    <n v="2026"/>
    <n v="7"/>
    <s v="20-07-2026"/>
    <n v="13216"/>
    <s v="1101-04"/>
    <n v="24000"/>
    <n v="0"/>
    <s v="Centralización recaudaciones julio 2026 #5837 - #5837"/>
    <n v="24000"/>
    <s v="Activo"/>
    <n v="24000"/>
    <x v="2"/>
  </r>
  <r>
    <n v="2026"/>
    <n v="7"/>
    <s v="20-07-2026"/>
    <n v="13230"/>
    <s v="1101-04"/>
    <n v="34990"/>
    <n v="0"/>
    <s v="Centralización recaudaciones julio 2026 #5851 - #5851"/>
    <n v="34990"/>
    <s v="Activo"/>
    <n v="34990"/>
    <x v="2"/>
  </r>
  <r>
    <n v="2026"/>
    <n v="7"/>
    <s v="20-07-2026"/>
    <n v="13265"/>
    <s v="1101-04"/>
    <n v="23029"/>
    <n v="0"/>
    <s v="Centralización recaudaciones julio 2026 #5886 - #5886"/>
    <n v="23029"/>
    <s v="Activo"/>
    <n v="23029"/>
    <x v="2"/>
  </r>
  <r>
    <n v="2026"/>
    <n v="7"/>
    <s v="20-07-2026"/>
    <n v="13287"/>
    <s v="1101-04"/>
    <n v="47600"/>
    <n v="0"/>
    <s v="Centralización recaudaciones julio 2026 #5908 - #5908"/>
    <n v="47600"/>
    <s v="Activo"/>
    <n v="47600"/>
    <x v="2"/>
  </r>
  <r>
    <n v="2026"/>
    <n v="7"/>
    <s v="20-07-2026"/>
    <n v="13319"/>
    <s v="1101-04"/>
    <n v="65831"/>
    <n v="0"/>
    <s v="Centralización recaudaciones julio 2026 #5940 - #5940"/>
    <n v="65831"/>
    <s v="Activo"/>
    <n v="65831"/>
    <x v="2"/>
  </r>
  <r>
    <n v="2026"/>
    <n v="7"/>
    <s v="21-07-2026"/>
    <n v="12970"/>
    <s v="1101-04"/>
    <n v="31990"/>
    <n v="0"/>
    <s v="Centralización recaudaciones julio 2026 #5591 - #5591"/>
    <n v="31990"/>
    <s v="Activo"/>
    <n v="31990"/>
    <x v="2"/>
  </r>
  <r>
    <n v="2026"/>
    <n v="7"/>
    <s v="21-07-2026"/>
    <n v="13002"/>
    <s v="1101-04"/>
    <n v="26990"/>
    <n v="0"/>
    <s v="Centralización recaudaciones julio 2026 #5623 - #5623"/>
    <n v="26990"/>
    <s v="Activo"/>
    <n v="26990"/>
    <x v="2"/>
  </r>
  <r>
    <n v="2026"/>
    <n v="7"/>
    <s v="21-07-2026"/>
    <n v="13024"/>
    <s v="1101-04"/>
    <n v="24980"/>
    <n v="0"/>
    <s v="Centralización recaudaciones julio 2026 #5645 - #5645"/>
    <n v="24980"/>
    <s v="Activo"/>
    <n v="24980"/>
    <x v="2"/>
  </r>
  <r>
    <n v="2026"/>
    <n v="7"/>
    <s v="21-07-2026"/>
    <n v="13065"/>
    <s v="1101-04"/>
    <n v="69590"/>
    <n v="0"/>
    <s v="Centralización recaudaciones julio 2026 #5686 - #5686"/>
    <n v="69590"/>
    <s v="Activo"/>
    <n v="69590"/>
    <x v="2"/>
  </r>
  <r>
    <n v="2026"/>
    <n v="7"/>
    <s v="21-07-2026"/>
    <n v="13105"/>
    <s v="1101-04"/>
    <n v="674102"/>
    <n v="0"/>
    <s v="Centralización recaudaciones julio 2026 #5726 - #5726"/>
    <n v="674102"/>
    <s v="Activo"/>
    <n v="674102"/>
    <x v="2"/>
  </r>
  <r>
    <n v="2026"/>
    <n v="7"/>
    <s v="21-07-2026"/>
    <n v="13118"/>
    <s v="1101-04"/>
    <n v="65438"/>
    <n v="0"/>
    <s v="Centralización recaudaciones julio 2026 #5739 - #5739"/>
    <n v="65438"/>
    <s v="Activo"/>
    <n v="65438"/>
    <x v="2"/>
  </r>
  <r>
    <n v="2026"/>
    <n v="7"/>
    <s v="21-07-2026"/>
    <n v="13171"/>
    <s v="1101-04"/>
    <n v="10"/>
    <n v="0"/>
    <s v="Centralización recaudaciones julio 2026 #5792 - #5792"/>
    <n v="10"/>
    <s v="Activo"/>
    <n v="10"/>
    <x v="2"/>
  </r>
  <r>
    <n v="2026"/>
    <n v="7"/>
    <s v="22-07-2026"/>
    <n v="12733"/>
    <s v="1101-04"/>
    <n v="30922"/>
    <n v="0"/>
    <s v="Centralización recaudaciones julio 2026 #5359 - #5359"/>
    <n v="30922"/>
    <s v="Activo"/>
    <n v="30922"/>
    <x v="2"/>
  </r>
  <r>
    <n v="2026"/>
    <n v="7"/>
    <s v="22-07-2026"/>
    <n v="12795"/>
    <s v="1101-04"/>
    <n v="43980"/>
    <n v="0"/>
    <s v="Centralización recaudaciones julio 2026 #5418 - #5418"/>
    <n v="43980"/>
    <s v="Activo"/>
    <n v="43980"/>
    <x v="2"/>
  </r>
  <r>
    <n v="2026"/>
    <n v="7"/>
    <s v="22-07-2026"/>
    <n v="12801"/>
    <s v="1101-04"/>
    <n v="38068"/>
    <n v="0"/>
    <s v="Centralización recaudaciones julio 2026 #5424 - #5424"/>
    <n v="38068"/>
    <s v="Activo"/>
    <n v="38068"/>
    <x v="2"/>
  </r>
  <r>
    <n v="2026"/>
    <n v="7"/>
    <s v="22-07-2026"/>
    <n v="12909"/>
    <s v="1101-04"/>
    <n v="59488"/>
    <n v="0"/>
    <s v="Centralización recaudaciones julio 2026 #5282 - #5282"/>
    <n v="59488"/>
    <s v="Activo"/>
    <n v="59488"/>
    <x v="2"/>
  </r>
  <r>
    <n v="2026"/>
    <n v="7"/>
    <s v="22-07-2026"/>
    <n v="13021"/>
    <s v="1101-04"/>
    <n v="31990"/>
    <n v="0"/>
    <s v="Centralización recaudaciones julio 2026 #5642 - #5642"/>
    <n v="31990"/>
    <s v="Activo"/>
    <n v="31990"/>
    <x v="2"/>
  </r>
  <r>
    <n v="2026"/>
    <n v="7"/>
    <s v="22-07-2026"/>
    <n v="13025"/>
    <s v="1101-04"/>
    <n v="22000"/>
    <n v="0"/>
    <s v="Centralización recaudaciones julio 2026 #5646 - #5646"/>
    <n v="22000"/>
    <s v="Activo"/>
    <n v="22000"/>
    <x v="2"/>
  </r>
  <r>
    <n v="2026"/>
    <n v="7"/>
    <s v="22-07-2026"/>
    <n v="13104"/>
    <s v="1101-04"/>
    <n v="32990"/>
    <n v="0"/>
    <s v="Centralización recaudaciones julio 2026 #5725 - #5725"/>
    <n v="32990"/>
    <s v="Activo"/>
    <n v="32990"/>
    <x v="2"/>
  </r>
  <r>
    <n v="2026"/>
    <n v="7"/>
    <s v="22-07-2026"/>
    <n v="13127"/>
    <s v="1101-04"/>
    <n v="32990"/>
    <n v="0"/>
    <s v="Centralización recaudaciones julio 2026 #5748 - #5748"/>
    <n v="32990"/>
    <s v="Activo"/>
    <n v="32990"/>
    <x v="2"/>
  </r>
  <r>
    <n v="2026"/>
    <n v="7"/>
    <s v="22-07-2026"/>
    <n v="13153"/>
    <s v="1101-04"/>
    <n v="32980"/>
    <n v="0"/>
    <s v="Centralización recaudaciones julio 2026 #5774 - #5774"/>
    <n v="32980"/>
    <s v="Activo"/>
    <n v="32980"/>
    <x v="2"/>
  </r>
  <r>
    <n v="2026"/>
    <n v="7"/>
    <s v="22-07-2026"/>
    <n v="13167"/>
    <s v="1101-04"/>
    <n v="118964"/>
    <n v="0"/>
    <s v="Centralización recaudaciones julio 2026 #5788 - #5788"/>
    <n v="118964"/>
    <s v="Activo"/>
    <n v="118964"/>
    <x v="2"/>
  </r>
  <r>
    <n v="2026"/>
    <n v="7"/>
    <s v="22-07-2026"/>
    <n v="13172"/>
    <s v="1101-04"/>
    <n v="522"/>
    <n v="0"/>
    <s v="Centralización recaudaciones julio 2026 #5793 - #5793"/>
    <n v="522"/>
    <s v="Activo"/>
    <n v="522"/>
    <x v="2"/>
  </r>
  <r>
    <n v="2026"/>
    <n v="7"/>
    <s v="22-07-2026"/>
    <n v="13309"/>
    <s v="1101-04"/>
    <n v="878613"/>
    <n v="0"/>
    <s v="Centralización recaudaciones julio 2026 #5930 - #5930"/>
    <n v="878613"/>
    <s v="Activo"/>
    <n v="878613"/>
    <x v="2"/>
  </r>
  <r>
    <n v="2026"/>
    <n v="7"/>
    <s v="22-07-2026"/>
    <n v="10887"/>
    <s v="1101-04"/>
    <n v="0"/>
    <n v="5000000"/>
    <s v="Traspaso entre cuentas"/>
    <n v="-5000000"/>
    <s v="Activo"/>
    <n v="-5000000"/>
    <x v="2"/>
  </r>
  <r>
    <n v="2026"/>
    <n v="7"/>
    <s v="22-07-2026"/>
    <n v="10888"/>
    <s v="1101-04"/>
    <n v="0"/>
    <n v="2000000"/>
    <s v="Traspaso entre cuentas"/>
    <n v="-2000000"/>
    <s v="Activo"/>
    <n v="-2000000"/>
    <x v="2"/>
  </r>
  <r>
    <n v="2026"/>
    <n v="7"/>
    <s v="23-07-2026"/>
    <n v="12796"/>
    <s v="1101-04"/>
    <n v="30000"/>
    <n v="0"/>
    <s v="Centralización recaudaciones julio 2026 #5419 - #5419"/>
    <n v="30000"/>
    <s v="Activo"/>
    <n v="30000"/>
    <x v="2"/>
  </r>
  <r>
    <n v="2026"/>
    <n v="7"/>
    <s v="23-07-2026"/>
    <n v="13134"/>
    <s v="1101-04"/>
    <n v="86052"/>
    <n v="0"/>
    <s v="Centralización recaudaciones julio 2026 #5755 - #5755"/>
    <n v="86052"/>
    <s v="Activo"/>
    <n v="86052"/>
    <x v="2"/>
  </r>
  <r>
    <n v="2026"/>
    <n v="7"/>
    <s v="23-07-2026"/>
    <n v="13250"/>
    <s v="1101-04"/>
    <n v="25000"/>
    <n v="0"/>
    <s v="Centralización recaudaciones julio 2026 #5871 - #5871"/>
    <n v="25000"/>
    <s v="Activo"/>
    <n v="25000"/>
    <x v="2"/>
  </r>
  <r>
    <n v="2026"/>
    <n v="7"/>
    <s v="23-07-2026"/>
    <n v="13300"/>
    <s v="1101-04"/>
    <n v="571800"/>
    <n v="0"/>
    <s v="Centralización recaudaciones julio 2026 #5921 - #5921"/>
    <n v="571800"/>
    <s v="Activo"/>
    <n v="571800"/>
    <x v="2"/>
  </r>
  <r>
    <n v="2026"/>
    <n v="7"/>
    <s v="24-07-2026"/>
    <n v="12654"/>
    <s v="1101-04"/>
    <n v="1859672"/>
    <n v="0"/>
    <s v="Centralización recaudaciones julio 2026 #5283 - #5283"/>
    <n v="1859672"/>
    <s v="Activo"/>
    <n v="1859672"/>
    <x v="2"/>
  </r>
  <r>
    <n v="2026"/>
    <n v="7"/>
    <s v="24-07-2026"/>
    <n v="12667"/>
    <s v="1101-04"/>
    <n v="153747"/>
    <n v="0"/>
    <s v="Centralización recaudaciones julio 2026 #5296 - #5296"/>
    <n v="153747"/>
    <s v="Activo"/>
    <n v="153747"/>
    <x v="2"/>
  </r>
  <r>
    <n v="2026"/>
    <n v="7"/>
    <s v="24-07-2026"/>
    <n v="12683"/>
    <s v="1101-04"/>
    <n v="120000"/>
    <n v="0"/>
    <s v="Centralización recaudaciones julio 2026 #5312 - #5312"/>
    <n v="120000"/>
    <s v="Activo"/>
    <n v="120000"/>
    <x v="2"/>
  </r>
  <r>
    <n v="2026"/>
    <n v="7"/>
    <s v="24-07-2026"/>
    <n v="12734"/>
    <s v="1101-04"/>
    <n v="663"/>
    <n v="0"/>
    <s v="Centralización recaudaciones julio 2026 #5360 - #5360"/>
    <n v="663"/>
    <s v="Activo"/>
    <n v="663"/>
    <x v="2"/>
  </r>
  <r>
    <n v="2026"/>
    <n v="7"/>
    <s v="24-07-2026"/>
    <n v="12786"/>
    <s v="1101-04"/>
    <n v="195493"/>
    <n v="0"/>
    <s v="Centralización recaudaciones julio 2026 #5409 - #5409"/>
    <n v="195493"/>
    <s v="Activo"/>
    <n v="195493"/>
    <x v="2"/>
  </r>
  <r>
    <n v="2026"/>
    <n v="7"/>
    <s v="24-07-2026"/>
    <n v="12799"/>
    <s v="1101-04"/>
    <n v="121513"/>
    <n v="0"/>
    <s v="Centralización recaudaciones julio 2026 #5422 - #5422"/>
    <n v="121513"/>
    <s v="Activo"/>
    <n v="121513"/>
    <x v="2"/>
  </r>
  <r>
    <n v="2026"/>
    <n v="7"/>
    <s v="24-07-2026"/>
    <n v="12856"/>
    <s v="1101-04"/>
    <n v="1352"/>
    <n v="0"/>
    <s v="Centralización recaudaciones julio 2026 #5479 - #5479"/>
    <n v="1352"/>
    <s v="Activo"/>
    <n v="1352"/>
    <x v="2"/>
  </r>
  <r>
    <n v="2026"/>
    <n v="7"/>
    <s v="24-07-2026"/>
    <n v="12955"/>
    <s v="1101-04"/>
    <n v="48000"/>
    <n v="0"/>
    <s v="Centralización recaudaciones julio 2026 #5576 - #5576"/>
    <n v="48000"/>
    <s v="Activo"/>
    <n v="48000"/>
    <x v="2"/>
  </r>
  <r>
    <n v="2026"/>
    <n v="7"/>
    <s v="24-07-2026"/>
    <n v="12966"/>
    <s v="1101-04"/>
    <n v="119970"/>
    <n v="0"/>
    <s v="Centralización recaudaciones julio 2026 #5587 - #5587"/>
    <n v="119970"/>
    <s v="Activo"/>
    <n v="119970"/>
    <x v="2"/>
  </r>
  <r>
    <n v="2026"/>
    <n v="7"/>
    <s v="24-07-2026"/>
    <n v="12977"/>
    <s v="1101-04"/>
    <n v="124990"/>
    <n v="0"/>
    <s v="Centralización recaudaciones julio 2026 #5598 - #5598"/>
    <n v="124990"/>
    <s v="Activo"/>
    <n v="124990"/>
    <x v="2"/>
  </r>
  <r>
    <n v="2026"/>
    <n v="7"/>
    <s v="24-07-2026"/>
    <n v="13142"/>
    <s v="1101-04"/>
    <n v="94000"/>
    <n v="0"/>
    <s v="Centralización recaudaciones julio 2026 #5763 - #5763"/>
    <n v="94000"/>
    <s v="Activo"/>
    <n v="94000"/>
    <x v="2"/>
  </r>
  <r>
    <n v="2026"/>
    <n v="7"/>
    <s v="24-07-2026"/>
    <n v="13173"/>
    <s v="1101-04"/>
    <n v="14327"/>
    <n v="0"/>
    <s v="Centralización recaudaciones julio 2026 #5794 - #5794"/>
    <n v="14327"/>
    <s v="Activo"/>
    <n v="14327"/>
    <x v="2"/>
  </r>
  <r>
    <n v="2026"/>
    <n v="7"/>
    <s v="24-07-2026"/>
    <n v="13182"/>
    <s v="1101-04"/>
    <n v="33990"/>
    <n v="0"/>
    <s v="Centralización recaudaciones julio 2026 #5803 - #5803"/>
    <n v="33990"/>
    <s v="Activo"/>
    <n v="33990"/>
    <x v="2"/>
  </r>
  <r>
    <n v="2026"/>
    <n v="7"/>
    <s v="27-07-2026"/>
    <n v="8663"/>
    <s v="1101-04"/>
    <n v="0"/>
    <n v="3114382"/>
    <s v="Cuota prestamo"/>
    <n v="-3114382"/>
    <s v="Activo"/>
    <n v="-3114382"/>
    <x v="2"/>
  </r>
  <r>
    <n v="2026"/>
    <n v="7"/>
    <s v="27-07-2026"/>
    <n v="12661"/>
    <s v="1101-04"/>
    <n v="59990"/>
    <n v="0"/>
    <s v="Centralización recaudaciones julio 2026 #5290 - #5290"/>
    <n v="59990"/>
    <s v="Activo"/>
    <n v="59990"/>
    <x v="2"/>
  </r>
  <r>
    <n v="2026"/>
    <n v="7"/>
    <s v="27-07-2026"/>
    <n v="12675"/>
    <s v="1101-04"/>
    <n v="59990"/>
    <n v="0"/>
    <s v="Centralización recaudaciones julio 2026 #5304 - #5304"/>
    <n v="59990"/>
    <s v="Activo"/>
    <n v="59990"/>
    <x v="2"/>
  </r>
  <r>
    <n v="2026"/>
    <n v="7"/>
    <s v="27-07-2026"/>
    <n v="12735"/>
    <s v="1101-04"/>
    <n v="415"/>
    <n v="0"/>
    <s v="Centralización recaudaciones julio 2026 #5361 - #5361"/>
    <n v="415"/>
    <s v="Activo"/>
    <n v="415"/>
    <x v="2"/>
  </r>
  <r>
    <n v="2026"/>
    <n v="7"/>
    <s v="27-07-2026"/>
    <n v="12737"/>
    <s v="1101-04"/>
    <n v="25990"/>
    <n v="0"/>
    <s v="Centralización recaudaciones julio 2026 #5363 - #5363"/>
    <n v="25990"/>
    <s v="Activo"/>
    <n v="25990"/>
    <x v="2"/>
  </r>
  <r>
    <n v="2026"/>
    <n v="7"/>
    <s v="27-07-2026"/>
    <n v="12797"/>
    <s v="1101-04"/>
    <n v="427"/>
    <n v="0"/>
    <s v="Centralización recaudaciones julio 2026 #5420 - #5420"/>
    <n v="427"/>
    <s v="Activo"/>
    <n v="427"/>
    <x v="2"/>
  </r>
  <r>
    <n v="2026"/>
    <n v="7"/>
    <s v="27-07-2026"/>
    <n v="12815"/>
    <s v="1101-04"/>
    <n v="43980"/>
    <n v="0"/>
    <s v="Centralización recaudaciones julio 2026 #5438 - #5438"/>
    <n v="43980"/>
    <s v="Activo"/>
    <n v="43980"/>
    <x v="2"/>
  </r>
  <r>
    <n v="2026"/>
    <n v="7"/>
    <s v="27-07-2026"/>
    <n v="12818"/>
    <s v="1101-04"/>
    <n v="40000"/>
    <n v="0"/>
    <s v="Centralización recaudaciones julio 2026 #5441 - #5441"/>
    <n v="40000"/>
    <s v="Activo"/>
    <n v="40000"/>
    <x v="2"/>
  </r>
  <r>
    <n v="2026"/>
    <n v="7"/>
    <s v="27-07-2026"/>
    <n v="12821"/>
    <s v="1101-04"/>
    <n v="26392"/>
    <n v="0"/>
    <s v="Centralización recaudaciones julio 2026 #5444 - #5444"/>
    <n v="26392"/>
    <s v="Activo"/>
    <n v="26392"/>
    <x v="2"/>
  </r>
  <r>
    <n v="2026"/>
    <n v="7"/>
    <s v="27-07-2026"/>
    <n v="12836"/>
    <s v="1101-04"/>
    <n v="271337"/>
    <n v="0"/>
    <s v="Centralización recaudaciones julio 2026 #5459 - #5459"/>
    <n v="271337"/>
    <s v="Activo"/>
    <n v="271337"/>
    <x v="2"/>
  </r>
  <r>
    <n v="2026"/>
    <n v="7"/>
    <s v="27-07-2026"/>
    <n v="12875"/>
    <s v="1101-04"/>
    <n v="288274"/>
    <n v="0"/>
    <s v="Centralización recaudaciones julio 2026 #5498 - #5498"/>
    <n v="288274"/>
    <s v="Activo"/>
    <n v="288274"/>
    <x v="2"/>
  </r>
  <r>
    <n v="2026"/>
    <n v="7"/>
    <s v="27-07-2026"/>
    <n v="12910"/>
    <s v="1101-04"/>
    <n v="60980"/>
    <n v="0"/>
    <s v="Centralización recaudaciones julio 2026 #5531 - #5531"/>
    <n v="60980"/>
    <s v="Activo"/>
    <n v="60980"/>
    <x v="2"/>
  </r>
  <r>
    <n v="2026"/>
    <n v="7"/>
    <s v="27-07-2026"/>
    <n v="12967"/>
    <s v="1101-04"/>
    <n v="30"/>
    <n v="0"/>
    <s v="Centralización recaudaciones julio 2026 #5588 - #5588"/>
    <n v="30"/>
    <s v="Activo"/>
    <n v="30"/>
    <x v="2"/>
  </r>
  <r>
    <n v="2026"/>
    <n v="7"/>
    <s v="27-07-2026"/>
    <n v="13001"/>
    <s v="1101-04"/>
    <n v="145816"/>
    <n v="0"/>
    <s v="Centralización recaudaciones julio 2026 #5622 - #5622"/>
    <n v="145816"/>
    <s v="Activo"/>
    <n v="145816"/>
    <x v="2"/>
  </r>
  <r>
    <n v="2026"/>
    <n v="7"/>
    <s v="27-07-2026"/>
    <n v="13020"/>
    <s v="1101-04"/>
    <n v="24990"/>
    <n v="0"/>
    <s v="Centralización recaudaciones julio 2026 #5641 - #5641"/>
    <n v="24990"/>
    <s v="Activo"/>
    <n v="24990"/>
    <x v="2"/>
  </r>
  <r>
    <n v="2026"/>
    <n v="7"/>
    <s v="27-07-2026"/>
    <n v="13026"/>
    <s v="1101-04"/>
    <n v="3000"/>
    <n v="0"/>
    <s v="Centralización recaudaciones julio 2026 #5647 - #5647"/>
    <n v="3000"/>
    <s v="Activo"/>
    <n v="3000"/>
    <x v="2"/>
  </r>
  <r>
    <n v="2026"/>
    <n v="7"/>
    <s v="27-07-2026"/>
    <n v="13036"/>
    <s v="1101-04"/>
    <n v="24990"/>
    <n v="0"/>
    <s v="Centralización recaudaciones julio 2026 #5657 - #5657"/>
    <n v="24990"/>
    <s v="Activo"/>
    <n v="24990"/>
    <x v="2"/>
  </r>
  <r>
    <n v="2026"/>
    <n v="7"/>
    <s v="27-07-2026"/>
    <n v="13039"/>
    <s v="1101-04"/>
    <n v="24990"/>
    <n v="0"/>
    <s v="Centralización recaudaciones julio 2026 #5660 - #5660"/>
    <n v="24990"/>
    <s v="Activo"/>
    <n v="24990"/>
    <x v="2"/>
  </r>
  <r>
    <n v="2026"/>
    <n v="7"/>
    <s v="27-07-2026"/>
    <n v="13057"/>
    <s v="1101-04"/>
    <n v="24990"/>
    <n v="0"/>
    <s v="Centralización recaudaciones julio 2026 #5678 - #5678"/>
    <n v="24990"/>
    <s v="Activo"/>
    <n v="24990"/>
    <x v="2"/>
  </r>
  <r>
    <n v="2026"/>
    <n v="7"/>
    <s v="27-07-2026"/>
    <n v="13067"/>
    <s v="1101-04"/>
    <n v="60940"/>
    <n v="0"/>
    <s v="Centralización recaudaciones julio 2026 #5688 - #5688"/>
    <n v="60940"/>
    <s v="Activo"/>
    <n v="60940"/>
    <x v="2"/>
  </r>
  <r>
    <n v="2026"/>
    <n v="7"/>
    <s v="27-07-2026"/>
    <n v="13076"/>
    <s v="1101-04"/>
    <n v="24990"/>
    <n v="0"/>
    <s v="Centralización recaudaciones julio 2026 #5697 - #5697"/>
    <n v="24990"/>
    <s v="Activo"/>
    <n v="24990"/>
    <x v="2"/>
  </r>
  <r>
    <n v="2026"/>
    <n v="7"/>
    <s v="27-07-2026"/>
    <n v="13080"/>
    <s v="1101-04"/>
    <n v="24990"/>
    <n v="0"/>
    <s v="Centralización recaudaciones julio 2026 #5701 - #5701"/>
    <n v="24990"/>
    <s v="Activo"/>
    <n v="24990"/>
    <x v="2"/>
  </r>
  <r>
    <n v="2026"/>
    <n v="7"/>
    <s v="27-07-2026"/>
    <n v="13098"/>
    <s v="1101-04"/>
    <n v="24990"/>
    <n v="0"/>
    <s v="Centralización recaudaciones julio 2026 #5719 - #5719"/>
    <n v="24990"/>
    <s v="Activo"/>
    <n v="24990"/>
    <x v="2"/>
  </r>
  <r>
    <n v="2026"/>
    <n v="7"/>
    <s v="27-07-2026"/>
    <n v="13102"/>
    <s v="1101-04"/>
    <n v="9908"/>
    <n v="0"/>
    <s v="Centralización recaudaciones julio 2026 #5723 - #5723"/>
    <n v="9908"/>
    <s v="Activo"/>
    <n v="9908"/>
    <x v="2"/>
  </r>
  <r>
    <n v="2026"/>
    <n v="7"/>
    <s v="27-07-2026"/>
    <n v="13106"/>
    <s v="1101-04"/>
    <n v="24990"/>
    <n v="0"/>
    <s v="Centralización recaudaciones julio 2026 #5727 - #5727"/>
    <n v="24990"/>
    <s v="Activo"/>
    <n v="24990"/>
    <x v="2"/>
  </r>
  <r>
    <n v="2026"/>
    <n v="7"/>
    <s v="27-07-2026"/>
    <n v="13136"/>
    <s v="1101-04"/>
    <n v="24990"/>
    <n v="0"/>
    <s v="Centralización recaudaciones julio 2026 #5757 - #5757"/>
    <n v="24990"/>
    <s v="Activo"/>
    <n v="24990"/>
    <x v="2"/>
  </r>
  <r>
    <n v="2026"/>
    <n v="7"/>
    <s v="27-07-2026"/>
    <n v="13175"/>
    <s v="1101-04"/>
    <n v="26170"/>
    <n v="0"/>
    <s v="Centralización recaudaciones julio 2026 #5796 - #5796"/>
    <n v="26170"/>
    <s v="Activo"/>
    <n v="26170"/>
    <x v="2"/>
  </r>
  <r>
    <n v="2026"/>
    <n v="7"/>
    <s v="27-07-2026"/>
    <n v="13200"/>
    <s v="1101-04"/>
    <n v="32980"/>
    <n v="0"/>
    <s v="Centralización recaudaciones julio 2026 #5821 - #5821"/>
    <n v="32980"/>
    <s v="Activo"/>
    <n v="32980"/>
    <x v="2"/>
  </r>
  <r>
    <n v="2026"/>
    <n v="7"/>
    <s v="27-07-2026"/>
    <n v="13226"/>
    <s v="1101-04"/>
    <n v="26500"/>
    <n v="0"/>
    <s v="Centralización recaudaciones julio 2026 #5847 - #5847"/>
    <n v="26500"/>
    <s v="Activo"/>
    <n v="26500"/>
    <x v="2"/>
  </r>
  <r>
    <n v="2026"/>
    <n v="7"/>
    <s v="27-07-2026"/>
    <n v="13253"/>
    <s v="1101-04"/>
    <n v="44000"/>
    <n v="0"/>
    <s v="Centralización recaudaciones julio 2026 #5874 - #5874"/>
    <n v="44000"/>
    <s v="Activo"/>
    <n v="44000"/>
    <x v="2"/>
  </r>
  <r>
    <n v="2026"/>
    <n v="7"/>
    <s v="27-07-2026"/>
    <n v="13260"/>
    <s v="1101-04"/>
    <n v="26000"/>
    <n v="0"/>
    <s v="Centralización recaudaciones julio 2026 #5881 - #5881"/>
    <n v="26000"/>
    <s v="Activo"/>
    <n v="26000"/>
    <x v="2"/>
  </r>
  <r>
    <n v="2026"/>
    <n v="7"/>
    <s v="27-07-2026"/>
    <n v="13261"/>
    <s v="1101-04"/>
    <n v="35690"/>
    <n v="0"/>
    <s v="Centralización recaudaciones julio 2026 #5882 - #5882"/>
    <n v="35690"/>
    <s v="Activo"/>
    <n v="35690"/>
    <x v="2"/>
  </r>
  <r>
    <n v="2026"/>
    <n v="7"/>
    <s v="27-07-2026"/>
    <n v="13267"/>
    <s v="1101-04"/>
    <n v="34990"/>
    <n v="0"/>
    <s v="Centralización recaudaciones julio 2026 #5888 - #5888"/>
    <n v="34990"/>
    <s v="Activo"/>
    <n v="34990"/>
    <x v="2"/>
  </r>
  <r>
    <n v="2026"/>
    <n v="7"/>
    <s v="27-07-2026"/>
    <n v="13294"/>
    <s v="1101-04"/>
    <n v="35000"/>
    <n v="0"/>
    <s v="Centralización recaudaciones julio 2026 #5915 - #5915"/>
    <n v="35000"/>
    <s v="Activo"/>
    <n v="35000"/>
    <x v="2"/>
  </r>
  <r>
    <n v="2026"/>
    <n v="7"/>
    <s v="27-07-2026"/>
    <n v="13321"/>
    <s v="1101-04"/>
    <n v="37000"/>
    <n v="0"/>
    <s v="Centralización recaudaciones julio 2026 #5942 - #5942"/>
    <n v="37000"/>
    <s v="Activo"/>
    <n v="37000"/>
    <x v="2"/>
  </r>
  <r>
    <n v="2026"/>
    <n v="7"/>
    <s v="28-07-2026"/>
    <n v="12808"/>
    <s v="1101-04"/>
    <n v="130400"/>
    <n v="0"/>
    <s v="Centralización recaudaciones julio 2026 #5431 - #5431"/>
    <n v="130400"/>
    <s v="Activo"/>
    <n v="130400"/>
    <x v="2"/>
  </r>
  <r>
    <n v="2026"/>
    <n v="7"/>
    <s v="28-07-2026"/>
    <n v="12853"/>
    <s v="1101-04"/>
    <n v="50000"/>
    <n v="0"/>
    <s v="Centralización recaudaciones julio 2026 #5476 - #5476"/>
    <n v="50000"/>
    <s v="Activo"/>
    <n v="50000"/>
    <x v="2"/>
  </r>
  <r>
    <n v="2026"/>
    <n v="7"/>
    <s v="28-07-2026"/>
    <n v="12858"/>
    <s v="1101-04"/>
    <n v="50000"/>
    <n v="0"/>
    <s v="Centralización recaudaciones julio 2026 #5481 - #5481"/>
    <n v="50000"/>
    <s v="Activo"/>
    <n v="50000"/>
    <x v="2"/>
  </r>
  <r>
    <n v="2026"/>
    <n v="7"/>
    <s v="28-07-2026"/>
    <n v="12888"/>
    <s v="1101-04"/>
    <n v="35970"/>
    <n v="0"/>
    <s v="Centralización recaudaciones julio 2026 #5511 - #5511"/>
    <n v="35970"/>
    <s v="Activo"/>
    <n v="35970"/>
    <x v="2"/>
  </r>
  <r>
    <n v="2026"/>
    <n v="7"/>
    <s v="28-07-2026"/>
    <n v="12914"/>
    <s v="1101-04"/>
    <n v="145816"/>
    <n v="0"/>
    <s v="Centralización recaudaciones julio 2026 #5535 - #5535"/>
    <n v="145816"/>
    <s v="Activo"/>
    <n v="145816"/>
    <x v="2"/>
  </r>
  <r>
    <n v="2026"/>
    <n v="7"/>
    <s v="28-07-2026"/>
    <n v="12916"/>
    <s v="1101-04"/>
    <n v="35980"/>
    <n v="0"/>
    <s v="Centralización recaudaciones julio 2026 #5537 - #5537"/>
    <n v="35980"/>
    <s v="Activo"/>
    <n v="35980"/>
    <x v="2"/>
  </r>
  <r>
    <n v="2026"/>
    <n v="7"/>
    <s v="28-07-2026"/>
    <n v="12925"/>
    <s v="1101-04"/>
    <n v="60000"/>
    <n v="0"/>
    <s v="Centralización recaudaciones julio 2026 #5546 - #5546"/>
    <n v="60000"/>
    <s v="Activo"/>
    <n v="60000"/>
    <x v="2"/>
  </r>
  <r>
    <n v="2026"/>
    <n v="7"/>
    <s v="28-07-2026"/>
    <n v="12941"/>
    <s v="1101-04"/>
    <n v="33237"/>
    <n v="0"/>
    <s v="Centralización recaudaciones julio 2026 #5562 - #5562"/>
    <n v="33237"/>
    <s v="Activo"/>
    <n v="33237"/>
    <x v="2"/>
  </r>
  <r>
    <n v="2026"/>
    <n v="7"/>
    <s v="28-07-2026"/>
    <n v="12953"/>
    <s v="1101-04"/>
    <n v="35981"/>
    <n v="0"/>
    <s v="Centralización recaudaciones julio 2026 #5574 - #5574"/>
    <n v="35981"/>
    <s v="Activo"/>
    <n v="35981"/>
    <x v="2"/>
  </r>
  <r>
    <n v="2026"/>
    <n v="7"/>
    <s v="28-07-2026"/>
    <n v="13023"/>
    <s v="1101-04"/>
    <n v="44000"/>
    <n v="0"/>
    <s v="Centralización recaudaciones julio 2026 #5644 - #5644"/>
    <n v="44000"/>
    <s v="Activo"/>
    <n v="44000"/>
    <x v="2"/>
  </r>
  <r>
    <n v="2026"/>
    <n v="7"/>
    <s v="28-07-2026"/>
    <n v="13055"/>
    <s v="1101-04"/>
    <n v="486053"/>
    <n v="0"/>
    <s v="Centralización recaudaciones julio 2026 #5676 - #5676"/>
    <n v="486053"/>
    <s v="Activo"/>
    <n v="486053"/>
    <x v="2"/>
  </r>
  <r>
    <n v="2026"/>
    <n v="7"/>
    <s v="28-07-2026"/>
    <n v="13103"/>
    <s v="1101-04"/>
    <n v="15082"/>
    <n v="0"/>
    <s v="Centralización recaudaciones julio 2026 #5724 - #5724"/>
    <n v="15082"/>
    <s v="Activo"/>
    <n v="15082"/>
    <x v="2"/>
  </r>
  <r>
    <n v="2026"/>
    <n v="7"/>
    <s v="28-07-2026"/>
    <n v="13119"/>
    <s v="1101-04"/>
    <n v="24990"/>
    <n v="0"/>
    <s v="Centralización recaudaciones julio 2026 #5740 - #5740"/>
    <n v="24990"/>
    <s v="Activo"/>
    <n v="24990"/>
    <x v="2"/>
  </r>
  <r>
    <n v="2026"/>
    <n v="7"/>
    <s v="28-07-2026"/>
    <n v="13133"/>
    <s v="1101-04"/>
    <n v="24990"/>
    <n v="0"/>
    <s v="Centralización recaudaciones julio 2026 #5754 - #5754"/>
    <n v="24990"/>
    <s v="Activo"/>
    <n v="24990"/>
    <x v="2"/>
  </r>
  <r>
    <n v="2026"/>
    <n v="7"/>
    <s v="28-07-2026"/>
    <n v="13149"/>
    <s v="1101-04"/>
    <n v="24990"/>
    <n v="0"/>
    <s v="Centralización recaudaciones julio 2026 #5770 - #5770"/>
    <n v="24990"/>
    <s v="Activo"/>
    <n v="24990"/>
    <x v="2"/>
  </r>
  <r>
    <n v="2026"/>
    <n v="7"/>
    <s v="28-07-2026"/>
    <n v="13152"/>
    <s v="1101-04"/>
    <n v="24990"/>
    <n v="0"/>
    <s v="Centralización recaudaciones julio 2026 #5773 - #5773"/>
    <n v="24990"/>
    <s v="Activo"/>
    <n v="24990"/>
    <x v="2"/>
  </r>
  <r>
    <n v="2026"/>
    <n v="7"/>
    <s v="28-07-2026"/>
    <n v="13187"/>
    <s v="1101-04"/>
    <n v="24990"/>
    <n v="0"/>
    <s v="Centralización recaudaciones julio 2026 #5808 - #5808"/>
    <n v="24990"/>
    <s v="Activo"/>
    <n v="24990"/>
    <x v="2"/>
  </r>
  <r>
    <n v="2026"/>
    <n v="7"/>
    <s v="28-07-2026"/>
    <n v="13218"/>
    <s v="1101-04"/>
    <n v="24990"/>
    <n v="0"/>
    <s v="Centralización recaudaciones julio 2026 #5839 - #5839"/>
    <n v="24990"/>
    <s v="Activo"/>
    <n v="24990"/>
    <x v="2"/>
  </r>
  <r>
    <n v="2026"/>
    <n v="7"/>
    <s v="28-07-2026"/>
    <n v="13232"/>
    <s v="1101-04"/>
    <n v="24990"/>
    <n v="0"/>
    <s v="Centralización recaudaciones julio 2026 #5853 - #5853"/>
    <n v="24990"/>
    <s v="Activo"/>
    <n v="24990"/>
    <x v="2"/>
  </r>
  <r>
    <n v="2026"/>
    <n v="7"/>
    <s v="28-07-2026"/>
    <n v="13240"/>
    <s v="1101-04"/>
    <n v="22990"/>
    <n v="0"/>
    <s v="Centralización recaudaciones julio 2026 #5861 - #5861"/>
    <n v="22990"/>
    <s v="Activo"/>
    <n v="22990"/>
    <x v="2"/>
  </r>
  <r>
    <n v="2026"/>
    <n v="7"/>
    <s v="28-07-2026"/>
    <n v="13258"/>
    <s v="1101-04"/>
    <n v="54000"/>
    <n v="0"/>
    <s v="Centralización recaudaciones julio 2026 #5879 - #5879"/>
    <n v="54000"/>
    <s v="Activo"/>
    <n v="54000"/>
    <x v="2"/>
  </r>
  <r>
    <n v="2026"/>
    <n v="7"/>
    <s v="28-07-2026"/>
    <n v="13262"/>
    <s v="1101-04"/>
    <n v="10"/>
    <n v="0"/>
    <s v="Centralización recaudaciones julio 2026 #5883 - #5883"/>
    <n v="10"/>
    <s v="Activo"/>
    <n v="10"/>
    <x v="2"/>
  </r>
  <r>
    <n v="2026"/>
    <n v="7"/>
    <s v="28-07-2026"/>
    <n v="13266"/>
    <s v="1101-04"/>
    <n v="35700"/>
    <n v="0"/>
    <s v="Centralización recaudaciones julio 2026 #5887 - #5887"/>
    <n v="35700"/>
    <s v="Activo"/>
    <n v="35700"/>
    <x v="2"/>
  </r>
  <r>
    <n v="2026"/>
    <n v="7"/>
    <s v="28-07-2026"/>
    <n v="13275"/>
    <s v="1101-04"/>
    <n v="24990"/>
    <n v="0"/>
    <s v="Centralización recaudaciones julio 2026 #5896 - #5896"/>
    <n v="24990"/>
    <s v="Activo"/>
    <n v="24990"/>
    <x v="2"/>
  </r>
  <r>
    <n v="2026"/>
    <n v="7"/>
    <s v="28-07-2026"/>
    <n v="13295"/>
    <s v="1101-04"/>
    <n v="24990"/>
    <n v="0"/>
    <s v="Centralización recaudaciones julio 2026 #5916 - #5916"/>
    <n v="24990"/>
    <s v="Activo"/>
    <n v="24990"/>
    <x v="2"/>
  </r>
  <r>
    <n v="2026"/>
    <n v="7"/>
    <s v="28-07-2026"/>
    <n v="13316"/>
    <s v="1101-04"/>
    <n v="24990"/>
    <n v="0"/>
    <s v="Centralización recaudaciones julio 2026 #5937 - #5937"/>
    <n v="24990"/>
    <s v="Activo"/>
    <n v="24990"/>
    <x v="2"/>
  </r>
  <r>
    <n v="2026"/>
    <n v="7"/>
    <s v="28-07-2026"/>
    <n v="13322"/>
    <s v="1101-04"/>
    <n v="29727"/>
    <n v="0"/>
    <s v="Centralización recaudaciones julio 2026 #5943 - #5943"/>
    <n v="29727"/>
    <s v="Activo"/>
    <n v="29727"/>
    <x v="2"/>
  </r>
  <r>
    <n v="2026"/>
    <n v="7"/>
    <s v="29-07-2026"/>
    <n v="12662"/>
    <s v="1101-04"/>
    <n v="57990"/>
    <n v="0"/>
    <s v="Centralización recaudaciones julio 2026 #5291 - #5291"/>
    <n v="57990"/>
    <s v="Activo"/>
    <n v="57990"/>
    <x v="2"/>
  </r>
  <r>
    <n v="2026"/>
    <n v="7"/>
    <s v="29-07-2026"/>
    <n v="12776"/>
    <s v="1101-04"/>
    <n v="53980"/>
    <n v="0"/>
    <s v="Centralización recaudaciones julio 2026 #5402 - #5402"/>
    <n v="53980"/>
    <s v="Activo"/>
    <n v="53980"/>
    <x v="2"/>
  </r>
  <r>
    <n v="2026"/>
    <n v="7"/>
    <s v="29-07-2026"/>
    <n v="12813"/>
    <s v="1101-04"/>
    <n v="39990"/>
    <n v="0"/>
    <s v="Centralización recaudaciones julio 2026 #5436 - #5436"/>
    <n v="39990"/>
    <s v="Activo"/>
    <n v="39990"/>
    <x v="2"/>
  </r>
  <r>
    <n v="2026"/>
    <n v="7"/>
    <s v="29-07-2026"/>
    <n v="12844"/>
    <s v="1101-04"/>
    <n v="36277"/>
    <n v="0"/>
    <s v="Centralización recaudaciones julio 2026 #5467 - #5467"/>
    <n v="36277"/>
    <s v="Activo"/>
    <n v="36277"/>
    <x v="2"/>
  </r>
  <r>
    <n v="2026"/>
    <n v="7"/>
    <s v="29-07-2026"/>
    <n v="12855"/>
    <s v="1101-04"/>
    <n v="42000"/>
    <n v="0"/>
    <s v="Centralización recaudaciones julio 2026 #5478 - #5478"/>
    <n v="42000"/>
    <s v="Activo"/>
    <n v="42000"/>
    <x v="2"/>
  </r>
  <r>
    <n v="2026"/>
    <n v="7"/>
    <s v="29-07-2026"/>
    <n v="12878"/>
    <s v="1101-04"/>
    <n v="30000"/>
    <n v="0"/>
    <s v="Centralización recaudaciones julio 2026 #5501 - #5501"/>
    <n v="30000"/>
    <s v="Activo"/>
    <n v="30000"/>
    <x v="2"/>
  </r>
  <r>
    <n v="2026"/>
    <n v="7"/>
    <s v="29-07-2026"/>
    <n v="12890"/>
    <s v="1101-04"/>
    <n v="56980"/>
    <n v="0"/>
    <s v="Centralización recaudaciones julio 2026 #5513 - #5513"/>
    <n v="56980"/>
    <s v="Activo"/>
    <n v="56980"/>
    <x v="2"/>
  </r>
  <r>
    <n v="2026"/>
    <n v="7"/>
    <s v="29-07-2026"/>
    <n v="12902"/>
    <s v="1101-04"/>
    <n v="39990"/>
    <n v="0"/>
    <s v="Centralización recaudaciones julio 2026 #5525 - #5525"/>
    <n v="39990"/>
    <s v="Activo"/>
    <n v="39990"/>
    <x v="2"/>
  </r>
  <r>
    <n v="2026"/>
    <n v="7"/>
    <s v="29-07-2026"/>
    <n v="12912"/>
    <s v="1101-04"/>
    <n v="30000"/>
    <n v="0"/>
    <s v="Centralización recaudaciones julio 2026 #5533 - #5533"/>
    <n v="30000"/>
    <s v="Activo"/>
    <n v="30000"/>
    <x v="2"/>
  </r>
  <r>
    <n v="2026"/>
    <n v="7"/>
    <s v="29-07-2026"/>
    <n v="12926"/>
    <s v="1101-04"/>
    <n v="980"/>
    <n v="0"/>
    <s v="Centralización recaudaciones julio 2026 #5547 - #5547"/>
    <n v="980"/>
    <s v="Activo"/>
    <n v="980"/>
    <x v="2"/>
  </r>
  <r>
    <n v="2026"/>
    <n v="7"/>
    <s v="29-07-2026"/>
    <n v="12942"/>
    <s v="1101-04"/>
    <n v="2753"/>
    <n v="0"/>
    <s v="Centralización recaudaciones julio 2026 #5563 - #5563"/>
    <n v="2753"/>
    <s v="Activo"/>
    <n v="2753"/>
    <x v="2"/>
  </r>
  <r>
    <n v="2026"/>
    <n v="7"/>
    <s v="29-07-2026"/>
    <n v="13013"/>
    <s v="1101-04"/>
    <n v="43970"/>
    <n v="0"/>
    <s v="Centralización recaudaciones julio 2026 #5634 - #5634"/>
    <n v="43970"/>
    <s v="Activo"/>
    <n v="43970"/>
    <x v="2"/>
  </r>
  <r>
    <n v="2026"/>
    <n v="7"/>
    <s v="29-07-2026"/>
    <n v="13048"/>
    <s v="1101-04"/>
    <n v="39990"/>
    <n v="0"/>
    <s v="Centralización recaudaciones julio 2026 #5669 - #5669"/>
    <n v="39990"/>
    <s v="Activo"/>
    <n v="39990"/>
    <x v="2"/>
  </r>
  <r>
    <n v="2026"/>
    <n v="7"/>
    <s v="29-07-2026"/>
    <n v="13070"/>
    <s v="1101-04"/>
    <n v="39990"/>
    <n v="0"/>
    <s v="Centralización recaudaciones julio 2026 #5691 - #5691"/>
    <n v="39990"/>
    <s v="Activo"/>
    <n v="39990"/>
    <x v="2"/>
  </r>
  <r>
    <n v="2026"/>
    <n v="7"/>
    <s v="29-07-2026"/>
    <n v="13074"/>
    <s v="1101-04"/>
    <n v="39990"/>
    <n v="0"/>
    <s v="Centralización recaudaciones julio 2026 #5695 - #5695"/>
    <n v="39990"/>
    <s v="Activo"/>
    <n v="39990"/>
    <x v="2"/>
  </r>
  <r>
    <n v="2026"/>
    <n v="7"/>
    <s v="29-07-2026"/>
    <n v="13113"/>
    <s v="1101-04"/>
    <n v="39990"/>
    <n v="0"/>
    <s v="Centralización recaudaciones julio 2026 #5734 - #5734"/>
    <n v="39990"/>
    <s v="Activo"/>
    <n v="39990"/>
    <x v="2"/>
  </r>
  <r>
    <n v="2026"/>
    <n v="7"/>
    <s v="29-07-2026"/>
    <n v="13116"/>
    <s v="1101-04"/>
    <n v="39990"/>
    <n v="0"/>
    <s v="Centralización recaudaciones julio 2026 #5737 - #5737"/>
    <n v="39990"/>
    <s v="Activo"/>
    <n v="39990"/>
    <x v="2"/>
  </r>
  <r>
    <n v="2026"/>
    <n v="7"/>
    <s v="29-07-2026"/>
    <n v="13168"/>
    <s v="1101-04"/>
    <n v="30000"/>
    <n v="0"/>
    <s v="Centralización recaudaciones julio 2026 #5789 - #5789"/>
    <n v="30000"/>
    <s v="Activo"/>
    <n v="30000"/>
    <x v="2"/>
  </r>
  <r>
    <n v="2026"/>
    <n v="7"/>
    <s v="29-07-2026"/>
    <n v="13179"/>
    <s v="1101-04"/>
    <n v="39990"/>
    <n v="0"/>
    <s v="Centralización recaudaciones julio 2026 #5800 - #5800"/>
    <n v="39990"/>
    <s v="Activo"/>
    <n v="39990"/>
    <x v="2"/>
  </r>
  <r>
    <n v="2026"/>
    <n v="7"/>
    <s v="29-07-2026"/>
    <n v="13202"/>
    <s v="1101-04"/>
    <n v="35990"/>
    <n v="0"/>
    <s v="Centralización recaudaciones julio 2026 #5823 - #5823"/>
    <n v="35990"/>
    <s v="Activo"/>
    <n v="35990"/>
    <x v="2"/>
  </r>
  <r>
    <n v="2026"/>
    <n v="7"/>
    <s v="29-07-2026"/>
    <n v="13241"/>
    <s v="1101-04"/>
    <n v="2000"/>
    <n v="0"/>
    <s v="Centralización recaudaciones julio 2026 #5862 - #5862"/>
    <n v="2000"/>
    <s v="Activo"/>
    <n v="2000"/>
    <x v="2"/>
  </r>
  <r>
    <n v="2026"/>
    <n v="7"/>
    <s v="29-07-2026"/>
    <n v="13259"/>
    <s v="1101-04"/>
    <n v="24990"/>
    <n v="0"/>
    <s v="Centralización recaudaciones julio 2026 #5880 - #5880"/>
    <n v="24990"/>
    <s v="Activo"/>
    <n v="24990"/>
    <x v="2"/>
  </r>
  <r>
    <n v="2026"/>
    <n v="7"/>
    <s v="29-07-2026"/>
    <n v="13332"/>
    <s v="1101-04"/>
    <n v="51492"/>
    <n v="0"/>
    <s v="Centralización recaudaciones julio 2026 #5953 - #5953"/>
    <n v="51492"/>
    <s v="Activo"/>
    <n v="51492"/>
    <x v="2"/>
  </r>
  <r>
    <n v="2026"/>
    <n v="7"/>
    <s v="30-07-2026"/>
    <n v="12664"/>
    <s v="1101-04"/>
    <n v="74990"/>
    <n v="0"/>
    <s v="Centralización recaudaciones julio 2026 #5293 - #5293"/>
    <n v="74990"/>
    <s v="Activo"/>
    <n v="74990"/>
    <x v="2"/>
  </r>
  <r>
    <n v="2026"/>
    <n v="7"/>
    <s v="30-07-2026"/>
    <n v="12672"/>
    <s v="1101-04"/>
    <n v="66000"/>
    <n v="0"/>
    <s v="Centralización recaudaciones julio 2026 #5301 - #5301"/>
    <n v="66000"/>
    <s v="Activo"/>
    <n v="66000"/>
    <x v="2"/>
  </r>
  <r>
    <n v="2026"/>
    <n v="7"/>
    <s v="30-07-2026"/>
    <n v="12731"/>
    <s v="1101-04"/>
    <n v="42990"/>
    <n v="0"/>
    <s v="Centralización recaudaciones julio 2026 #5357 - #5357"/>
    <n v="42990"/>
    <s v="Activo"/>
    <n v="42990"/>
    <x v="2"/>
  </r>
  <r>
    <n v="2026"/>
    <n v="7"/>
    <s v="30-07-2026"/>
    <n v="12834"/>
    <s v="1101-04"/>
    <n v="42982"/>
    <n v="0"/>
    <s v="Centralización recaudaciones julio 2026 #5457 - #5457"/>
    <n v="42982"/>
    <s v="Activo"/>
    <n v="42982"/>
    <x v="2"/>
  </r>
  <r>
    <n v="2026"/>
    <n v="7"/>
    <s v="30-07-2026"/>
    <n v="12845"/>
    <s v="1101-04"/>
    <n v="3723"/>
    <n v="0"/>
    <s v="Centralización recaudaciones julio 2026 #5468 - #5468"/>
    <n v="3723"/>
    <s v="Activo"/>
    <n v="3723"/>
    <x v="2"/>
  </r>
  <r>
    <n v="2026"/>
    <n v="7"/>
    <s v="30-07-2026"/>
    <n v="12869"/>
    <s v="1101-04"/>
    <n v="34990"/>
    <n v="0"/>
    <s v="Centralización recaudaciones julio 2026 #5492 - #5492"/>
    <n v="34990"/>
    <s v="Activo"/>
    <n v="34990"/>
    <x v="2"/>
  </r>
  <r>
    <n v="2026"/>
    <n v="7"/>
    <s v="30-07-2026"/>
    <n v="12879"/>
    <s v="1101-04"/>
    <n v="10000"/>
    <n v="0"/>
    <s v="Centralización recaudaciones julio 2026 #5502 - #5502"/>
    <n v="10000"/>
    <s v="Activo"/>
    <n v="10000"/>
    <x v="2"/>
  </r>
  <r>
    <n v="2026"/>
    <n v="7"/>
    <s v="30-07-2026"/>
    <n v="12913"/>
    <s v="1101-04"/>
    <n v="10000"/>
    <n v="0"/>
    <s v="Centralización recaudaciones julio 2026 #5534 - #5534"/>
    <n v="10000"/>
    <s v="Activo"/>
    <n v="10000"/>
    <x v="2"/>
  </r>
  <r>
    <n v="2026"/>
    <n v="7"/>
    <s v="30-07-2026"/>
    <n v="12917"/>
    <s v="1101-04"/>
    <n v="43980"/>
    <n v="0"/>
    <s v="Centralización recaudaciones julio 2026 #5538 - #5538"/>
    <n v="43980"/>
    <s v="Activo"/>
    <n v="43980"/>
    <x v="2"/>
  </r>
  <r>
    <n v="2026"/>
    <n v="7"/>
    <s v="30-07-2026"/>
    <n v="13028"/>
    <s v="1101-04"/>
    <n v="38776"/>
    <n v="0"/>
    <s v="Centralización recaudaciones julio 2026 #5649 - #5649"/>
    <n v="38776"/>
    <s v="Activo"/>
    <n v="38776"/>
    <x v="2"/>
  </r>
  <r>
    <n v="2026"/>
    <n v="7"/>
    <s v="30-07-2026"/>
    <n v="13122"/>
    <s v="1101-04"/>
    <n v="80000"/>
    <n v="0"/>
    <s v="Centralización recaudaciones julio 2026 #5743 - #5743"/>
    <n v="80000"/>
    <s v="Activo"/>
    <n v="80000"/>
    <x v="2"/>
  </r>
  <r>
    <n v="2026"/>
    <n v="7"/>
    <s v="30-07-2026"/>
    <n v="13128"/>
    <s v="1101-04"/>
    <n v="41638"/>
    <n v="0"/>
    <s v="Centralización recaudaciones julio 2026 #5749 - #5749"/>
    <n v="41638"/>
    <s v="Activo"/>
    <n v="41638"/>
    <x v="2"/>
  </r>
  <r>
    <n v="2026"/>
    <n v="7"/>
    <s v="30-07-2026"/>
    <n v="13137"/>
    <s v="1101-04"/>
    <n v="40000"/>
    <n v="0"/>
    <s v="Centralización recaudaciones julio 2026 #5758 - #5758"/>
    <n v="40000"/>
    <s v="Activo"/>
    <n v="40000"/>
    <x v="2"/>
  </r>
  <r>
    <n v="2026"/>
    <n v="7"/>
    <s v="30-07-2026"/>
    <n v="13147"/>
    <s v="1101-04"/>
    <n v="41638"/>
    <n v="0"/>
    <s v="Centralización recaudaciones julio 2026 #5768 - #5768"/>
    <n v="41638"/>
    <s v="Activo"/>
    <n v="41638"/>
    <x v="2"/>
  </r>
  <r>
    <n v="2026"/>
    <n v="7"/>
    <s v="30-07-2026"/>
    <n v="13169"/>
    <s v="1101-04"/>
    <n v="10000"/>
    <n v="0"/>
    <s v="Centralización recaudaciones julio 2026 #5790 - #5790"/>
    <n v="10000"/>
    <s v="Activo"/>
    <n v="10000"/>
    <x v="2"/>
  </r>
  <r>
    <n v="2026"/>
    <n v="7"/>
    <s v="30-07-2026"/>
    <n v="13203"/>
    <s v="1101-04"/>
    <n v="40000"/>
    <n v="0"/>
    <s v="Centralización recaudaciones julio 2026 #5824 - #5824"/>
    <n v="40000"/>
    <s v="Activo"/>
    <n v="40000"/>
    <x v="2"/>
  </r>
  <r>
    <n v="2026"/>
    <n v="7"/>
    <s v="30-07-2026"/>
    <n v="13223"/>
    <s v="1101-04"/>
    <n v="41650"/>
    <n v="0"/>
    <s v="Centralización recaudaciones julio 2026 #5844 - #5844"/>
    <n v="41650"/>
    <s v="Activo"/>
    <n v="41650"/>
    <x v="2"/>
  </r>
  <r>
    <n v="2026"/>
    <n v="7"/>
    <s v="30-07-2026"/>
    <n v="13256"/>
    <s v="1101-04"/>
    <n v="54990"/>
    <n v="0"/>
    <s v="Centralización recaudaciones julio 2026 #5877 - #5877"/>
    <n v="54990"/>
    <s v="Activo"/>
    <n v="54990"/>
    <x v="2"/>
  </r>
  <r>
    <n v="2026"/>
    <n v="7"/>
    <s v="30-07-2026"/>
    <n v="13279"/>
    <s v="1101-04"/>
    <n v="236618"/>
    <n v="0"/>
    <s v="Centralización recaudaciones julio 2026 #5900 - #5900"/>
    <n v="236618"/>
    <s v="Activo"/>
    <n v="236618"/>
    <x v="2"/>
  </r>
  <r>
    <n v="2026"/>
    <n v="7"/>
    <s v="30-07-2026"/>
    <n v="13284"/>
    <s v="1101-04"/>
    <n v="330747"/>
    <n v="0"/>
    <s v="Centralización recaudaciones julio 2026 #5905 - #5905"/>
    <n v="330747"/>
    <s v="Activo"/>
    <n v="330747"/>
    <x v="2"/>
  </r>
  <r>
    <n v="2026"/>
    <n v="7"/>
    <s v="30-07-2026"/>
    <n v="13330"/>
    <s v="1101-04"/>
    <n v="56649"/>
    <n v="0"/>
    <s v="Centralización recaudaciones julio 2026 #5951 - #5951"/>
    <n v="56649"/>
    <s v="Activo"/>
    <n v="56649"/>
    <x v="2"/>
  </r>
  <r>
    <n v="2026"/>
    <n v="7"/>
    <s v="30-07-2026"/>
    <n v="10890"/>
    <s v="1101-04"/>
    <n v="0"/>
    <n v="4000000"/>
    <s v="Traspaso entre cuentas"/>
    <n v="-4000000"/>
    <s v="Activo"/>
    <n v="-4000000"/>
    <x v="2"/>
  </r>
  <r>
    <n v="2026"/>
    <n v="7"/>
    <s v="31-07-2026"/>
    <n v="8664"/>
    <s v="1101-04"/>
    <n v="0"/>
    <n v="4600"/>
    <s v="Pago bh 15982563 conservador de bienes raices d"/>
    <n v="-4600"/>
    <s v="Activo"/>
    <n v="-4600"/>
    <x v="2"/>
  </r>
  <r>
    <n v="2026"/>
    <n v="7"/>
    <s v="31-07-2026"/>
    <n v="8665"/>
    <s v="1101-04"/>
    <n v="0"/>
    <n v="7075740"/>
    <s v="Pago fact 59531 virec spa"/>
    <n v="-7075740"/>
    <s v="Activo"/>
    <n v="-7075740"/>
    <x v="2"/>
  </r>
  <r>
    <n v="2026"/>
    <n v="7"/>
    <s v="31-07-2026"/>
    <n v="12677"/>
    <s v="1101-04"/>
    <n v="30000"/>
    <n v="0"/>
    <s v="Centralización recaudaciones julio 2026 #5306 - #5306"/>
    <n v="30000"/>
    <s v="Activo"/>
    <n v="30000"/>
    <x v="2"/>
  </r>
  <r>
    <n v="2026"/>
    <n v="7"/>
    <s v="31-07-2026"/>
    <n v="12680"/>
    <s v="1101-04"/>
    <n v="68990"/>
    <n v="0"/>
    <s v="Centralización recaudaciones julio 2026 #5309 - #5309"/>
    <n v="68990"/>
    <s v="Activo"/>
    <n v="68990"/>
    <x v="2"/>
  </r>
  <r>
    <n v="2026"/>
    <n v="7"/>
    <s v="31-07-2026"/>
    <n v="12686"/>
    <s v="1101-04"/>
    <n v="396356"/>
    <n v="0"/>
    <s v="Centralización recaudaciones julio 2026 #5315 - #5315"/>
    <n v="396356"/>
    <s v="Activo"/>
    <n v="396356"/>
    <x v="2"/>
  </r>
  <r>
    <n v="2026"/>
    <n v="7"/>
    <s v="31-07-2026"/>
    <n v="12688"/>
    <s v="1101-04"/>
    <n v="49990"/>
    <n v="0"/>
    <s v="Centralización recaudaciones julio 2026 #5317 - #5317"/>
    <n v="49990"/>
    <s v="Activo"/>
    <n v="49990"/>
    <x v="2"/>
  </r>
  <r>
    <n v="2026"/>
    <n v="7"/>
    <s v="31-07-2026"/>
    <n v="12691"/>
    <s v="1101-04"/>
    <n v="130100"/>
    <n v="0"/>
    <s v="Centralización recaudaciones julio 2026 #5320 - #5320"/>
    <n v="130100"/>
    <s v="Activo"/>
    <n v="130100"/>
    <x v="2"/>
  </r>
  <r>
    <n v="2026"/>
    <n v="7"/>
    <s v="31-07-2026"/>
    <n v="12740"/>
    <s v="1101-04"/>
    <n v="58000"/>
    <n v="0"/>
    <s v="Centralización recaudaciones julio 2026 #5366 - #5366"/>
    <n v="58000"/>
    <s v="Activo"/>
    <n v="58000"/>
    <x v="2"/>
  </r>
  <r>
    <n v="2026"/>
    <n v="7"/>
    <s v="31-07-2026"/>
    <n v="12748"/>
    <s v="1101-04"/>
    <n v="68000"/>
    <n v="0"/>
    <s v="Centralización recaudaciones julio 2026 #5374 - #5374"/>
    <n v="68000"/>
    <s v="Activo"/>
    <n v="68000"/>
    <x v="2"/>
  </r>
  <r>
    <n v="2026"/>
    <n v="7"/>
    <s v="31-07-2026"/>
    <n v="12752"/>
    <s v="1101-04"/>
    <n v="30000"/>
    <n v="0"/>
    <s v="Centralización recaudaciones julio 2026 #5378 - #5378"/>
    <n v="30000"/>
    <s v="Activo"/>
    <n v="30000"/>
    <x v="2"/>
  </r>
  <r>
    <n v="2026"/>
    <n v="7"/>
    <s v="31-07-2026"/>
    <n v="12756"/>
    <s v="1101-04"/>
    <n v="30000"/>
    <n v="0"/>
    <s v="Centralización recaudaciones julio 2026 #5382 - #5382"/>
    <n v="30000"/>
    <s v="Activo"/>
    <n v="30000"/>
    <x v="2"/>
  </r>
  <r>
    <n v="2026"/>
    <n v="7"/>
    <s v="31-07-2026"/>
    <n v="12768"/>
    <s v="1101-04"/>
    <n v="30000"/>
    <n v="0"/>
    <s v="Centralización recaudaciones julio 2026 #5394 - #5394"/>
    <n v="30000"/>
    <s v="Activo"/>
    <n v="30000"/>
    <x v="2"/>
  </r>
  <r>
    <n v="2026"/>
    <n v="7"/>
    <s v="31-07-2026"/>
    <n v="12770"/>
    <s v="1101-04"/>
    <n v="44990"/>
    <n v="0"/>
    <s v="Centralización recaudaciones julio 2026 #5396 - #5396"/>
    <n v="44990"/>
    <s v="Activo"/>
    <n v="44990"/>
    <x v="2"/>
  </r>
  <r>
    <n v="2026"/>
    <n v="7"/>
    <s v="31-07-2026"/>
    <n v="12790"/>
    <s v="1101-04"/>
    <n v="134351"/>
    <n v="0"/>
    <s v="Centralización recaudaciones julio 2026 #5413 - #5413"/>
    <n v="134351"/>
    <s v="Activo"/>
    <n v="134351"/>
    <x v="2"/>
  </r>
  <r>
    <n v="2026"/>
    <n v="7"/>
    <s v="31-07-2026"/>
    <n v="12812"/>
    <s v="1101-04"/>
    <n v="90000"/>
    <n v="0"/>
    <s v="Centralización recaudaciones julio 2026 #5435 - #5435"/>
    <n v="90000"/>
    <s v="Activo"/>
    <n v="90000"/>
    <x v="2"/>
  </r>
  <r>
    <n v="2026"/>
    <n v="7"/>
    <s v="31-07-2026"/>
    <n v="12825"/>
    <s v="1101-04"/>
    <n v="50000"/>
    <n v="0"/>
    <s v="Centralización recaudaciones julio 2026 #5448 - #5448"/>
    <n v="50000"/>
    <s v="Activo"/>
    <n v="50000"/>
    <x v="2"/>
  </r>
  <r>
    <n v="2026"/>
    <n v="7"/>
    <s v="31-07-2026"/>
    <n v="12838"/>
    <s v="1101-04"/>
    <n v="67980"/>
    <n v="0"/>
    <s v="Centralización recaudaciones julio 2026 #5461 - #5461"/>
    <n v="67980"/>
    <s v="Activo"/>
    <n v="67980"/>
    <x v="2"/>
  </r>
  <r>
    <n v="2026"/>
    <n v="7"/>
    <s v="31-07-2026"/>
    <n v="12843"/>
    <s v="1101-04"/>
    <n v="38000"/>
    <n v="0"/>
    <s v="Centralización recaudaciones julio 2026 #5466 - #5466"/>
    <n v="38000"/>
    <s v="Activo"/>
    <n v="38000"/>
    <x v="2"/>
  </r>
  <r>
    <n v="2026"/>
    <n v="7"/>
    <s v="31-07-2026"/>
    <n v="12857"/>
    <s v="1101-04"/>
    <n v="437448"/>
    <n v="0"/>
    <s v="Centralización recaudaciones julio 2026 #5480 - #5480"/>
    <n v="437448"/>
    <s v="Activo"/>
    <n v="437448"/>
    <x v="2"/>
  </r>
  <r>
    <n v="2026"/>
    <n v="7"/>
    <s v="31-07-2026"/>
    <n v="12868"/>
    <s v="1101-04"/>
    <n v="200000"/>
    <n v="0"/>
    <s v="Centralización recaudaciones julio 2026 #5491 - #5491"/>
    <n v="200000"/>
    <s v="Activo"/>
    <n v="200000"/>
    <x v="2"/>
  </r>
  <r>
    <n v="2026"/>
    <n v="7"/>
    <s v="31-07-2026"/>
    <n v="12870"/>
    <s v="1101-04"/>
    <n v="8970"/>
    <n v="0"/>
    <s v="Centralización recaudaciones julio 2026 #5493 - #5493"/>
    <n v="8970"/>
    <s v="Activo"/>
    <n v="8970"/>
    <x v="2"/>
  </r>
  <r>
    <n v="2026"/>
    <n v="7"/>
    <s v="31-07-2026"/>
    <n v="12876"/>
    <s v="1101-04"/>
    <n v="69990"/>
    <n v="0"/>
    <s v="Centralización recaudaciones julio 2026 #5499 - #5499"/>
    <n v="69990"/>
    <s v="Activo"/>
    <n v="69990"/>
    <x v="2"/>
  </r>
  <r>
    <n v="2026"/>
    <n v="7"/>
    <s v="31-07-2026"/>
    <n v="12900"/>
    <s v="1101-04"/>
    <n v="69980"/>
    <n v="0"/>
    <s v="Centralización recaudaciones julio 2026 #5523 - #5523"/>
    <n v="69980"/>
    <s v="Activo"/>
    <n v="69980"/>
    <x v="2"/>
  </r>
  <r>
    <n v="2026"/>
    <n v="7"/>
    <s v="31-07-2026"/>
    <n v="12901"/>
    <s v="1101-04"/>
    <n v="49970"/>
    <n v="0"/>
    <s v="Centralización recaudaciones julio 2026 #5524 - #5524"/>
    <n v="49970"/>
    <s v="Activo"/>
    <n v="49970"/>
    <x v="2"/>
  </r>
  <r>
    <n v="2026"/>
    <n v="7"/>
    <s v="31-07-2026"/>
    <n v="12938"/>
    <s v="1101-04"/>
    <n v="70980"/>
    <n v="0"/>
    <s v="Centralización recaudaciones julio 2026 #5559 - #5559"/>
    <n v="70980"/>
    <s v="Activo"/>
    <n v="70980"/>
    <x v="2"/>
  </r>
  <r>
    <n v="2026"/>
    <n v="7"/>
    <s v="31-07-2026"/>
    <n v="12945"/>
    <s v="1101-04"/>
    <n v="219960"/>
    <n v="0"/>
    <s v="Centralización recaudaciones julio 2026 #5566 - #5566"/>
    <n v="219960"/>
    <s v="Activo"/>
    <n v="219960"/>
    <x v="2"/>
  </r>
  <r>
    <n v="2026"/>
    <n v="7"/>
    <s v="31-07-2026"/>
    <n v="12976"/>
    <s v="1101-04"/>
    <n v="19990"/>
    <n v="0"/>
    <s v="Centralización recaudaciones julio 2026 #5597 - #5597"/>
    <n v="19990"/>
    <s v="Activo"/>
    <n v="19990"/>
    <x v="2"/>
  </r>
  <r>
    <n v="2026"/>
    <n v="7"/>
    <s v="31-07-2026"/>
    <n v="12994"/>
    <s v="1101-04"/>
    <n v="10531"/>
    <n v="0"/>
    <s v="Centralización recaudaciones julio 2026 #5615 - #5615"/>
    <n v="10531"/>
    <s v="Activo"/>
    <n v="10531"/>
    <x v="2"/>
  </r>
  <r>
    <n v="2026"/>
    <n v="7"/>
    <s v="31-07-2026"/>
    <n v="13010"/>
    <s v="1101-04"/>
    <n v="43782"/>
    <n v="0"/>
    <s v="Centralización recaudaciones julio 2026 #5631 - #5631"/>
    <n v="43782"/>
    <s v="Activo"/>
    <n v="43782"/>
    <x v="2"/>
  </r>
  <r>
    <n v="2026"/>
    <n v="7"/>
    <s v="31-07-2026"/>
    <n v="13022"/>
    <s v="1101-04"/>
    <n v="437448"/>
    <n v="0"/>
    <s v="Centralización recaudaciones julio 2026 #5643 - #5643"/>
    <n v="437448"/>
    <s v="Activo"/>
    <n v="437448"/>
    <x v="2"/>
  </r>
  <r>
    <n v="2026"/>
    <n v="7"/>
    <s v="31-07-2026"/>
    <n v="13029"/>
    <s v="1101-04"/>
    <n v="4214"/>
    <n v="0"/>
    <s v="Centralización recaudaciones julio 2026 #5650 - #5650"/>
    <n v="4214"/>
    <s v="Activo"/>
    <n v="4214"/>
    <x v="2"/>
  </r>
  <r>
    <n v="2026"/>
    <n v="7"/>
    <s v="31-07-2026"/>
    <n v="13044"/>
    <s v="1101-04"/>
    <n v="42990"/>
    <n v="0"/>
    <s v="Centralización recaudaciones julio 2026 #5665 - #5665"/>
    <n v="42990"/>
    <s v="Activo"/>
    <n v="42990"/>
    <x v="2"/>
  </r>
  <r>
    <n v="2026"/>
    <n v="7"/>
    <s v="31-07-2026"/>
    <n v="13061"/>
    <s v="1101-04"/>
    <n v="44990"/>
    <n v="0"/>
    <s v="Centralización recaudaciones julio 2026 #5682 - #5682"/>
    <n v="44990"/>
    <s v="Activo"/>
    <n v="44990"/>
    <x v="2"/>
  </r>
  <r>
    <n v="2026"/>
    <n v="7"/>
    <s v="31-07-2026"/>
    <n v="13068"/>
    <s v="1101-04"/>
    <n v="50000"/>
    <n v="0"/>
    <s v="Centralización recaudaciones julio 2026 #5689 - #5689"/>
    <n v="50000"/>
    <s v="Activo"/>
    <n v="50000"/>
    <x v="2"/>
  </r>
  <r>
    <n v="2026"/>
    <n v="7"/>
    <s v="31-07-2026"/>
    <n v="13069"/>
    <s v="1101-04"/>
    <n v="50000"/>
    <n v="0"/>
    <s v="Centralización recaudaciones julio 2026 #5690 - #5690"/>
    <n v="50000"/>
    <s v="Activo"/>
    <n v="50000"/>
    <x v="2"/>
  </r>
  <r>
    <n v="2026"/>
    <n v="7"/>
    <s v="31-07-2026"/>
    <n v="13093"/>
    <s v="1101-04"/>
    <n v="70970"/>
    <n v="0"/>
    <s v="Centralización recaudaciones julio 2026 #5714 - #5714"/>
    <n v="70970"/>
    <s v="Activo"/>
    <n v="70970"/>
    <x v="2"/>
  </r>
  <r>
    <n v="2026"/>
    <n v="7"/>
    <s v="31-07-2026"/>
    <n v="13094"/>
    <s v="1101-04"/>
    <n v="43980"/>
    <n v="0"/>
    <s v="Centralización recaudaciones julio 2026 #5715 - #5715"/>
    <n v="43980"/>
    <s v="Activo"/>
    <n v="43980"/>
    <x v="2"/>
  </r>
  <r>
    <n v="2026"/>
    <n v="7"/>
    <s v="31-07-2026"/>
    <n v="13095"/>
    <s v="1101-04"/>
    <n v="69990"/>
    <n v="0"/>
    <s v="Centralización recaudaciones julio 2026 #5716 - #5716"/>
    <n v="69990"/>
    <s v="Activo"/>
    <n v="69990"/>
    <x v="2"/>
  </r>
  <r>
    <n v="2026"/>
    <n v="7"/>
    <s v="31-07-2026"/>
    <n v="13099"/>
    <s v="1101-04"/>
    <n v="69980"/>
    <n v="0"/>
    <s v="Centralización recaudaciones julio 2026 #5720 - #5720"/>
    <n v="69980"/>
    <s v="Activo"/>
    <n v="69980"/>
    <x v="2"/>
  </r>
  <r>
    <n v="2026"/>
    <n v="7"/>
    <s v="31-07-2026"/>
    <n v="13107"/>
    <s v="1101-04"/>
    <n v="50000"/>
    <n v="0"/>
    <s v="Centralización recaudaciones julio 2026 #5728 - #5728"/>
    <n v="50000"/>
    <s v="Activo"/>
    <n v="50000"/>
    <x v="2"/>
  </r>
  <r>
    <n v="2026"/>
    <n v="7"/>
    <s v="31-07-2026"/>
    <n v="13109"/>
    <s v="1101-04"/>
    <n v="29990"/>
    <n v="0"/>
    <s v="Centralización recaudaciones julio 2026 #5730 - #5730"/>
    <n v="29990"/>
    <s v="Activo"/>
    <n v="29990"/>
    <x v="2"/>
  </r>
  <r>
    <n v="2026"/>
    <n v="7"/>
    <s v="31-07-2026"/>
    <n v="13112"/>
    <s v="1101-04"/>
    <n v="44990"/>
    <n v="0"/>
    <s v="Centralización recaudaciones julio 2026 #5733 - #5733"/>
    <n v="44990"/>
    <s v="Activo"/>
    <n v="44990"/>
    <x v="2"/>
  </r>
  <r>
    <n v="2026"/>
    <n v="7"/>
    <s v="31-07-2026"/>
    <n v="13150"/>
    <s v="1101-04"/>
    <n v="66640"/>
    <n v="0"/>
    <s v="Centralización recaudaciones julio 2026 #5771 - #5771"/>
    <n v="66640"/>
    <s v="Activo"/>
    <n v="66640"/>
    <x v="2"/>
  </r>
  <r>
    <n v="2026"/>
    <n v="7"/>
    <s v="31-07-2026"/>
    <n v="13178"/>
    <s v="1101-04"/>
    <n v="38980"/>
    <n v="0"/>
    <s v="Centralización recaudaciones julio 2026 #5799 - #5799"/>
    <n v="38980"/>
    <s v="Activo"/>
    <n v="38980"/>
    <x v="2"/>
  </r>
  <r>
    <n v="2026"/>
    <n v="7"/>
    <s v="31-07-2026"/>
    <n v="13189"/>
    <s v="1101-04"/>
    <n v="44990"/>
    <n v="0"/>
    <s v="Centralización recaudaciones julio 2026 #5810 - #5810"/>
    <n v="44990"/>
    <s v="Activo"/>
    <n v="44990"/>
    <x v="2"/>
  </r>
  <r>
    <n v="2026"/>
    <n v="7"/>
    <s v="31-07-2026"/>
    <n v="13190"/>
    <s v="1101-04"/>
    <n v="49980"/>
    <n v="0"/>
    <s v="Centralización recaudaciones julio 2026 #5811 - #5811"/>
    <n v="49980"/>
    <s v="Activo"/>
    <n v="49980"/>
    <x v="2"/>
  </r>
  <r>
    <n v="2026"/>
    <n v="7"/>
    <s v="31-07-2026"/>
    <n v="13222"/>
    <s v="1101-04"/>
    <n v="520000"/>
    <n v="0"/>
    <s v="Centralización recaudaciones julio 2026 #5843 - #5843"/>
    <n v="520000"/>
    <s v="Activo"/>
    <n v="520000"/>
    <x v="2"/>
  </r>
  <r>
    <n v="2026"/>
    <n v="7"/>
    <s v="31-07-2026"/>
    <n v="13229"/>
    <s v="1101-04"/>
    <n v="520000"/>
    <n v="0"/>
    <s v="Centralización recaudaciones julio 2026 #5850 - #5850"/>
    <n v="520000"/>
    <s v="Activo"/>
    <n v="520000"/>
    <x v="2"/>
  </r>
  <r>
    <n v="2026"/>
    <n v="7"/>
    <s v="31-07-2026"/>
    <n v="13251"/>
    <s v="1101-04"/>
    <n v="89250"/>
    <n v="0"/>
    <s v="Centralización recaudaciones julio 2026 #5872 - #5872"/>
    <n v="89250"/>
    <s v="Activo"/>
    <n v="89250"/>
    <x v="2"/>
  </r>
  <r>
    <n v="2026"/>
    <n v="7"/>
    <s v="31-07-2026"/>
    <n v="13277"/>
    <s v="1101-04"/>
    <n v="1706000"/>
    <n v="0"/>
    <s v="Centralización recaudaciones julio 2026 #5898 - #5898"/>
    <n v="1706000"/>
    <s v="Activo"/>
    <n v="1706000"/>
    <x v="2"/>
  </r>
  <r>
    <n v="2026"/>
    <n v="7"/>
    <s v="31-07-2026"/>
    <n v="13290"/>
    <s v="1101-04"/>
    <n v="50000"/>
    <n v="0"/>
    <s v="Centralización recaudaciones julio 2026 #5911 - #5911"/>
    <n v="50000"/>
    <s v="Activo"/>
    <n v="50000"/>
    <x v="2"/>
  </r>
  <r>
    <n v="2026"/>
    <n v="7"/>
    <s v="31-07-2026"/>
    <n v="13297"/>
    <s v="1101-04"/>
    <n v="378420"/>
    <n v="0"/>
    <s v="Centralización recaudaciones julio 2026 #5918 - #5918"/>
    <n v="378420"/>
    <s v="Activo"/>
    <n v="378420"/>
    <x v="2"/>
  </r>
  <r>
    <n v="2026"/>
    <n v="7"/>
    <s v="31-07-2026"/>
    <n v="13298"/>
    <s v="1101-04"/>
    <n v="50000"/>
    <n v="0"/>
    <s v="Centralización recaudaciones julio 2026 #5919 - #5919"/>
    <n v="50000"/>
    <s v="Activo"/>
    <n v="50000"/>
    <x v="2"/>
  </r>
  <r>
    <n v="2026"/>
    <n v="7"/>
    <s v="31-07-2026"/>
    <n v="13313"/>
    <s v="1101-04"/>
    <n v="45000"/>
    <n v="0"/>
    <s v="Centralización recaudaciones julio 2026 #5934 - #5934"/>
    <n v="45000"/>
    <s v="Activo"/>
    <n v="45000"/>
    <x v="2"/>
  </r>
  <r>
    <n v="2026"/>
    <n v="7"/>
    <s v="31-07-2026"/>
    <n v="13323"/>
    <s v="1101-04"/>
    <n v="49564"/>
    <n v="0"/>
    <s v="Centralización recaudaciones julio 2026 #5944 - #5944"/>
    <n v="49564"/>
    <s v="Activo"/>
    <n v="49564"/>
    <x v="2"/>
  </r>
  <r>
    <n v="2026"/>
    <n v="7"/>
    <s v="31-07-2026"/>
    <n v="13327"/>
    <s v="1101-04"/>
    <n v="70993"/>
    <n v="0"/>
    <s v="Centralización recaudaciones julio 2026 #5948 - #5948"/>
    <n v="70993"/>
    <s v="Activo"/>
    <n v="70993"/>
    <x v="2"/>
  </r>
  <r>
    <n v="2026"/>
    <n v="7"/>
    <s v="31-07-2026"/>
    <n v="13328"/>
    <s v="1101-04"/>
    <n v="71492"/>
    <n v="0"/>
    <s v="Centralización recaudaciones julio 2026 #5949 - #5949"/>
    <n v="71492"/>
    <s v="Activo"/>
    <n v="71492"/>
    <x v="2"/>
  </r>
  <r>
    <n v="2026"/>
    <n v="7"/>
    <s v="31-07-2026"/>
    <n v="10894"/>
    <s v="1101-04"/>
    <n v="0"/>
    <n v="2000000"/>
    <s v="Traspaso entre cuentas"/>
    <n v="-2000000"/>
    <s v="Activo"/>
    <n v="-2000000"/>
    <x v="2"/>
  </r>
  <r>
    <n v="2026"/>
    <n v="7"/>
    <s v="31-07-2026"/>
    <n v="10895"/>
    <s v="1101-04"/>
    <n v="200000"/>
    <n v="0"/>
    <s v="Traspaso entre cuentas"/>
    <n v="200000"/>
    <s v="Activo"/>
    <n v="200000"/>
    <x v="2"/>
  </r>
  <r>
    <n v="2026"/>
    <n v="1"/>
    <s v="01-01-2026"/>
    <n v="9827"/>
    <s v="1101-05"/>
    <n v="30783578"/>
    <n v="0"/>
    <s v=""/>
    <n v="30783578"/>
    <s v="Activo"/>
    <n v="30783578"/>
    <x v="3"/>
  </r>
  <r>
    <n v="2026"/>
    <n v="1"/>
    <s v="05-01-2026"/>
    <n v="6915"/>
    <s v="1101-05"/>
    <n v="0"/>
    <n v="1784608"/>
    <s v="Pago credito pac cuota 43 n00033349988"/>
    <n v="-1784608"/>
    <s v="Activo"/>
    <n v="-1784608"/>
    <x v="3"/>
  </r>
  <r>
    <n v="2026"/>
    <n v="1"/>
    <s v="05-01-2026"/>
    <n v="6916"/>
    <s v="1101-05"/>
    <n v="0"/>
    <n v="1732468"/>
    <s v="Pago credito pac credito n 38648612 cuota 9"/>
    <n v="-1732468"/>
    <s v="Activo"/>
    <n v="-1732468"/>
    <x v="3"/>
  </r>
  <r>
    <n v="2026"/>
    <n v="1"/>
    <s v="12-01-2026"/>
    <n v="6918"/>
    <s v="1101-05"/>
    <n v="0"/>
    <n v="2078512"/>
    <s v="Pago credito pac credito 00036361722 cuota 26"/>
    <n v="-2078512"/>
    <s v="Activo"/>
    <n v="-2078512"/>
    <x v="3"/>
  </r>
  <r>
    <n v="2026"/>
    <n v="1"/>
    <s v="31-01-2026"/>
    <n v="7308"/>
    <s v="1101-05"/>
    <n v="0"/>
    <n v="6806"/>
    <s v="Centralización pagos enero 2026 - #579"/>
    <n v="-6806"/>
    <s v="Activo"/>
    <n v="-6806"/>
    <x v="3"/>
  </r>
  <r>
    <n v="2026"/>
    <n v="2"/>
    <s v="05-02-2026"/>
    <n v="7304"/>
    <s v="1101-05"/>
    <n v="0"/>
    <n v="1784608"/>
    <s v="Pago cuota 44-60  prestamo banco estado n00033349988"/>
    <n v="-1784608"/>
    <s v="Activo"/>
    <n v="-1784608"/>
    <x v="3"/>
  </r>
  <r>
    <n v="2026"/>
    <n v="2"/>
    <s v="05-02-2026"/>
    <n v="7305"/>
    <s v="1101-05"/>
    <n v="0"/>
    <n v="1732468"/>
    <s v="Pago cuota 10-59 credito estado 00038648612"/>
    <n v="-1732468"/>
    <s v="Activo"/>
    <n v="-1732468"/>
    <x v="3"/>
  </r>
  <r>
    <n v="2026"/>
    <n v="2"/>
    <s v="10-02-2026"/>
    <n v="7306"/>
    <s v="1101-05"/>
    <n v="0"/>
    <n v="2078512"/>
    <s v="Pago cuota 27- 35 credito estado 00036361722 pasivo"/>
    <n v="-2078512"/>
    <s v="Activo"/>
    <n v="-2078512"/>
    <x v="3"/>
  </r>
  <r>
    <n v="2026"/>
    <n v="2"/>
    <s v="11-02-2026"/>
    <n v="10595"/>
    <s v="1101-05"/>
    <n v="3000000"/>
    <n v="0"/>
    <s v="Traspaso banco estado cta. cte. 35500021347"/>
    <n v="3000000"/>
    <s v="Activo"/>
    <n v="3000000"/>
    <x v="3"/>
  </r>
  <r>
    <n v="2026"/>
    <n v="2"/>
    <s v="23-02-2026"/>
    <n v="7103"/>
    <s v="1101-05"/>
    <n v="5000000"/>
    <n v="0"/>
    <s v="Transferencia estado 35500021347"/>
    <n v="5000000"/>
    <s v="Activo"/>
    <n v="5000000"/>
    <x v="3"/>
  </r>
  <r>
    <n v="2026"/>
    <n v="2"/>
    <s v="23-02-2026"/>
    <n v="7103"/>
    <s v="1101-05"/>
    <n v="5000000"/>
    <n v="0"/>
    <s v="Transferencia estado 35500021347"/>
    <n v="5000000"/>
    <s v="Activo"/>
    <n v="5000000"/>
    <x v="3"/>
  </r>
  <r>
    <n v="2026"/>
    <n v="2"/>
    <s v="23-02-2026"/>
    <n v="7103"/>
    <s v="1101-05"/>
    <n v="5000000"/>
    <n v="0"/>
    <s v="Transferencia estado 35500021347"/>
    <n v="5000000"/>
    <s v="Activo"/>
    <n v="5000000"/>
    <x v="3"/>
  </r>
  <r>
    <n v="2026"/>
    <n v="2"/>
    <s v="23-02-2026"/>
    <n v="7103"/>
    <s v="1101-05"/>
    <n v="5000000"/>
    <n v="0"/>
    <s v="Transferencia estado 35500021347"/>
    <n v="5000000"/>
    <s v="Activo"/>
    <n v="5000000"/>
    <x v="3"/>
  </r>
  <r>
    <n v="2026"/>
    <n v="2"/>
    <s v="23-02-2026"/>
    <n v="11075"/>
    <s v="1101-05"/>
    <n v="0"/>
    <n v="5000000"/>
    <s v="0765406986 transf. bco estado 347"/>
    <n v="-5000000"/>
    <s v="Activo"/>
    <n v="-5000000"/>
    <x v="3"/>
  </r>
  <r>
    <n v="2026"/>
    <n v="2"/>
    <s v="23-02-2026"/>
    <n v="11076"/>
    <s v="1101-05"/>
    <n v="0"/>
    <n v="5000000"/>
    <s v="0765406986 transf. bco estado 347"/>
    <n v="-5000000"/>
    <s v="Activo"/>
    <n v="-5000000"/>
    <x v="3"/>
  </r>
  <r>
    <n v="2026"/>
    <n v="2"/>
    <s v="23-02-2026"/>
    <n v="11078"/>
    <s v="1101-05"/>
    <n v="0"/>
    <n v="5000000"/>
    <s v="0765406986 transf. bco estado 347"/>
    <n v="-5000000"/>
    <s v="Activo"/>
    <n v="-5000000"/>
    <x v="3"/>
  </r>
  <r>
    <n v="2026"/>
    <n v="2"/>
    <s v="23-02-2026"/>
    <n v="11079"/>
    <s v="1101-05"/>
    <n v="0"/>
    <n v="5000000"/>
    <s v="0765406986 transf. bco estado 347"/>
    <n v="-5000000"/>
    <s v="Activo"/>
    <n v="-5000000"/>
    <x v="3"/>
  </r>
  <r>
    <n v="2026"/>
    <n v="2"/>
    <s v="26-02-2026"/>
    <n v="7253"/>
    <s v="1101-05"/>
    <n v="7000000"/>
    <n v="0"/>
    <s v="0765406986 transf. bco estado 347"/>
    <n v="7000000"/>
    <s v="Activo"/>
    <n v="7000000"/>
    <x v="3"/>
  </r>
  <r>
    <n v="2026"/>
    <n v="2"/>
    <s v="26-02-2026"/>
    <n v="7254"/>
    <s v="1101-05"/>
    <n v="7000000"/>
    <n v="0"/>
    <s v="0765406986 transf. bco estado 347"/>
    <n v="7000000"/>
    <s v="Activo"/>
    <n v="7000000"/>
    <x v="3"/>
  </r>
  <r>
    <n v="2026"/>
    <n v="2"/>
    <s v="26-02-2026"/>
    <n v="7255"/>
    <s v="1101-05"/>
    <n v="7000000"/>
    <n v="0"/>
    <s v="0765406986 transf. bco estado 347"/>
    <n v="7000000"/>
    <s v="Activo"/>
    <n v="7000000"/>
    <x v="3"/>
  </r>
  <r>
    <n v="2026"/>
    <n v="2"/>
    <s v="26-02-2026"/>
    <n v="7256"/>
    <s v="1101-05"/>
    <n v="7000000"/>
    <n v="0"/>
    <s v="0765406986 transf. bco estado 347"/>
    <n v="7000000"/>
    <s v="Activo"/>
    <n v="7000000"/>
    <x v="3"/>
  </r>
  <r>
    <n v="2026"/>
    <n v="2"/>
    <s v="26-02-2026"/>
    <n v="7257"/>
    <s v="1101-05"/>
    <n v="7000000"/>
    <n v="0"/>
    <s v="0765406986 transf. bco estado 347"/>
    <n v="7000000"/>
    <s v="Activo"/>
    <n v="7000000"/>
    <x v="3"/>
  </r>
  <r>
    <n v="2026"/>
    <n v="2"/>
    <s v="26-02-2026"/>
    <n v="7258"/>
    <s v="1101-05"/>
    <n v="7000000"/>
    <n v="0"/>
    <s v="0765406986 transf. bco estado 347"/>
    <n v="7000000"/>
    <s v="Activo"/>
    <n v="7000000"/>
    <x v="3"/>
  </r>
  <r>
    <n v="2026"/>
    <n v="2"/>
    <s v="26-02-2026"/>
    <n v="7259"/>
    <s v="1101-05"/>
    <n v="7000000"/>
    <n v="0"/>
    <s v="0765406986 transf. bco estado 347"/>
    <n v="7000000"/>
    <s v="Activo"/>
    <n v="7000000"/>
    <x v="3"/>
  </r>
  <r>
    <n v="2026"/>
    <n v="2"/>
    <s v="26-02-2026"/>
    <n v="7260"/>
    <s v="1101-05"/>
    <n v="7000000"/>
    <n v="0"/>
    <s v="0765406986 transf. bco estado 347"/>
    <n v="7000000"/>
    <s v="Activo"/>
    <n v="7000000"/>
    <x v="3"/>
  </r>
  <r>
    <n v="2026"/>
    <n v="2"/>
    <s v="26-02-2026"/>
    <n v="7261"/>
    <s v="1101-05"/>
    <n v="7000000"/>
    <n v="0"/>
    <s v="0765406986 transf. bco estado 347"/>
    <n v="7000000"/>
    <s v="Activo"/>
    <n v="7000000"/>
    <x v="3"/>
  </r>
  <r>
    <n v="2026"/>
    <n v="2"/>
    <s v="26-02-2026"/>
    <n v="7262"/>
    <s v="1101-05"/>
    <n v="7000000"/>
    <n v="0"/>
    <s v="0765406986 transf. bco estado 347"/>
    <n v="7000000"/>
    <s v="Activo"/>
    <n v="7000000"/>
    <x v="3"/>
  </r>
  <r>
    <n v="2026"/>
    <n v="2"/>
    <s v="26-02-2026"/>
    <n v="7263"/>
    <s v="1101-05"/>
    <n v="7000000"/>
    <n v="0"/>
    <s v="0765406986 transf. bco estado 347"/>
    <n v="7000000"/>
    <s v="Activo"/>
    <n v="7000000"/>
    <x v="3"/>
  </r>
  <r>
    <n v="2026"/>
    <n v="2"/>
    <s v="26-02-2026"/>
    <n v="7264"/>
    <s v="1101-05"/>
    <n v="7000000"/>
    <n v="0"/>
    <s v="0765406986 transf. bco estado 347"/>
    <n v="7000000"/>
    <s v="Activo"/>
    <n v="7000000"/>
    <x v="3"/>
  </r>
  <r>
    <n v="2026"/>
    <n v="2"/>
    <s v="26-02-2026"/>
    <n v="7265"/>
    <s v="1101-05"/>
    <n v="7000000"/>
    <n v="0"/>
    <s v="0765406986 transf. bco estado 347"/>
    <n v="7000000"/>
    <s v="Activo"/>
    <n v="7000000"/>
    <x v="3"/>
  </r>
  <r>
    <n v="2026"/>
    <n v="2"/>
    <s v="26-02-2026"/>
    <n v="7266"/>
    <s v="1101-05"/>
    <n v="7000000"/>
    <n v="0"/>
    <s v="0765406986 transf. bco estado 347"/>
    <n v="7000000"/>
    <s v="Activo"/>
    <n v="7000000"/>
    <x v="3"/>
  </r>
  <r>
    <n v="2026"/>
    <n v="2"/>
    <s v="26-02-2026"/>
    <n v="7269"/>
    <s v="1101-05"/>
    <n v="1198500"/>
    <n v="0"/>
    <s v="0765406986 transf. bco estado 347"/>
    <n v="1198500"/>
    <s v="Activo"/>
    <n v="1198500"/>
    <x v="3"/>
  </r>
  <r>
    <n v="2026"/>
    <n v="2"/>
    <s v="26-02-2026"/>
    <n v="10597"/>
    <s v="1101-05"/>
    <n v="0"/>
    <n v="97000000"/>
    <s v="Traspaso a bco estado 291"/>
    <n v="-97000000"/>
    <s v="Activo"/>
    <n v="-97000000"/>
    <x v="3"/>
  </r>
  <r>
    <n v="2026"/>
    <n v="2"/>
    <s v="26-02-2026"/>
    <n v="10597"/>
    <s v="1101-05"/>
    <n v="0"/>
    <n v="2198500"/>
    <s v="Traspaso a bco estado 291"/>
    <n v="-2198500"/>
    <s v="Activo"/>
    <n v="-2198500"/>
    <x v="3"/>
  </r>
  <r>
    <n v="2026"/>
    <n v="2"/>
    <s v="28-02-2026"/>
    <n v="7307"/>
    <s v="1101-05"/>
    <n v="0"/>
    <n v="6803"/>
    <s v="Centralización pagos febrero 2026 - #578"/>
    <n v="-6803"/>
    <s v="Activo"/>
    <n v="-6803"/>
    <x v="3"/>
  </r>
  <r>
    <n v="2026"/>
    <n v="3"/>
    <s v="05-03-2026"/>
    <n v="7477"/>
    <s v="1101-05"/>
    <n v="0"/>
    <n v="1732468"/>
    <s v="Pago cuota 11-59 credito estado 00038648612"/>
    <n v="-1732468"/>
    <s v="Activo"/>
    <n v="-1732468"/>
    <x v="3"/>
  </r>
  <r>
    <n v="2026"/>
    <n v="3"/>
    <s v="05-03-2026"/>
    <n v="7478"/>
    <s v="1101-05"/>
    <n v="0"/>
    <n v="1784608"/>
    <s v="Pago cuota 45-60 -prestamo banco estado n00033349988"/>
    <n v="-1784608"/>
    <s v="Activo"/>
    <n v="-1784608"/>
    <x v="3"/>
  </r>
  <r>
    <n v="2026"/>
    <n v="3"/>
    <s v="10-03-2026"/>
    <n v="7480"/>
    <s v="1101-05"/>
    <n v="0"/>
    <n v="2078512"/>
    <s v="Pago cuota 28-35 credito estado 00036361722"/>
    <n v="-2078512"/>
    <s v="Activo"/>
    <n v="-2078512"/>
    <x v="3"/>
  </r>
  <r>
    <n v="2026"/>
    <n v="3"/>
    <s v="24-03-2026"/>
    <n v="10747"/>
    <s v="1101-05"/>
    <n v="2226049"/>
    <n v="0"/>
    <s v="Estado_ch2p 35571038291"/>
    <n v="2226049"/>
    <s v="Activo"/>
    <n v="2226049"/>
    <x v="3"/>
  </r>
  <r>
    <n v="2026"/>
    <n v="3"/>
    <s v="27-03-2026"/>
    <n v="7481"/>
    <s v="1101-05"/>
    <n v="1000000"/>
    <n v="0"/>
    <s v="Estado_ch2p 35571038291"/>
    <n v="1000000"/>
    <s v="Activo"/>
    <n v="1000000"/>
    <x v="3"/>
  </r>
  <r>
    <n v="2026"/>
    <n v="3"/>
    <s v="31-03-2026"/>
    <n v="7479"/>
    <s v="1101-05"/>
    <n v="0"/>
    <n v="6817"/>
    <s v="Centralización pagos marzo 2026 - #580"/>
    <n v="-6817"/>
    <s v="Activo"/>
    <n v="-6817"/>
    <x v="3"/>
  </r>
  <r>
    <n v="2026"/>
    <n v="4"/>
    <s v="06-04-2026"/>
    <n v="7691"/>
    <s v="1101-05"/>
    <n v="0"/>
    <n v="1784608"/>
    <s v="Pago cuota 46 de 60 - tlink spa prestamo banco estado n00033349988"/>
    <n v="-1784608"/>
    <s v="Activo"/>
    <n v="-1784608"/>
    <x v="3"/>
  </r>
  <r>
    <n v="2026"/>
    <n v="4"/>
    <s v="06-04-2026"/>
    <n v="7692"/>
    <s v="1101-05"/>
    <n v="0"/>
    <n v="1732468"/>
    <s v="Pago cuota 12 de 59 - tlink spa credito estado 00038648612"/>
    <n v="-1732468"/>
    <s v="Activo"/>
    <n v="-1732468"/>
    <x v="3"/>
  </r>
  <r>
    <n v="2026"/>
    <n v="4"/>
    <s v="06-04-2026"/>
    <n v="11806"/>
    <s v="1101-05"/>
    <n v="0"/>
    <n v="5000000"/>
    <s v="0765406986 transf. 35500021347"/>
    <n v="-5000000"/>
    <s v="Activo"/>
    <n v="-5000000"/>
    <x v="3"/>
  </r>
  <r>
    <n v="2026"/>
    <n v="4"/>
    <s v="06-04-2026"/>
    <n v="11807"/>
    <s v="1101-05"/>
    <n v="0"/>
    <n v="5000000"/>
    <s v="0765406986 transf. 35500021347"/>
    <n v="-5000000"/>
    <s v="Activo"/>
    <n v="-5000000"/>
    <x v="3"/>
  </r>
  <r>
    <n v="2026"/>
    <n v="4"/>
    <s v="08-04-2026"/>
    <n v="7695"/>
    <s v="1101-05"/>
    <n v="0"/>
    <n v="6827"/>
    <s v="Banco del estado de chile"/>
    <n v="-6827"/>
    <s v="Activo"/>
    <n v="-6827"/>
    <x v="3"/>
  </r>
  <r>
    <n v="2026"/>
    <n v="4"/>
    <s v="09-04-2026"/>
    <n v="7693"/>
    <s v="1101-05"/>
    <n v="0"/>
    <n v="5000000"/>
    <s v="Transferencia fondos internet"/>
    <n v="-5000000"/>
    <s v="Activo"/>
    <n v="-5000000"/>
    <x v="3"/>
  </r>
  <r>
    <n v="2026"/>
    <n v="4"/>
    <s v="09-04-2026"/>
    <n v="7694"/>
    <s v="1101-05"/>
    <n v="0"/>
    <n v="5000000"/>
    <s v="Transferencia fondos internet"/>
    <n v="-5000000"/>
    <s v="Activo"/>
    <n v="-5000000"/>
    <x v="3"/>
  </r>
  <r>
    <n v="2026"/>
    <n v="4"/>
    <s v="09-04-2026"/>
    <n v="11864"/>
    <s v="1101-05"/>
    <n v="5000000"/>
    <n v="0"/>
    <s v="Transferencia fondos internet"/>
    <n v="5000000"/>
    <s v="Activo"/>
    <n v="5000000"/>
    <x v="3"/>
  </r>
  <r>
    <n v="2026"/>
    <n v="4"/>
    <s v="09-04-2026"/>
    <n v="11865"/>
    <s v="1101-05"/>
    <n v="151731"/>
    <n v="0"/>
    <s v="Transferencia fondos internet"/>
    <n v="151731"/>
    <s v="Activo"/>
    <n v="151731"/>
    <x v="3"/>
  </r>
  <r>
    <n v="2026"/>
    <n v="4"/>
    <s v="09-04-2026"/>
    <n v="11866"/>
    <s v="1101-05"/>
    <n v="5000000"/>
    <n v="0"/>
    <s v="Transferencia fondos internet"/>
    <n v="5000000"/>
    <s v="Activo"/>
    <n v="5000000"/>
    <x v="3"/>
  </r>
  <r>
    <n v="2026"/>
    <n v="4"/>
    <s v="10-04-2026"/>
    <n v="7696"/>
    <s v="1101-05"/>
    <n v="0"/>
    <n v="2078512"/>
    <s v="Pago cuota 25 de 35 - tlink spa credito estado 00036361722"/>
    <n v="-2078512"/>
    <s v="Activo"/>
    <n v="-2078512"/>
    <x v="3"/>
  </r>
  <r>
    <n v="2026"/>
    <n v="4"/>
    <s v="20-04-2026"/>
    <n v="11867"/>
    <s v="1101-05"/>
    <n v="3250682"/>
    <n v="0"/>
    <s v="Transferencia fondos internet"/>
    <n v="3250682"/>
    <s v="Activo"/>
    <n v="3250682"/>
    <x v="3"/>
  </r>
  <r>
    <n v="2026"/>
    <n v="4"/>
    <s v="29-04-2026"/>
    <n v="11868"/>
    <s v="1101-05"/>
    <n v="1624429"/>
    <n v="0"/>
    <s v="Transferencia fondos internet"/>
    <n v="1624429"/>
    <s v="Activo"/>
    <n v="1624429"/>
    <x v="3"/>
  </r>
  <r>
    <n v="2026"/>
    <n v="4"/>
    <s v="29-04-2026"/>
    <n v="11869"/>
    <s v="1101-05"/>
    <n v="5000000"/>
    <n v="0"/>
    <s v="Transferencia fondos internet"/>
    <n v="5000000"/>
    <s v="Activo"/>
    <n v="5000000"/>
    <x v="3"/>
  </r>
  <r>
    <n v="2026"/>
    <n v="5"/>
    <s v="05-05-2026"/>
    <n v="7862"/>
    <s v="1101-05"/>
    <n v="0"/>
    <n v="1732468"/>
    <s v="Pac credito cuota 13 de 59"/>
    <n v="-1732468"/>
    <s v="Activo"/>
    <n v="-1732468"/>
    <x v="3"/>
  </r>
  <r>
    <n v="2026"/>
    <n v="5"/>
    <s v="05-05-2026"/>
    <n v="7863"/>
    <s v="1101-05"/>
    <n v="0"/>
    <n v="1784608"/>
    <s v="Pac credito cuota 47 de 60"/>
    <n v="-1784608"/>
    <s v="Activo"/>
    <n v="-1784608"/>
    <x v="3"/>
  </r>
  <r>
    <n v="2026"/>
    <n v="5"/>
    <s v="06-05-2026"/>
    <n v="11946"/>
    <s v="1101-05"/>
    <n v="3685131"/>
    <n v="0"/>
    <s v="Transferencia de cuenta 35571038291"/>
    <n v="3685131"/>
    <s v="Activo"/>
    <n v="3685131"/>
    <x v="3"/>
  </r>
  <r>
    <n v="2026"/>
    <n v="5"/>
    <s v="08-05-2026"/>
    <n v="7864"/>
    <s v="1101-05"/>
    <n v="0"/>
    <n v="6874"/>
    <s v="Cargo por caja"/>
    <n v="-6874"/>
    <s v="Activo"/>
    <n v="-6874"/>
    <x v="3"/>
  </r>
  <r>
    <n v="2026"/>
    <n v="5"/>
    <s v="11-05-2026"/>
    <n v="7865"/>
    <s v="1101-05"/>
    <n v="0"/>
    <n v="2078512"/>
    <s v="Pago credito pac"/>
    <n v="-2078512"/>
    <s v="Activo"/>
    <n v="-2078512"/>
    <x v="3"/>
  </r>
  <r>
    <n v="2026"/>
    <n v="5"/>
    <s v="13-05-2026"/>
    <n v="11947"/>
    <s v="1101-05"/>
    <n v="3000000"/>
    <n v="0"/>
    <s v="Transferencia de cuenta 35571038291"/>
    <n v="3000000"/>
    <s v="Activo"/>
    <n v="3000000"/>
    <x v="3"/>
  </r>
  <r>
    <n v="2026"/>
    <n v="5"/>
    <s v="18-05-2026"/>
    <n v="11948"/>
    <s v="1101-05"/>
    <n v="79356000"/>
    <n v="0"/>
    <s v="Credito otorgado n. 40424985"/>
    <n v="79356000"/>
    <s v="Activo"/>
    <n v="79356000"/>
    <x v="3"/>
  </r>
  <r>
    <n v="2026"/>
    <n v="5"/>
    <s v="19-05-2026"/>
    <n v="7866"/>
    <s v="1101-05"/>
    <n v="0"/>
    <n v="4356000"/>
    <s v="Transferencia a cuenta 35571038291"/>
    <n v="-4356000"/>
    <s v="Activo"/>
    <n v="-4356000"/>
    <x v="3"/>
  </r>
  <r>
    <n v="2026"/>
    <n v="5"/>
    <s v="19-05-2026"/>
    <n v="7867"/>
    <s v="1101-05"/>
    <n v="0"/>
    <n v="5000000"/>
    <s v="Transferencia a cuenta 35571038291"/>
    <n v="-5000000"/>
    <s v="Activo"/>
    <n v="-5000000"/>
    <x v="3"/>
  </r>
  <r>
    <n v="2026"/>
    <n v="5"/>
    <s v="19-05-2026"/>
    <n v="7868"/>
    <s v="1101-05"/>
    <n v="0"/>
    <n v="5000000"/>
    <s v="Transferencia a cuenta 35571038291"/>
    <n v="-5000000"/>
    <s v="Activo"/>
    <n v="-5000000"/>
    <x v="3"/>
  </r>
  <r>
    <n v="2026"/>
    <n v="5"/>
    <s v="19-05-2026"/>
    <n v="7869"/>
    <s v="1101-05"/>
    <n v="0"/>
    <n v="5000000"/>
    <s v="Transferencia a cuenta 35571038291"/>
    <n v="-5000000"/>
    <s v="Activo"/>
    <n v="-5000000"/>
    <x v="3"/>
  </r>
  <r>
    <n v="2026"/>
    <n v="5"/>
    <s v="19-05-2026"/>
    <n v="7870"/>
    <s v="1101-05"/>
    <n v="0"/>
    <n v="5000000"/>
    <s v="Transferencia a cuenta 35571038291"/>
    <n v="-5000000"/>
    <s v="Activo"/>
    <n v="-5000000"/>
    <x v="3"/>
  </r>
  <r>
    <n v="2026"/>
    <n v="5"/>
    <s v="19-05-2026"/>
    <n v="7871"/>
    <s v="1101-05"/>
    <n v="0"/>
    <n v="5000000"/>
    <s v="Transferencia a cuenta 35571038291"/>
    <n v="-5000000"/>
    <s v="Activo"/>
    <n v="-5000000"/>
    <x v="3"/>
  </r>
  <r>
    <n v="2026"/>
    <n v="5"/>
    <s v="19-05-2026"/>
    <n v="7872"/>
    <s v="1101-05"/>
    <n v="0"/>
    <n v="5000000"/>
    <s v="Transferencia a cuenta 35571038291"/>
    <n v="-5000000"/>
    <s v="Activo"/>
    <n v="-5000000"/>
    <x v="3"/>
  </r>
  <r>
    <n v="2026"/>
    <n v="5"/>
    <s v="19-05-2026"/>
    <n v="7873"/>
    <s v="1101-05"/>
    <n v="0"/>
    <n v="5000000"/>
    <s v="Transferencia a cuenta 35571038291"/>
    <n v="-5000000"/>
    <s v="Activo"/>
    <n v="-5000000"/>
    <x v="3"/>
  </r>
  <r>
    <n v="2026"/>
    <n v="5"/>
    <s v="19-05-2026"/>
    <n v="7874"/>
    <s v="1101-05"/>
    <n v="0"/>
    <n v="5000000"/>
    <s v="Transferencia a cuenta 35571038291"/>
    <n v="-5000000"/>
    <s v="Activo"/>
    <n v="-5000000"/>
    <x v="3"/>
  </r>
  <r>
    <n v="2026"/>
    <n v="5"/>
    <s v="19-05-2026"/>
    <n v="7875"/>
    <s v="1101-05"/>
    <n v="0"/>
    <n v="5000000"/>
    <s v="Transferencia a cuenta 35571038291"/>
    <n v="-5000000"/>
    <s v="Activo"/>
    <n v="-5000000"/>
    <x v="3"/>
  </r>
  <r>
    <n v="2026"/>
    <n v="5"/>
    <s v="19-05-2026"/>
    <n v="7876"/>
    <s v="1101-05"/>
    <n v="0"/>
    <n v="5000000"/>
    <s v="Transferencia a cuenta 35571038291"/>
    <n v="-5000000"/>
    <s v="Activo"/>
    <n v="-5000000"/>
    <x v="3"/>
  </r>
  <r>
    <n v="2026"/>
    <n v="5"/>
    <s v="19-05-2026"/>
    <n v="7877"/>
    <s v="1101-05"/>
    <n v="0"/>
    <n v="5000000"/>
    <s v="Transferencia a cuenta 35571038291"/>
    <n v="-5000000"/>
    <s v="Activo"/>
    <n v="-5000000"/>
    <x v="3"/>
  </r>
  <r>
    <n v="2026"/>
    <n v="5"/>
    <s v="19-05-2026"/>
    <n v="7878"/>
    <s v="1101-05"/>
    <n v="0"/>
    <n v="5000000"/>
    <s v="Transferencia a cuenta 35571038291"/>
    <n v="-5000000"/>
    <s v="Activo"/>
    <n v="-5000000"/>
    <x v="3"/>
  </r>
  <r>
    <n v="2026"/>
    <n v="5"/>
    <s v="19-05-2026"/>
    <n v="7879"/>
    <s v="1101-05"/>
    <n v="0"/>
    <n v="5000000"/>
    <s v="Transferencia a cuenta 35571038291"/>
    <n v="-5000000"/>
    <s v="Activo"/>
    <n v="-5000000"/>
    <x v="3"/>
  </r>
  <r>
    <n v="2026"/>
    <n v="5"/>
    <s v="19-05-2026"/>
    <n v="7880"/>
    <s v="1101-05"/>
    <n v="0"/>
    <n v="5000000"/>
    <s v="Transferencia a cuenta 35571038291"/>
    <n v="-5000000"/>
    <s v="Activo"/>
    <n v="-5000000"/>
    <x v="3"/>
  </r>
  <r>
    <n v="2026"/>
    <n v="5"/>
    <s v="19-05-2026"/>
    <n v="7881"/>
    <s v="1101-05"/>
    <n v="0"/>
    <n v="5000000"/>
    <s v="Transferencia a cuenta 35571038291"/>
    <n v="-5000000"/>
    <s v="Activo"/>
    <n v="-5000000"/>
    <x v="3"/>
  </r>
  <r>
    <n v="2026"/>
    <n v="5"/>
    <s v="27-05-2026"/>
    <n v="7882"/>
    <s v="1101-05"/>
    <n v="0"/>
    <n v="1491971"/>
    <s v="Transferencia a cuenta 35571038291"/>
    <n v="-1491971"/>
    <s v="Activo"/>
    <n v="-1491971"/>
    <x v="3"/>
  </r>
  <r>
    <n v="2026"/>
    <n v="5"/>
    <s v="27-05-2026"/>
    <n v="7883"/>
    <s v="1101-05"/>
    <n v="0"/>
    <n v="5000000"/>
    <s v="Transferencia a cuenta 35571038291"/>
    <n v="-5000000"/>
    <s v="Activo"/>
    <n v="-5000000"/>
    <x v="3"/>
  </r>
  <r>
    <n v="2026"/>
    <n v="5"/>
    <s v="27-05-2026"/>
    <n v="7884"/>
    <s v="1101-05"/>
    <n v="0"/>
    <n v="5000000"/>
    <s v="Transferencia a cuenta 35571038291"/>
    <n v="-5000000"/>
    <s v="Activo"/>
    <n v="-5000000"/>
    <x v="3"/>
  </r>
  <r>
    <n v="2026"/>
    <n v="5"/>
    <s v="27-05-2026"/>
    <n v="7885"/>
    <s v="1101-05"/>
    <n v="0"/>
    <n v="5000000"/>
    <s v="Transferencia a cuenta 35571038291"/>
    <n v="-5000000"/>
    <s v="Activo"/>
    <n v="-5000000"/>
    <x v="3"/>
  </r>
  <r>
    <n v="2026"/>
    <n v="5"/>
    <s v="27-05-2026"/>
    <n v="7886"/>
    <s v="1101-05"/>
    <n v="0"/>
    <n v="5000000"/>
    <s v="Transferencia a cuenta 35571038291"/>
    <n v="-5000000"/>
    <s v="Activo"/>
    <n v="-5000000"/>
    <x v="3"/>
  </r>
  <r>
    <n v="2026"/>
    <n v="5"/>
    <s v="27-05-2026"/>
    <n v="7887"/>
    <s v="1101-05"/>
    <n v="0"/>
    <n v="5000000"/>
    <s v="Transferencia a cuenta 35571038291"/>
    <n v="-5000000"/>
    <s v="Activo"/>
    <n v="-5000000"/>
    <x v="3"/>
  </r>
  <r>
    <n v="2026"/>
    <n v="5"/>
    <s v="27-05-2026"/>
    <n v="7888"/>
    <s v="1101-05"/>
    <n v="0"/>
    <n v="5000000"/>
    <s v="Transferencia a cuenta 35571038291"/>
    <n v="-5000000"/>
    <s v="Activo"/>
    <n v="-5000000"/>
    <x v="3"/>
  </r>
  <r>
    <n v="2026"/>
    <n v="5"/>
    <s v="27-05-2026"/>
    <n v="7889"/>
    <s v="1101-05"/>
    <n v="0"/>
    <n v="5000000"/>
    <s v="Transferencia a cuenta 35571038291"/>
    <n v="-5000000"/>
    <s v="Activo"/>
    <n v="-5000000"/>
    <x v="3"/>
  </r>
  <r>
    <n v="2026"/>
    <n v="5"/>
    <s v="27-05-2026"/>
    <n v="11949"/>
    <s v="1101-05"/>
    <n v="36491971"/>
    <n v="0"/>
    <s v="Devolucion impto a la renta at 2026"/>
    <n v="36491971"/>
    <s v="Activo"/>
    <n v="36491971"/>
    <x v="3"/>
  </r>
  <r>
    <n v="2026"/>
    <n v="5"/>
    <s v="29-05-2026"/>
    <n v="11943"/>
    <s v="1101-05"/>
    <n v="0"/>
    <n v="922890"/>
    <s v="0765406986 transf. tlink spa"/>
    <n v="-922890"/>
    <s v="Activo"/>
    <n v="-922890"/>
    <x v="3"/>
  </r>
  <r>
    <n v="2026"/>
    <n v="6"/>
    <s v="05-06-2026"/>
    <n v="7892"/>
    <s v="1101-05"/>
    <n v="0"/>
    <n v="1732468"/>
    <s v="Pac credito cuota 14 de 59"/>
    <n v="-1732468"/>
    <s v="Activo"/>
    <n v="-1732468"/>
    <x v="3"/>
  </r>
  <r>
    <n v="2026"/>
    <n v="6"/>
    <s v="05-06-2026"/>
    <n v="7893"/>
    <s v="1101-05"/>
    <n v="0"/>
    <n v="1784608"/>
    <s v="Pac credito cuota 48 de 60"/>
    <n v="-1784608"/>
    <s v="Activo"/>
    <n v="-1784608"/>
    <x v="3"/>
  </r>
  <r>
    <n v="2026"/>
    <n v="6"/>
    <s v="10-06-2026"/>
    <n v="7890"/>
    <s v="1101-05"/>
    <n v="0"/>
    <n v="2078512"/>
    <s v="Pac credito cuota 31 de 35"/>
    <n v="-2078512"/>
    <s v="Activo"/>
    <n v="-2078512"/>
    <x v="3"/>
  </r>
  <r>
    <n v="2026"/>
    <n v="6"/>
    <s v="30-06-2026"/>
    <n v="7978"/>
    <s v="1101-05"/>
    <n v="0"/>
    <n v="6957"/>
    <s v="Centralización pagos junio 2026 - #591"/>
    <n v="-6957"/>
    <s v="Activo"/>
    <n v="-6957"/>
    <x v="3"/>
  </r>
  <r>
    <n v="2026"/>
    <n v="7"/>
    <s v="02-07-2026"/>
    <n v="8440"/>
    <s v="1101-05"/>
    <n v="0"/>
    <n v="2990701"/>
    <s v="Pago fact 2602 solution box chile spa"/>
    <n v="-2990701"/>
    <s v="Activo"/>
    <n v="-2990701"/>
    <x v="3"/>
  </r>
  <r>
    <n v="2026"/>
    <n v="7"/>
    <s v="06-07-2026"/>
    <n v="8437"/>
    <s v="1101-05"/>
    <n v="0"/>
    <n v="1693645"/>
    <s v="Pac credito cuota 1"/>
    <n v="-1693645"/>
    <s v="Activo"/>
    <n v="-1693645"/>
    <x v="3"/>
  </r>
  <r>
    <n v="2026"/>
    <n v="7"/>
    <s v="06-07-2026"/>
    <n v="8438"/>
    <s v="1101-05"/>
    <n v="0"/>
    <n v="1732468"/>
    <s v="Pac credito cuota 15 de 59"/>
    <n v="-1732468"/>
    <s v="Activo"/>
    <n v="-1732468"/>
    <x v="3"/>
  </r>
  <r>
    <n v="2026"/>
    <n v="7"/>
    <s v="06-07-2026"/>
    <n v="8439"/>
    <s v="1101-05"/>
    <n v="0"/>
    <n v="1784608"/>
    <s v="Pac credito cuota 49 de 60"/>
    <n v="-1784608"/>
    <s v="Activo"/>
    <n v="-1784608"/>
    <x v="3"/>
  </r>
  <r>
    <n v="2026"/>
    <n v="7"/>
    <s v="06-07-2026"/>
    <n v="10862"/>
    <s v="1101-05"/>
    <n v="0"/>
    <n v="5000000"/>
    <s v="Traspaso entre bancos"/>
    <n v="-5000000"/>
    <s v="Activo"/>
    <n v="-5000000"/>
    <x v="3"/>
  </r>
  <r>
    <n v="2026"/>
    <n v="7"/>
    <s v="06-07-2026"/>
    <n v="10863"/>
    <s v="1101-05"/>
    <n v="0"/>
    <n v="5000000"/>
    <s v="Traspaso entre bancos"/>
    <n v="-5000000"/>
    <s v="Activo"/>
    <n v="-5000000"/>
    <x v="3"/>
  </r>
  <r>
    <n v="2026"/>
    <n v="7"/>
    <s v="06-07-2026"/>
    <n v="10864"/>
    <s v="1101-05"/>
    <n v="5000000"/>
    <n v="0"/>
    <s v="Traspaso entre bancos"/>
    <n v="5000000"/>
    <s v="Activo"/>
    <n v="5000000"/>
    <x v="3"/>
  </r>
  <r>
    <n v="2026"/>
    <n v="7"/>
    <s v="06-07-2026"/>
    <n v="10865"/>
    <s v="1101-05"/>
    <n v="5000000"/>
    <n v="0"/>
    <s v="Traspaso entre bancos"/>
    <n v="5000000"/>
    <s v="Activo"/>
    <n v="5000000"/>
    <x v="3"/>
  </r>
  <r>
    <n v="2026"/>
    <n v="7"/>
    <s v="06-07-2026"/>
    <n v="10866"/>
    <s v="1101-05"/>
    <n v="5000000"/>
    <n v="0"/>
    <s v="Traspaso entre bancos"/>
    <n v="5000000"/>
    <s v="Activo"/>
    <n v="5000000"/>
    <x v="3"/>
  </r>
  <r>
    <n v="2026"/>
    <n v="7"/>
    <s v="06-07-2026"/>
    <n v="10867"/>
    <s v="1101-05"/>
    <n v="5000000"/>
    <n v="0"/>
    <s v="Traspaso entre bancos"/>
    <n v="5000000"/>
    <s v="Activo"/>
    <n v="5000000"/>
    <x v="3"/>
  </r>
  <r>
    <n v="2026"/>
    <n v="7"/>
    <s v="08-07-2026"/>
    <n v="8435"/>
    <s v="1101-05"/>
    <n v="0"/>
    <n v="6994"/>
    <s v="Pago fact 9749655 banco del estado de chile"/>
    <n v="-6994"/>
    <s v="Activo"/>
    <n v="-6994"/>
    <x v="3"/>
  </r>
  <r>
    <n v="2026"/>
    <n v="7"/>
    <s v="08-07-2026"/>
    <n v="8436"/>
    <s v="1101-05"/>
    <n v="0"/>
    <n v="10690166"/>
    <s v="Pago fact 8165 hyl telecom ltda."/>
    <n v="-10690166"/>
    <s v="Activo"/>
    <n v="-10690166"/>
    <x v="3"/>
  </r>
  <r>
    <n v="2026"/>
    <n v="7"/>
    <s v="10-07-2026"/>
    <n v="10860"/>
    <s v="1101-05"/>
    <n v="4000000"/>
    <n v="0"/>
    <s v="Traspaso entre bancos"/>
    <n v="4000000"/>
    <s v="Activo"/>
    <n v="4000000"/>
    <x v="3"/>
  </r>
  <r>
    <n v="2026"/>
    <n v="7"/>
    <s v="10-07-2026"/>
    <n v="10861"/>
    <s v="1101-05"/>
    <n v="5000000"/>
    <n v="0"/>
    <s v="Traspaso entre bancos"/>
    <n v="5000000"/>
    <s v="Activo"/>
    <n v="5000000"/>
    <x v="3"/>
  </r>
  <r>
    <n v="2026"/>
    <n v="7"/>
    <s v="13-07-2026"/>
    <n v="8434"/>
    <s v="1101-05"/>
    <n v="0"/>
    <n v="2083958"/>
    <s v="Pac credito cuota 32 de 35"/>
    <n v="-2083958"/>
    <s v="Activo"/>
    <n v="-2083958"/>
    <x v="3"/>
  </r>
  <r>
    <n v="2026"/>
    <n v="7"/>
    <s v="24-07-2026"/>
    <n v="8433"/>
    <s v="1101-05"/>
    <n v="0"/>
    <n v="1673752"/>
    <s v="Pago fact 2675 2684 solution box chile spa"/>
    <n v="-1673752"/>
    <s v="Activo"/>
    <n v="-1673752"/>
    <x v="3"/>
  </r>
  <r>
    <n v="2026"/>
    <n v="7"/>
    <s v="30-07-2026"/>
    <n v="10853"/>
    <s v="1101-05"/>
    <n v="0"/>
    <n v="4526921"/>
    <s v="Traspaso entre bancos"/>
    <n v="-4526921"/>
    <s v="Activo"/>
    <n v="-4526921"/>
    <x v="3"/>
  </r>
  <r>
    <n v="2026"/>
    <n v="7"/>
    <s v="30-07-2026"/>
    <n v="10854"/>
    <s v="1101-05"/>
    <n v="0"/>
    <n v="5000000"/>
    <s v="Traspaso entre bancos"/>
    <n v="-5000000"/>
    <s v="Activo"/>
    <n v="-5000000"/>
    <x v="3"/>
  </r>
  <r>
    <n v="2026"/>
    <n v="7"/>
    <s v="30-07-2026"/>
    <n v="10855"/>
    <s v="1101-05"/>
    <n v="0"/>
    <n v="5000000"/>
    <s v="Traspaso entre bancos"/>
    <n v="-5000000"/>
    <s v="Activo"/>
    <n v="-5000000"/>
    <x v="3"/>
  </r>
  <r>
    <n v="2026"/>
    <n v="7"/>
    <s v="30-07-2026"/>
    <n v="10856"/>
    <s v="1101-05"/>
    <n v="4472194"/>
    <n v="0"/>
    <s v="Traspaso entre bancos"/>
    <n v="4472194"/>
    <s v="Activo"/>
    <n v="4472194"/>
    <x v="3"/>
  </r>
  <r>
    <n v="2026"/>
    <n v="7"/>
    <s v="30-07-2026"/>
    <n v="10857"/>
    <s v="1101-05"/>
    <n v="4526921"/>
    <n v="0"/>
    <s v="Traspaso entre bancos"/>
    <n v="4526921"/>
    <s v="Activo"/>
    <n v="4526921"/>
    <x v="3"/>
  </r>
  <r>
    <n v="2026"/>
    <n v="7"/>
    <s v="30-07-2026"/>
    <n v="10858"/>
    <s v="1101-05"/>
    <n v="5000000"/>
    <n v="0"/>
    <s v="Traspaso entre bancos"/>
    <n v="5000000"/>
    <s v="Activo"/>
    <n v="5000000"/>
    <x v="3"/>
  </r>
  <r>
    <n v="2026"/>
    <n v="7"/>
    <s v="30-07-2026"/>
    <n v="10859"/>
    <s v="1101-05"/>
    <n v="5000000"/>
    <n v="0"/>
    <s v="Traspaso entre bancos"/>
    <n v="5000000"/>
    <s v="Activo"/>
    <n v="5000000"/>
    <x v="3"/>
  </r>
  <r>
    <n v="2026"/>
    <n v="1"/>
    <s v="01-01-2026"/>
    <n v="9827"/>
    <s v="1101-10"/>
    <n v="5067580"/>
    <n v="0"/>
    <s v=""/>
    <n v="5067580"/>
    <s v="Activo"/>
    <n v="5067580"/>
    <x v="4"/>
  </r>
  <r>
    <n v="2026"/>
    <n v="1"/>
    <s v="05-01-2026"/>
    <n v="7697"/>
    <s v="1101-10"/>
    <n v="0"/>
    <n v="5000000"/>
    <s v="Tef de cuenta propia n. 35500021347"/>
    <n v="-5000000"/>
    <s v="Activo"/>
    <n v="-5000000"/>
    <x v="4"/>
  </r>
  <r>
    <n v="2026"/>
    <n v="2"/>
    <s v="26-02-2026"/>
    <n v="10597"/>
    <s v="1101-10"/>
    <n v="97000000"/>
    <n v="0"/>
    <s v="Traspaso a bco estado 291"/>
    <n v="97000000"/>
    <s v="Activo"/>
    <n v="97000000"/>
    <x v="4"/>
  </r>
  <r>
    <n v="2026"/>
    <n v="2"/>
    <s v="26-02-2026"/>
    <n v="10597"/>
    <s v="1101-10"/>
    <n v="2198500"/>
    <n v="0"/>
    <s v="Traspaso a bco estado 291"/>
    <n v="2198500"/>
    <s v="Activo"/>
    <n v="2198500"/>
    <x v="4"/>
  </r>
  <r>
    <n v="2026"/>
    <n v="3"/>
    <s v="18-03-2026"/>
    <n v="11138"/>
    <s v="1101-10"/>
    <n v="0"/>
    <n v="3821509"/>
    <s v="0765406986 transf. tlink spa"/>
    <n v="-3821509"/>
    <s v="Activo"/>
    <n v="-3821509"/>
    <x v="4"/>
  </r>
  <r>
    <n v="2026"/>
    <n v="3"/>
    <s v="18-03-2026"/>
    <n v="11139"/>
    <s v="1101-10"/>
    <n v="0"/>
    <n v="2638008"/>
    <s v="0765406986 transf. tlink spa"/>
    <n v="-2638008"/>
    <s v="Activo"/>
    <n v="-2638008"/>
    <x v="4"/>
  </r>
  <r>
    <n v="2026"/>
    <n v="3"/>
    <s v="23-03-2026"/>
    <n v="11148"/>
    <s v="1101-10"/>
    <n v="0"/>
    <n v="1378023"/>
    <s v="0765406986 transf. tlink spa"/>
    <n v="-1378023"/>
    <s v="Activo"/>
    <n v="-1378023"/>
    <x v="4"/>
  </r>
  <r>
    <n v="2026"/>
    <n v="3"/>
    <s v="24-03-2026"/>
    <n v="10747"/>
    <s v="1101-10"/>
    <n v="0"/>
    <n v="2226049"/>
    <s v="Estado_ch2p 35571038291"/>
    <n v="-2226049"/>
    <s v="Activo"/>
    <n v="-2226049"/>
    <x v="4"/>
  </r>
  <r>
    <n v="2026"/>
    <n v="3"/>
    <s v="27-03-2026"/>
    <n v="7481"/>
    <s v="1101-10"/>
    <n v="0"/>
    <n v="1000000"/>
    <s v="Estado_ch2p 35571038291"/>
    <n v="-1000000"/>
    <s v="Activo"/>
    <n v="-1000000"/>
    <x v="4"/>
  </r>
  <r>
    <n v="2026"/>
    <n v="3"/>
    <s v="27-03-2026"/>
    <n v="11158"/>
    <s v="1101-10"/>
    <n v="0"/>
    <n v="2064000"/>
    <s v="0765406986 transf. tlink spa estado 35571038291"/>
    <n v="-2064000"/>
    <s v="Activo"/>
    <n v="-2064000"/>
    <x v="4"/>
  </r>
  <r>
    <n v="2026"/>
    <n v="3"/>
    <s v="30-03-2026"/>
    <n v="11161"/>
    <s v="1101-10"/>
    <n v="0"/>
    <n v="4209000"/>
    <s v="0765406986 transf. tlink spa estado 35571038291"/>
    <n v="-4209000"/>
    <s v="Activo"/>
    <n v="-4209000"/>
    <x v="4"/>
  </r>
  <r>
    <n v="2026"/>
    <n v="4"/>
    <s v="09-04-2026"/>
    <n v="7693"/>
    <s v="1101-10"/>
    <n v="5000000"/>
    <n v="0"/>
    <s v="Transferencia fondos internet"/>
    <n v="5000000"/>
    <s v="Activo"/>
    <n v="5000000"/>
    <x v="4"/>
  </r>
  <r>
    <n v="2026"/>
    <n v="4"/>
    <s v="09-04-2026"/>
    <n v="7694"/>
    <s v="1101-10"/>
    <n v="5000000"/>
    <n v="0"/>
    <s v="Transferencia fondos internet"/>
    <n v="5000000"/>
    <s v="Activo"/>
    <n v="5000000"/>
    <x v="4"/>
  </r>
  <r>
    <n v="2026"/>
    <n v="4"/>
    <s v="09-04-2026"/>
    <n v="11864"/>
    <s v="1101-10"/>
    <n v="0"/>
    <n v="5000000"/>
    <s v="Transferencia fondos internet"/>
    <n v="-5000000"/>
    <s v="Activo"/>
    <n v="-5000000"/>
    <x v="4"/>
  </r>
  <r>
    <n v="2026"/>
    <n v="4"/>
    <s v="09-04-2026"/>
    <n v="11865"/>
    <s v="1101-10"/>
    <n v="0"/>
    <n v="151731"/>
    <s v="Transferencia fondos internet"/>
    <n v="-151731"/>
    <s v="Activo"/>
    <n v="-151731"/>
    <x v="4"/>
  </r>
  <r>
    <n v="2026"/>
    <n v="4"/>
    <s v="09-04-2026"/>
    <n v="11866"/>
    <s v="1101-10"/>
    <n v="0"/>
    <n v="5000000"/>
    <s v="Transferencia fondos internet"/>
    <n v="-5000000"/>
    <s v="Activo"/>
    <n v="-5000000"/>
    <x v="4"/>
  </r>
  <r>
    <n v="2026"/>
    <n v="4"/>
    <s v="13-04-2026"/>
    <n v="11819"/>
    <s v="1101-10"/>
    <n v="0"/>
    <n v="5000000"/>
    <s v="0765406986 transf. 35571038291"/>
    <n v="-5000000"/>
    <s v="Activo"/>
    <n v="-5000000"/>
    <x v="4"/>
  </r>
  <r>
    <n v="2026"/>
    <n v="4"/>
    <s v="13-04-2026"/>
    <n v="11821"/>
    <s v="1101-10"/>
    <n v="0"/>
    <n v="4424800"/>
    <s v="0765406986 transf. 35571038291"/>
    <n v="-4424800"/>
    <s v="Activo"/>
    <n v="-4424800"/>
    <x v="4"/>
  </r>
  <r>
    <n v="2026"/>
    <n v="4"/>
    <s v="13-04-2026"/>
    <n v="11824"/>
    <s v="1101-10"/>
    <n v="0"/>
    <n v="2042040"/>
    <s v="0765406986 transf. 35571038291"/>
    <n v="-2042040"/>
    <s v="Activo"/>
    <n v="-2042040"/>
    <x v="4"/>
  </r>
  <r>
    <n v="2026"/>
    <n v="4"/>
    <s v="13-04-2026"/>
    <n v="11826"/>
    <s v="1101-10"/>
    <n v="0"/>
    <n v="1283200"/>
    <s v="0765406986 transf. 35571038291"/>
    <n v="-1283200"/>
    <s v="Activo"/>
    <n v="-1283200"/>
    <x v="4"/>
  </r>
  <r>
    <n v="2026"/>
    <n v="4"/>
    <s v="13-04-2026"/>
    <n v="11828"/>
    <s v="1101-10"/>
    <n v="0"/>
    <n v="735848"/>
    <s v="0765406986 transf. 35571038291"/>
    <n v="-735848"/>
    <s v="Activo"/>
    <n v="-735848"/>
    <x v="4"/>
  </r>
  <r>
    <n v="2026"/>
    <n v="4"/>
    <s v="13-04-2026"/>
    <n v="11860"/>
    <s v="1101-10"/>
    <n v="0"/>
    <n v="5000000"/>
    <s v="Transf. de tlink spa"/>
    <n v="-5000000"/>
    <s v="Activo"/>
    <n v="-5000000"/>
    <x v="4"/>
  </r>
  <r>
    <n v="2026"/>
    <n v="4"/>
    <s v="20-04-2026"/>
    <n v="11840"/>
    <s v="1101-10"/>
    <n v="0"/>
    <n v="3581424"/>
    <s v="0765406986 transf. 35571038291"/>
    <n v="-3581424"/>
    <s v="Activo"/>
    <n v="-3581424"/>
    <x v="4"/>
  </r>
  <r>
    <n v="2026"/>
    <n v="4"/>
    <s v="20-04-2026"/>
    <n v="11867"/>
    <s v="1101-10"/>
    <n v="0"/>
    <n v="3250682"/>
    <s v="Transferencia fondos internet"/>
    <n v="-3250682"/>
    <s v="Activo"/>
    <n v="-3250682"/>
    <x v="4"/>
  </r>
  <r>
    <n v="2026"/>
    <n v="4"/>
    <s v="29-04-2026"/>
    <n v="11868"/>
    <s v="1101-10"/>
    <n v="0"/>
    <n v="1624429"/>
    <s v="Transferencia fondos internet"/>
    <n v="-1624429"/>
    <s v="Activo"/>
    <n v="-1624429"/>
    <x v="4"/>
  </r>
  <r>
    <n v="2026"/>
    <n v="4"/>
    <s v="29-04-2026"/>
    <n v="11869"/>
    <s v="1101-10"/>
    <n v="0"/>
    <n v="5000000"/>
    <s v="Transferencia fondos internet"/>
    <n v="-5000000"/>
    <s v="Activo"/>
    <n v="-5000000"/>
    <x v="4"/>
  </r>
  <r>
    <n v="2026"/>
    <n v="5"/>
    <s v="06-05-2026"/>
    <n v="11946"/>
    <s v="1101-10"/>
    <n v="0"/>
    <n v="3685131"/>
    <s v="Transferencia de cuenta 35571038291"/>
    <n v="-3685131"/>
    <s v="Activo"/>
    <n v="-3685131"/>
    <x v="4"/>
  </r>
  <r>
    <n v="2026"/>
    <n v="5"/>
    <s v="13-05-2026"/>
    <n v="11900"/>
    <s v="1101-10"/>
    <n v="0"/>
    <n v="2300000"/>
    <s v="0765406986 transf. tlink spa"/>
    <n v="-2300000"/>
    <s v="Activo"/>
    <n v="-2300000"/>
    <x v="4"/>
  </r>
  <r>
    <n v="2026"/>
    <n v="5"/>
    <s v="13-05-2026"/>
    <n v="11947"/>
    <s v="1101-10"/>
    <n v="0"/>
    <n v="3000000"/>
    <s v="Transferencia de cuenta 35571038291"/>
    <n v="-3000000"/>
    <s v="Activo"/>
    <n v="-3000000"/>
    <x v="4"/>
  </r>
  <r>
    <n v="2026"/>
    <n v="5"/>
    <s v="18-05-2026"/>
    <n v="11907"/>
    <s v="1101-10"/>
    <n v="0"/>
    <n v="5000000"/>
    <s v="0765406986 transf. tlink spa"/>
    <n v="-5000000"/>
    <s v="Activo"/>
    <n v="-5000000"/>
    <x v="4"/>
  </r>
  <r>
    <n v="2026"/>
    <n v="5"/>
    <s v="18-05-2026"/>
    <n v="11908"/>
    <s v="1101-10"/>
    <n v="0"/>
    <n v="5000000"/>
    <s v="0765406986 transf. tlink spa"/>
    <n v="-5000000"/>
    <s v="Activo"/>
    <n v="-5000000"/>
    <x v="4"/>
  </r>
  <r>
    <n v="2026"/>
    <n v="5"/>
    <s v="18-05-2026"/>
    <n v="11909"/>
    <s v="1101-10"/>
    <n v="0"/>
    <n v="5000000"/>
    <s v="0765406986 transf. tlink spa"/>
    <n v="-5000000"/>
    <s v="Activo"/>
    <n v="-5000000"/>
    <x v="4"/>
  </r>
  <r>
    <n v="2026"/>
    <n v="5"/>
    <s v="18-05-2026"/>
    <n v="11910"/>
    <s v="1101-10"/>
    <n v="0"/>
    <n v="4221428"/>
    <s v="0765406986 transf. tlink spa"/>
    <n v="-4221428"/>
    <s v="Activo"/>
    <n v="-4221428"/>
    <x v="4"/>
  </r>
  <r>
    <n v="2026"/>
    <n v="5"/>
    <s v="18-05-2026"/>
    <n v="11911"/>
    <s v="1101-10"/>
    <n v="0"/>
    <n v="1557144"/>
    <s v="0765406986 transf. tlink spa"/>
    <n v="-1557144"/>
    <s v="Activo"/>
    <n v="-1557144"/>
    <x v="4"/>
  </r>
  <r>
    <n v="2026"/>
    <n v="5"/>
    <s v="19-05-2026"/>
    <n v="7866"/>
    <s v="1101-10"/>
    <n v="4356000"/>
    <n v="0"/>
    <s v="Transferencia a cuenta 35571038291"/>
    <n v="4356000"/>
    <s v="Activo"/>
    <n v="4356000"/>
    <x v="4"/>
  </r>
  <r>
    <n v="2026"/>
    <n v="5"/>
    <s v="19-05-2026"/>
    <n v="7867"/>
    <s v="1101-10"/>
    <n v="5000000"/>
    <n v="0"/>
    <s v="Transferencia a cuenta 35571038291"/>
    <n v="5000000"/>
    <s v="Activo"/>
    <n v="5000000"/>
    <x v="4"/>
  </r>
  <r>
    <n v="2026"/>
    <n v="5"/>
    <s v="19-05-2026"/>
    <n v="7868"/>
    <s v="1101-10"/>
    <n v="5000000"/>
    <n v="0"/>
    <s v="Transferencia a cuenta 35571038291"/>
    <n v="5000000"/>
    <s v="Activo"/>
    <n v="5000000"/>
    <x v="4"/>
  </r>
  <r>
    <n v="2026"/>
    <n v="5"/>
    <s v="19-05-2026"/>
    <n v="7869"/>
    <s v="1101-10"/>
    <n v="5000000"/>
    <n v="0"/>
    <s v="Transferencia a cuenta 35571038291"/>
    <n v="5000000"/>
    <s v="Activo"/>
    <n v="5000000"/>
    <x v="4"/>
  </r>
  <r>
    <n v="2026"/>
    <n v="5"/>
    <s v="19-05-2026"/>
    <n v="7870"/>
    <s v="1101-10"/>
    <n v="5000000"/>
    <n v="0"/>
    <s v="Transferencia a cuenta 35571038291"/>
    <n v="5000000"/>
    <s v="Activo"/>
    <n v="5000000"/>
    <x v="4"/>
  </r>
  <r>
    <n v="2026"/>
    <n v="5"/>
    <s v="19-05-2026"/>
    <n v="7871"/>
    <s v="1101-10"/>
    <n v="5000000"/>
    <n v="0"/>
    <s v="Transferencia a cuenta 35571038291"/>
    <n v="5000000"/>
    <s v="Activo"/>
    <n v="5000000"/>
    <x v="4"/>
  </r>
  <r>
    <n v="2026"/>
    <n v="5"/>
    <s v="19-05-2026"/>
    <n v="7872"/>
    <s v="1101-10"/>
    <n v="5000000"/>
    <n v="0"/>
    <s v="Transferencia a cuenta 35571038291"/>
    <n v="5000000"/>
    <s v="Activo"/>
    <n v="5000000"/>
    <x v="4"/>
  </r>
  <r>
    <n v="2026"/>
    <n v="5"/>
    <s v="19-05-2026"/>
    <n v="7873"/>
    <s v="1101-10"/>
    <n v="5000000"/>
    <n v="0"/>
    <s v="Transferencia a cuenta 35571038291"/>
    <n v="5000000"/>
    <s v="Activo"/>
    <n v="5000000"/>
    <x v="4"/>
  </r>
  <r>
    <n v="2026"/>
    <n v="5"/>
    <s v="19-05-2026"/>
    <n v="7874"/>
    <s v="1101-10"/>
    <n v="5000000"/>
    <n v="0"/>
    <s v="Transferencia a cuenta 35571038291"/>
    <n v="5000000"/>
    <s v="Activo"/>
    <n v="5000000"/>
    <x v="4"/>
  </r>
  <r>
    <n v="2026"/>
    <n v="5"/>
    <s v="19-05-2026"/>
    <n v="7875"/>
    <s v="1101-10"/>
    <n v="5000000"/>
    <n v="0"/>
    <s v="Transferencia a cuenta 35571038291"/>
    <n v="5000000"/>
    <s v="Activo"/>
    <n v="5000000"/>
    <x v="4"/>
  </r>
  <r>
    <n v="2026"/>
    <n v="5"/>
    <s v="19-05-2026"/>
    <n v="7876"/>
    <s v="1101-10"/>
    <n v="5000000"/>
    <n v="0"/>
    <s v="Transferencia a cuenta 35571038291"/>
    <n v="5000000"/>
    <s v="Activo"/>
    <n v="5000000"/>
    <x v="4"/>
  </r>
  <r>
    <n v="2026"/>
    <n v="5"/>
    <s v="19-05-2026"/>
    <n v="7877"/>
    <s v="1101-10"/>
    <n v="5000000"/>
    <n v="0"/>
    <s v="Transferencia a cuenta 35571038291"/>
    <n v="5000000"/>
    <s v="Activo"/>
    <n v="5000000"/>
    <x v="4"/>
  </r>
  <r>
    <n v="2026"/>
    <n v="5"/>
    <s v="19-05-2026"/>
    <n v="7878"/>
    <s v="1101-10"/>
    <n v="5000000"/>
    <n v="0"/>
    <s v="Transferencia a cuenta 35571038291"/>
    <n v="5000000"/>
    <s v="Activo"/>
    <n v="5000000"/>
    <x v="4"/>
  </r>
  <r>
    <n v="2026"/>
    <n v="5"/>
    <s v="19-05-2026"/>
    <n v="7879"/>
    <s v="1101-10"/>
    <n v="5000000"/>
    <n v="0"/>
    <s v="Transferencia a cuenta 35571038291"/>
    <n v="5000000"/>
    <s v="Activo"/>
    <n v="5000000"/>
    <x v="4"/>
  </r>
  <r>
    <n v="2026"/>
    <n v="5"/>
    <s v="19-05-2026"/>
    <n v="7880"/>
    <s v="1101-10"/>
    <n v="5000000"/>
    <n v="0"/>
    <s v="Transferencia a cuenta 35571038291"/>
    <n v="5000000"/>
    <s v="Activo"/>
    <n v="5000000"/>
    <x v="4"/>
  </r>
  <r>
    <n v="2026"/>
    <n v="5"/>
    <s v="19-05-2026"/>
    <n v="7881"/>
    <s v="1101-10"/>
    <n v="5000000"/>
    <n v="0"/>
    <s v="Transferencia a cuenta 35571038291"/>
    <n v="5000000"/>
    <s v="Activo"/>
    <n v="5000000"/>
    <x v="4"/>
  </r>
  <r>
    <n v="2026"/>
    <n v="5"/>
    <s v="19-05-2026"/>
    <n v="11915"/>
    <s v="1101-10"/>
    <n v="0"/>
    <n v="5000000"/>
    <s v="0765406986 transf. tlink spa"/>
    <n v="-5000000"/>
    <s v="Activo"/>
    <n v="-5000000"/>
    <x v="4"/>
  </r>
  <r>
    <n v="2026"/>
    <n v="5"/>
    <s v="19-05-2026"/>
    <n v="11916"/>
    <s v="1101-10"/>
    <n v="0"/>
    <n v="5000000"/>
    <s v="0765406986 transf. tlink spa"/>
    <n v="-5000000"/>
    <s v="Activo"/>
    <n v="-5000000"/>
    <x v="4"/>
  </r>
  <r>
    <n v="2026"/>
    <n v="5"/>
    <s v="19-05-2026"/>
    <n v="11917"/>
    <s v="1101-10"/>
    <n v="0"/>
    <n v="5000000"/>
    <s v="0765406986 transf. tlink spa"/>
    <n v="-5000000"/>
    <s v="Activo"/>
    <n v="-5000000"/>
    <x v="4"/>
  </r>
  <r>
    <n v="2026"/>
    <n v="5"/>
    <s v="19-05-2026"/>
    <n v="11918"/>
    <s v="1101-10"/>
    <n v="0"/>
    <n v="5000000"/>
    <s v="0765406986 transf. tlink spa"/>
    <n v="-5000000"/>
    <s v="Activo"/>
    <n v="-5000000"/>
    <x v="4"/>
  </r>
  <r>
    <n v="2026"/>
    <n v="5"/>
    <s v="19-05-2026"/>
    <n v="11919"/>
    <s v="1101-10"/>
    <n v="0"/>
    <n v="5000000"/>
    <s v="0765406986 transf. tlink spa"/>
    <n v="-5000000"/>
    <s v="Activo"/>
    <n v="-5000000"/>
    <x v="4"/>
  </r>
  <r>
    <n v="2026"/>
    <n v="5"/>
    <s v="19-05-2026"/>
    <n v="11920"/>
    <s v="1101-10"/>
    <n v="0"/>
    <n v="5000000"/>
    <s v="0765406986 transf. tlink spa"/>
    <n v="-5000000"/>
    <s v="Activo"/>
    <n v="-5000000"/>
    <x v="4"/>
  </r>
  <r>
    <n v="2026"/>
    <n v="5"/>
    <s v="19-05-2026"/>
    <n v="11921"/>
    <s v="1101-10"/>
    <n v="0"/>
    <n v="2000000"/>
    <s v="0765406986 transf. tlink spa"/>
    <n v="-2000000"/>
    <s v="Activo"/>
    <n v="-2000000"/>
    <x v="4"/>
  </r>
  <r>
    <n v="2026"/>
    <n v="5"/>
    <s v="19-05-2026"/>
    <n v="11922"/>
    <s v="1101-10"/>
    <n v="0"/>
    <n v="601923"/>
    <s v="0765406986 transf. tlink spa"/>
    <n v="-601923"/>
    <s v="Activo"/>
    <n v="-601923"/>
    <x v="4"/>
  </r>
  <r>
    <n v="2026"/>
    <n v="5"/>
    <s v="25-05-2026"/>
    <n v="11928"/>
    <s v="1101-10"/>
    <n v="0"/>
    <n v="5000000"/>
    <s v="0765406986 transf. tlink spa"/>
    <n v="-5000000"/>
    <s v="Activo"/>
    <n v="-5000000"/>
    <x v="4"/>
  </r>
  <r>
    <n v="2026"/>
    <n v="5"/>
    <s v="25-05-2026"/>
    <n v="11929"/>
    <s v="1101-10"/>
    <n v="0"/>
    <n v="5000000"/>
    <s v="0765406986 transf. tlink spa"/>
    <n v="-5000000"/>
    <s v="Activo"/>
    <n v="-5000000"/>
    <x v="4"/>
  </r>
  <r>
    <n v="2026"/>
    <n v="5"/>
    <s v="25-05-2026"/>
    <n v="11932"/>
    <s v="1101-10"/>
    <n v="0"/>
    <n v="1071611"/>
    <s v="0765406986 transf. tlink spa"/>
    <n v="-1071611"/>
    <s v="Activo"/>
    <n v="-1071611"/>
    <x v="4"/>
  </r>
  <r>
    <n v="2026"/>
    <n v="5"/>
    <s v="27-05-2026"/>
    <n v="7882"/>
    <s v="1101-10"/>
    <n v="1491971"/>
    <n v="0"/>
    <s v="Transferencia a cuenta 35571038291"/>
    <n v="1491971"/>
    <s v="Activo"/>
    <n v="1491971"/>
    <x v="4"/>
  </r>
  <r>
    <n v="2026"/>
    <n v="5"/>
    <s v="27-05-2026"/>
    <n v="7883"/>
    <s v="1101-10"/>
    <n v="5000000"/>
    <n v="0"/>
    <s v="Transferencia a cuenta 35571038291"/>
    <n v="5000000"/>
    <s v="Activo"/>
    <n v="5000000"/>
    <x v="4"/>
  </r>
  <r>
    <n v="2026"/>
    <n v="5"/>
    <s v="27-05-2026"/>
    <n v="7884"/>
    <s v="1101-10"/>
    <n v="5000000"/>
    <n v="0"/>
    <s v="Transferencia a cuenta 35571038291"/>
    <n v="5000000"/>
    <s v="Activo"/>
    <n v="5000000"/>
    <x v="4"/>
  </r>
  <r>
    <n v="2026"/>
    <n v="5"/>
    <s v="27-05-2026"/>
    <n v="7885"/>
    <s v="1101-10"/>
    <n v="5000000"/>
    <n v="0"/>
    <s v="Transferencia a cuenta 35571038291"/>
    <n v="5000000"/>
    <s v="Activo"/>
    <n v="5000000"/>
    <x v="4"/>
  </r>
  <r>
    <n v="2026"/>
    <n v="5"/>
    <s v="27-05-2026"/>
    <n v="7886"/>
    <s v="1101-10"/>
    <n v="5000000"/>
    <n v="0"/>
    <s v="Transferencia a cuenta 35571038291"/>
    <n v="5000000"/>
    <s v="Activo"/>
    <n v="5000000"/>
    <x v="4"/>
  </r>
  <r>
    <n v="2026"/>
    <n v="5"/>
    <s v="27-05-2026"/>
    <n v="7887"/>
    <s v="1101-10"/>
    <n v="5000000"/>
    <n v="0"/>
    <s v="Transferencia a cuenta 35571038291"/>
    <n v="5000000"/>
    <s v="Activo"/>
    <n v="5000000"/>
    <x v="4"/>
  </r>
  <r>
    <n v="2026"/>
    <n v="5"/>
    <s v="27-05-2026"/>
    <n v="7888"/>
    <s v="1101-10"/>
    <n v="5000000"/>
    <n v="0"/>
    <s v="Transferencia a cuenta 35571038291"/>
    <n v="5000000"/>
    <s v="Activo"/>
    <n v="5000000"/>
    <x v="4"/>
  </r>
  <r>
    <n v="2026"/>
    <n v="5"/>
    <s v="27-05-2026"/>
    <n v="7889"/>
    <s v="1101-10"/>
    <n v="5000000"/>
    <n v="0"/>
    <s v="Transferencia a cuenta 35571038291"/>
    <n v="5000000"/>
    <s v="Activo"/>
    <n v="5000000"/>
    <x v="4"/>
  </r>
  <r>
    <n v="2026"/>
    <n v="6"/>
    <s v="11-06-2026"/>
    <n v="10829"/>
    <s v="1101-10"/>
    <n v="0"/>
    <n v="4424800"/>
    <s v="Traspaso entre cuentas"/>
    <n v="-4424800"/>
    <s v="Activo"/>
    <n v="-4424800"/>
    <x v="4"/>
  </r>
  <r>
    <n v="2026"/>
    <n v="6"/>
    <s v="11-06-2026"/>
    <n v="10830"/>
    <s v="1101-10"/>
    <n v="0"/>
    <n v="5000000"/>
    <s v="Traspaso entre cuentas"/>
    <n v="-5000000"/>
    <s v="Activo"/>
    <n v="-5000000"/>
    <x v="4"/>
  </r>
  <r>
    <n v="2026"/>
    <n v="6"/>
    <s v="11-06-2026"/>
    <n v="10831"/>
    <s v="1101-10"/>
    <n v="0"/>
    <n v="2499000"/>
    <s v="Traspaso entre cuentas"/>
    <n v="-2499000"/>
    <s v="Activo"/>
    <n v="-2499000"/>
    <x v="4"/>
  </r>
  <r>
    <n v="2026"/>
    <n v="6"/>
    <s v="17-06-2026"/>
    <n v="10826"/>
    <s v="1101-10"/>
    <n v="0"/>
    <n v="2798931"/>
    <s v="Traspaso entre cuentas"/>
    <n v="-2798931"/>
    <s v="Activo"/>
    <n v="-2798931"/>
    <x v="4"/>
  </r>
  <r>
    <n v="2026"/>
    <n v="6"/>
    <s v="18-06-2026"/>
    <n v="10822"/>
    <s v="1101-10"/>
    <n v="0"/>
    <n v="4901382"/>
    <s v="Traspaso entre cuentas"/>
    <n v="-4901382"/>
    <s v="Activo"/>
    <n v="-4901382"/>
    <x v="4"/>
  </r>
  <r>
    <n v="2026"/>
    <n v="6"/>
    <s v="18-06-2026"/>
    <n v="10823"/>
    <s v="1101-10"/>
    <n v="0"/>
    <n v="1873536"/>
    <s v="Traspaso entre cuentas"/>
    <n v="-1873536"/>
    <s v="Activo"/>
    <n v="-1873536"/>
    <x v="4"/>
  </r>
  <r>
    <n v="2026"/>
    <n v="6"/>
    <s v="18-06-2026"/>
    <n v="10824"/>
    <s v="1101-10"/>
    <n v="0"/>
    <n v="1628873"/>
    <s v="Traspaso entre cuentas"/>
    <n v="-1628873"/>
    <s v="Activo"/>
    <n v="-1628873"/>
    <x v="4"/>
  </r>
  <r>
    <n v="2026"/>
    <n v="6"/>
    <s v="18-06-2026"/>
    <n v="10825"/>
    <s v="1101-10"/>
    <n v="0"/>
    <n v="5000000"/>
    <s v="Traspaso entre cuentas"/>
    <n v="-5000000"/>
    <s v="Activo"/>
    <n v="-5000000"/>
    <x v="4"/>
  </r>
  <r>
    <n v="2026"/>
    <n v="6"/>
    <s v="19-06-2026"/>
    <n v="10816"/>
    <s v="1101-10"/>
    <n v="0"/>
    <n v="5000000"/>
    <s v="Traspaso entre cuentas"/>
    <n v="-5000000"/>
    <s v="Activo"/>
    <n v="-5000000"/>
    <x v="4"/>
  </r>
  <r>
    <n v="2026"/>
    <n v="6"/>
    <s v="19-06-2026"/>
    <n v="10817"/>
    <s v="1101-10"/>
    <n v="0"/>
    <n v="5000000"/>
    <s v="Traspaso entre cuentas"/>
    <n v="-5000000"/>
    <s v="Activo"/>
    <n v="-5000000"/>
    <x v="4"/>
  </r>
  <r>
    <n v="2026"/>
    <n v="6"/>
    <s v="19-06-2026"/>
    <n v="10818"/>
    <s v="1101-10"/>
    <n v="0"/>
    <n v="2000000"/>
    <s v="Traspaso entre cuentas"/>
    <n v="-2000000"/>
    <s v="Activo"/>
    <n v="-2000000"/>
    <x v="4"/>
  </r>
  <r>
    <n v="2026"/>
    <n v="6"/>
    <s v="19-06-2026"/>
    <n v="10819"/>
    <s v="1101-10"/>
    <n v="0"/>
    <n v="5000000"/>
    <s v="Traspaso entre cuentas"/>
    <n v="-5000000"/>
    <s v="Activo"/>
    <n v="-5000000"/>
    <x v="4"/>
  </r>
  <r>
    <n v="2026"/>
    <n v="6"/>
    <s v="19-06-2026"/>
    <n v="10821"/>
    <s v="1101-10"/>
    <n v="0"/>
    <n v="3415467"/>
    <s v="Traspaso entre cuentas"/>
    <n v="-3415467"/>
    <s v="Activo"/>
    <n v="-3415467"/>
    <x v="4"/>
  </r>
  <r>
    <n v="2026"/>
    <n v="6"/>
    <s v="23-06-2026"/>
    <n v="10814"/>
    <s v="1101-10"/>
    <n v="0"/>
    <n v="2908318"/>
    <s v="Traspaso entre cuentas"/>
    <n v="-2908318"/>
    <s v="Activo"/>
    <n v="-2908318"/>
    <x v="4"/>
  </r>
  <r>
    <n v="2026"/>
    <n v="6"/>
    <s v="24-06-2026"/>
    <n v="10813"/>
    <s v="1101-10"/>
    <n v="0"/>
    <n v="1673752"/>
    <s v="Traspaso entre cuentas"/>
    <n v="-1673752"/>
    <s v="Activo"/>
    <n v="-1673752"/>
    <x v="4"/>
  </r>
  <r>
    <n v="2026"/>
    <n v="6"/>
    <s v="30-06-2026"/>
    <n v="10807"/>
    <s v="1101-10"/>
    <n v="0"/>
    <n v="4500000"/>
    <s v="Traspaso entre cuentas"/>
    <n v="-4500000"/>
    <s v="Activo"/>
    <n v="-4500000"/>
    <x v="4"/>
  </r>
  <r>
    <n v="2026"/>
    <n v="6"/>
    <s v="30-06-2026"/>
    <n v="10808"/>
    <s v="1101-10"/>
    <n v="0"/>
    <n v="5000000"/>
    <s v="Traspaso entre cuentas"/>
    <n v="-5000000"/>
    <s v="Activo"/>
    <n v="-5000000"/>
    <x v="4"/>
  </r>
  <r>
    <n v="2026"/>
    <n v="6"/>
    <s v="30-06-2026"/>
    <n v="10810"/>
    <s v="1101-10"/>
    <n v="0"/>
    <n v="371280"/>
    <s v="Traspaso entre cuentas"/>
    <n v="-371280"/>
    <s v="Activo"/>
    <n v="-371280"/>
    <x v="4"/>
  </r>
  <r>
    <n v="2026"/>
    <n v="6"/>
    <s v="30-06-2026"/>
    <n v="10811"/>
    <s v="1101-10"/>
    <n v="0"/>
    <n v="485472"/>
    <s v="Traspaso entre cuentas"/>
    <n v="-485472"/>
    <s v="Activo"/>
    <n v="-485472"/>
    <x v="4"/>
  </r>
  <r>
    <n v="2026"/>
    <n v="6"/>
    <s v="30-06-2026"/>
    <n v="10812"/>
    <s v="1101-10"/>
    <n v="0"/>
    <n v="1456417"/>
    <s v="Traspaso entre cuentas"/>
    <n v="-1456417"/>
    <s v="Activo"/>
    <n v="-1456417"/>
    <x v="4"/>
  </r>
  <r>
    <n v="2026"/>
    <n v="7"/>
    <s v="06-07-2026"/>
    <n v="10862"/>
    <s v="1101-10"/>
    <n v="5000000"/>
    <n v="0"/>
    <s v="Traspaso entre bancos"/>
    <n v="5000000"/>
    <s v="Activo"/>
    <n v="5000000"/>
    <x v="4"/>
  </r>
  <r>
    <n v="2026"/>
    <n v="7"/>
    <s v="06-07-2026"/>
    <n v="10863"/>
    <s v="1101-10"/>
    <n v="5000000"/>
    <n v="0"/>
    <s v="Traspaso entre bancos"/>
    <n v="5000000"/>
    <s v="Activo"/>
    <n v="5000000"/>
    <x v="4"/>
  </r>
  <r>
    <n v="2026"/>
    <n v="7"/>
    <s v="17-07-2026"/>
    <n v="10878"/>
    <s v="1101-10"/>
    <n v="0"/>
    <n v="5000000"/>
    <s v="Traspaso entre cuentas"/>
    <n v="-5000000"/>
    <s v="Activo"/>
    <n v="-5000000"/>
    <x v="4"/>
  </r>
  <r>
    <n v="2026"/>
    <n v="7"/>
    <s v="17-07-2026"/>
    <n v="10880"/>
    <s v="1101-10"/>
    <n v="0"/>
    <n v="5000000"/>
    <s v="Traspaso entre cuentas"/>
    <n v="-5000000"/>
    <s v="Activo"/>
    <n v="-5000000"/>
    <x v="4"/>
  </r>
  <r>
    <n v="2026"/>
    <n v="7"/>
    <s v="17-07-2026"/>
    <n v="10881"/>
    <s v="1101-10"/>
    <n v="0"/>
    <n v="5000000"/>
    <s v="Traspaso entre cuentas"/>
    <n v="-5000000"/>
    <s v="Activo"/>
    <n v="-5000000"/>
    <x v="4"/>
  </r>
  <r>
    <n v="2026"/>
    <n v="7"/>
    <s v="17-07-2026"/>
    <n v="10882"/>
    <s v="1101-10"/>
    <n v="0"/>
    <n v="5000000"/>
    <s v="Traspaso entre cuentas"/>
    <n v="-5000000"/>
    <s v="Activo"/>
    <n v="-5000000"/>
    <x v="4"/>
  </r>
  <r>
    <n v="2026"/>
    <n v="7"/>
    <s v="17-07-2026"/>
    <n v="10883"/>
    <s v="1101-10"/>
    <n v="0"/>
    <n v="4600000"/>
    <s v="Traspaso entre cuentas"/>
    <n v="-4600000"/>
    <s v="Activo"/>
    <n v="-4600000"/>
    <x v="4"/>
  </r>
  <r>
    <n v="2026"/>
    <n v="7"/>
    <s v="30-07-2026"/>
    <n v="10853"/>
    <s v="1101-10"/>
    <n v="4526921"/>
    <n v="0"/>
    <s v="Traspaso entre bancos"/>
    <n v="4526921"/>
    <s v="Activo"/>
    <n v="4526921"/>
    <x v="4"/>
  </r>
  <r>
    <n v="2026"/>
    <n v="7"/>
    <s v="30-07-2026"/>
    <n v="10854"/>
    <s v="1101-10"/>
    <n v="5000000"/>
    <n v="0"/>
    <s v="Traspaso entre bancos"/>
    <n v="5000000"/>
    <s v="Activo"/>
    <n v="5000000"/>
    <x v="4"/>
  </r>
  <r>
    <n v="2026"/>
    <n v="7"/>
    <s v="30-07-2026"/>
    <n v="10855"/>
    <s v="1101-10"/>
    <n v="5000000"/>
    <n v="0"/>
    <s v="Traspaso entre bancos"/>
    <n v="5000000"/>
    <s v="Activo"/>
    <n v="5000000"/>
    <x v="4"/>
  </r>
  <r>
    <n v="2026"/>
    <n v="7"/>
    <s v="31-07-2026"/>
    <n v="10891"/>
    <s v="1101-10"/>
    <n v="0"/>
    <n v="5000000"/>
    <s v="Traspaso entre cuentas"/>
    <n v="-5000000"/>
    <s v="Activo"/>
    <n v="-5000000"/>
    <x v="4"/>
  </r>
  <r>
    <n v="2026"/>
    <n v="7"/>
    <s v="31-07-2026"/>
    <n v="10892"/>
    <s v="1101-10"/>
    <n v="0"/>
    <n v="4287486"/>
    <s v="Traspaso entre cuentas"/>
    <n v="-4287486"/>
    <s v="Activo"/>
    <n v="-4287486"/>
    <x v="4"/>
  </r>
  <r>
    <n v="2026"/>
    <n v="7"/>
    <s v="31-07-2026"/>
    <n v="10893"/>
    <s v="1101-10"/>
    <n v="0"/>
    <n v="2075740"/>
    <s v="Traspaso entre cuentas"/>
    <n v="-2075740"/>
    <s v="Activo"/>
    <n v="-2075740"/>
    <x v="4"/>
  </r>
  <r>
    <n v="2026"/>
    <n v="1"/>
    <s v="01-01-2026"/>
    <n v="9827"/>
    <s v="1101-13"/>
    <n v="325000"/>
    <n v="0"/>
    <s v=""/>
    <n v="325000"/>
    <s v="Activo"/>
    <n v="325000"/>
    <x v="5"/>
  </r>
  <r>
    <n v="2026"/>
    <n v="1"/>
    <s v="05-01-2026"/>
    <n v="8432"/>
    <s v="1101-13"/>
    <n v="0"/>
    <n v="441874"/>
    <s v="Cuentas apertura"/>
    <n v="-441874"/>
    <s v="Activo"/>
    <n v="-441874"/>
    <x v="5"/>
  </r>
  <r>
    <n v="2026"/>
    <n v="1"/>
    <s v="07-01-2026"/>
    <n v="6974"/>
    <s v="1101-13"/>
    <n v="100000"/>
    <n v="0"/>
    <s v="Compra telefono - carolina diaz"/>
    <n v="100000"/>
    <s v="Activo"/>
    <n v="100000"/>
    <x v="5"/>
  </r>
  <r>
    <n v="2026"/>
    <n v="1"/>
    <s v="21-01-2026"/>
    <n v="7069"/>
    <s v="1101-13"/>
    <n v="10000"/>
    <n v="0"/>
    <s v="Caja chica"/>
    <n v="10000"/>
    <s v="Activo"/>
    <n v="10000"/>
    <x v="5"/>
  </r>
  <r>
    <n v="2026"/>
    <n v="5"/>
    <s v="08-05-2026"/>
    <n v="7864"/>
    <s v="1101-13"/>
    <n v="6874"/>
    <n v="0"/>
    <s v="Cargo por caja"/>
    <n v="6874"/>
    <s v="Activo"/>
    <n v="6874"/>
    <x v="5"/>
  </r>
  <r>
    <n v="2026"/>
    <n v="1"/>
    <s v="01-01-2026"/>
    <n v="9827"/>
    <s v="1101-14"/>
    <n v="27478066"/>
    <n v="0"/>
    <s v=""/>
    <n v="27478066"/>
    <s v="Activo"/>
    <n v="27478066"/>
    <x v="6"/>
  </r>
  <r>
    <n v="2026"/>
    <n v="1"/>
    <s v="02-01-2026"/>
    <n v="9819"/>
    <s v="1101-14"/>
    <n v="0"/>
    <n v="3000000"/>
    <s v="Transf. de tlink spa itau 230434690"/>
    <n v="-3000000"/>
    <s v="Activo"/>
    <n v="-3000000"/>
    <x v="6"/>
  </r>
  <r>
    <n v="2026"/>
    <n v="1"/>
    <s v="12-01-2026"/>
    <n v="9820"/>
    <s v="1101-14"/>
    <n v="5000000"/>
    <n v="0"/>
    <s v="230434690 transf. de tlink spa"/>
    <n v="5000000"/>
    <s v="Activo"/>
    <n v="5000000"/>
    <x v="6"/>
  </r>
  <r>
    <n v="2026"/>
    <n v="1"/>
    <s v="12-01-2026"/>
    <n v="9820"/>
    <s v="1101-14"/>
    <n v="5000000"/>
    <n v="0"/>
    <s v="230434690 transf. de tlink spa"/>
    <n v="5000000"/>
    <s v="Activo"/>
    <n v="5000000"/>
    <x v="6"/>
  </r>
  <r>
    <n v="2026"/>
    <n v="1"/>
    <s v="19-01-2026"/>
    <n v="9821"/>
    <s v="1101-14"/>
    <n v="0"/>
    <n v="4478066"/>
    <s v="230434690 transf. de tlink spa"/>
    <n v="-4478066"/>
    <s v="Activo"/>
    <n v="-4478066"/>
    <x v="6"/>
  </r>
  <r>
    <n v="2026"/>
    <n v="1"/>
    <s v="19-01-2026"/>
    <n v="9822"/>
    <s v="1101-14"/>
    <n v="3087065"/>
    <n v="0"/>
    <s v="230434690 transf. de tlink spa"/>
    <n v="3087065"/>
    <s v="Activo"/>
    <n v="3087065"/>
    <x v="6"/>
  </r>
  <r>
    <n v="2026"/>
    <n v="2"/>
    <s v="13-02-2026"/>
    <n v="7104"/>
    <s v="1101-14"/>
    <n v="0"/>
    <n v="2000000"/>
    <s v="Transf. de tlink spa itau 230434690"/>
    <n v="-2000000"/>
    <s v="Activo"/>
    <n v="-2000000"/>
    <x v="6"/>
  </r>
  <r>
    <n v="2026"/>
    <n v="2"/>
    <s v="13-02-2026"/>
    <n v="7104"/>
    <s v="1101-14"/>
    <n v="0"/>
    <n v="2000000"/>
    <s v="Transf. de tlink spa itau 230434690"/>
    <n v="-2000000"/>
    <s v="Activo"/>
    <n v="-2000000"/>
    <x v="6"/>
  </r>
  <r>
    <n v="2026"/>
    <n v="2"/>
    <s v="16-02-2026"/>
    <n v="10588"/>
    <s v="1101-14"/>
    <n v="0"/>
    <n v="3500000"/>
    <s v="Transf. de tlink spa itau 230434690"/>
    <n v="-3500000"/>
    <s v="Activo"/>
    <n v="-3500000"/>
    <x v="6"/>
  </r>
  <r>
    <n v="2026"/>
    <n v="2"/>
    <s v="16-02-2026"/>
    <n v="10588"/>
    <s v="1101-14"/>
    <n v="0"/>
    <n v="5000000"/>
    <s v="Transf. de tlink spa itau 230434690"/>
    <n v="-5000000"/>
    <s v="Activo"/>
    <n v="-5000000"/>
    <x v="6"/>
  </r>
  <r>
    <n v="2026"/>
    <n v="2"/>
    <s v="16-02-2026"/>
    <n v="10588"/>
    <s v="1101-14"/>
    <n v="0"/>
    <n v="5000000"/>
    <s v="Transf. de tlink spa itau 230434690"/>
    <n v="-5000000"/>
    <s v="Activo"/>
    <n v="-5000000"/>
    <x v="6"/>
  </r>
  <r>
    <n v="2026"/>
    <n v="2"/>
    <s v="16-02-2026"/>
    <n v="10588"/>
    <s v="1101-14"/>
    <n v="0"/>
    <n v="5000000"/>
    <s v="Transf. de tlink spa itau 230434690"/>
    <n v="-5000000"/>
    <s v="Activo"/>
    <n v="-5000000"/>
    <x v="6"/>
  </r>
  <r>
    <n v="2026"/>
    <n v="2"/>
    <s v="16-02-2026"/>
    <n v="10596"/>
    <s v="1101-14"/>
    <n v="5000000"/>
    <n v="0"/>
    <s v="Traspaso itau 230434690"/>
    <n v="5000000"/>
    <s v="Activo"/>
    <n v="5000000"/>
    <x v="6"/>
  </r>
  <r>
    <n v="2026"/>
    <n v="2"/>
    <s v="16-02-2026"/>
    <n v="10596"/>
    <s v="1101-14"/>
    <n v="5000000"/>
    <n v="0"/>
    <s v="Traspaso itau 230434690"/>
    <n v="5000000"/>
    <s v="Activo"/>
    <n v="5000000"/>
    <x v="6"/>
  </r>
  <r>
    <n v="2026"/>
    <n v="2"/>
    <s v="16-02-2026"/>
    <n v="10596"/>
    <s v="1101-14"/>
    <n v="5000000"/>
    <n v="0"/>
    <s v="Traspaso itau 230434690"/>
    <n v="5000000"/>
    <s v="Activo"/>
    <n v="5000000"/>
    <x v="6"/>
  </r>
  <r>
    <n v="2026"/>
    <n v="2"/>
    <s v="19-02-2026"/>
    <n v="10589"/>
    <s v="1101-14"/>
    <n v="0"/>
    <n v="5000000"/>
    <s v="Transf. de tlink spa itau 230434690"/>
    <n v="-5000000"/>
    <s v="Activo"/>
    <n v="-5000000"/>
    <x v="6"/>
  </r>
  <r>
    <n v="2026"/>
    <n v="2"/>
    <s v="19-02-2026"/>
    <n v="10589"/>
    <s v="1101-14"/>
    <n v="0"/>
    <n v="3000000"/>
    <s v="Transf. de tlink spa itau 230434690"/>
    <n v="-3000000"/>
    <s v="Activo"/>
    <n v="-3000000"/>
    <x v="6"/>
  </r>
  <r>
    <n v="2026"/>
    <n v="2"/>
    <s v="23-02-2026"/>
    <n v="10592"/>
    <s v="1101-14"/>
    <n v="5000000"/>
    <n v="0"/>
    <s v="Traspaso itau 230434690"/>
    <n v="5000000"/>
    <s v="Activo"/>
    <n v="5000000"/>
    <x v="6"/>
  </r>
  <r>
    <n v="2026"/>
    <n v="2"/>
    <s v="25-02-2026"/>
    <n v="10590"/>
    <s v="1101-14"/>
    <n v="0"/>
    <n v="1500000"/>
    <s v="Transf. de tlink spa itau 230434690"/>
    <n v="-1500000"/>
    <s v="Activo"/>
    <n v="-1500000"/>
    <x v="6"/>
  </r>
  <r>
    <n v="2026"/>
    <n v="2"/>
    <s v="25-02-2026"/>
    <n v="10590"/>
    <s v="1101-14"/>
    <n v="0"/>
    <n v="5000000"/>
    <s v="Transf. de tlink spa itau 230434690"/>
    <n v="-5000000"/>
    <s v="Activo"/>
    <n v="-5000000"/>
    <x v="6"/>
  </r>
  <r>
    <n v="2026"/>
    <n v="2"/>
    <s v="27-02-2026"/>
    <n v="10591"/>
    <s v="1101-14"/>
    <n v="0"/>
    <n v="5000000"/>
    <s v="Transf. de tlink spa itau 230434690"/>
    <n v="-5000000"/>
    <s v="Activo"/>
    <n v="-5000000"/>
    <x v="6"/>
  </r>
  <r>
    <n v="2026"/>
    <n v="2"/>
    <s v="27-02-2026"/>
    <n v="10591"/>
    <s v="1101-14"/>
    <n v="0"/>
    <n v="5000000"/>
    <s v="Transf. de tlink spa itau 230434690"/>
    <n v="-5000000"/>
    <s v="Activo"/>
    <n v="-5000000"/>
    <x v="6"/>
  </r>
  <r>
    <n v="2026"/>
    <n v="2"/>
    <s v="27-02-2026"/>
    <n v="10591"/>
    <s v="1101-14"/>
    <n v="0"/>
    <n v="5000000"/>
    <s v="Transf. de tlink spa itau 230434690"/>
    <n v="-5000000"/>
    <s v="Activo"/>
    <n v="-5000000"/>
    <x v="6"/>
  </r>
  <r>
    <n v="2026"/>
    <n v="3"/>
    <s v="30-03-2026"/>
    <n v="7476"/>
    <s v="1101-14"/>
    <n v="5000000"/>
    <n v="0"/>
    <s v="Transf. a tlink spa itau 230434690"/>
    <n v="5000000"/>
    <s v="Activo"/>
    <n v="5000000"/>
    <x v="6"/>
  </r>
  <r>
    <n v="2026"/>
    <n v="3"/>
    <s v="30-03-2026"/>
    <n v="7476"/>
    <s v="1101-14"/>
    <n v="5000000"/>
    <n v="0"/>
    <s v="Transf. a tlink spa itau 230434690"/>
    <n v="5000000"/>
    <s v="Activo"/>
    <n v="5000000"/>
    <x v="6"/>
  </r>
  <r>
    <n v="2026"/>
    <n v="3"/>
    <s v="30-03-2026"/>
    <n v="7476"/>
    <s v="1101-14"/>
    <n v="3647694"/>
    <n v="0"/>
    <s v="Transf. a tlink spa itau 230434690"/>
    <n v="3647694"/>
    <s v="Activo"/>
    <n v="3647694"/>
    <x v="6"/>
  </r>
  <r>
    <n v="2026"/>
    <n v="3"/>
    <s v="30-03-2026"/>
    <n v="7476"/>
    <s v="1101-14"/>
    <n v="4479345"/>
    <n v="0"/>
    <s v="Transf. a tlink spa itau 230434690"/>
    <n v="4479345"/>
    <s v="Activo"/>
    <n v="4479345"/>
    <x v="6"/>
  </r>
  <r>
    <n v="2026"/>
    <n v="4"/>
    <s v="02-04-2026"/>
    <n v="10759"/>
    <s v="1101-14"/>
    <n v="0"/>
    <n v="4500000"/>
    <s v="Transf. de tlink spa"/>
    <n v="-4500000"/>
    <s v="Activo"/>
    <n v="-4500000"/>
    <x v="6"/>
  </r>
  <r>
    <n v="2026"/>
    <n v="4"/>
    <s v="06-04-2026"/>
    <n v="10760"/>
    <s v="1101-14"/>
    <n v="0"/>
    <n v="5000000"/>
    <s v="Transf. de tlink spa"/>
    <n v="-5000000"/>
    <s v="Activo"/>
    <n v="-5000000"/>
    <x v="6"/>
  </r>
  <r>
    <n v="2026"/>
    <n v="4"/>
    <s v="06-04-2026"/>
    <n v="10761"/>
    <s v="1101-14"/>
    <n v="0"/>
    <n v="5000000"/>
    <s v="Transf. de tlink spa"/>
    <n v="-5000000"/>
    <s v="Activo"/>
    <n v="-5000000"/>
    <x v="6"/>
  </r>
  <r>
    <n v="2026"/>
    <n v="4"/>
    <s v="06-04-2026"/>
    <n v="10762"/>
    <s v="1101-14"/>
    <n v="0"/>
    <n v="4714104"/>
    <s v="Transf. de tlink spa"/>
    <n v="-4714104"/>
    <s v="Activo"/>
    <n v="-4714104"/>
    <x v="6"/>
  </r>
  <r>
    <n v="2026"/>
    <n v="4"/>
    <s v="06-04-2026"/>
    <n v="10763"/>
    <s v="1101-14"/>
    <n v="5000000"/>
    <n v="0"/>
    <s v="Transf. a tlink spa"/>
    <n v="5000000"/>
    <s v="Activo"/>
    <n v="5000000"/>
    <x v="6"/>
  </r>
  <r>
    <n v="2026"/>
    <n v="4"/>
    <s v="06-04-2026"/>
    <n v="10764"/>
    <s v="1101-14"/>
    <n v="0"/>
    <n v="5000000"/>
    <s v="Transf. de tlink spa"/>
    <n v="-5000000"/>
    <s v="Activo"/>
    <n v="-5000000"/>
    <x v="6"/>
  </r>
  <r>
    <n v="2026"/>
    <n v="4"/>
    <s v="07-04-2026"/>
    <n v="10765"/>
    <s v="1101-14"/>
    <n v="5000000"/>
    <n v="0"/>
    <s v="Transf. a tlink spa"/>
    <n v="5000000"/>
    <s v="Activo"/>
    <n v="5000000"/>
    <x v="6"/>
  </r>
  <r>
    <n v="2026"/>
    <n v="4"/>
    <s v="07-04-2026"/>
    <n v="10766"/>
    <s v="1101-14"/>
    <n v="1885126"/>
    <n v="0"/>
    <s v="Transf. a tlink spa"/>
    <n v="1885126"/>
    <s v="Activo"/>
    <n v="1885126"/>
    <x v="6"/>
  </r>
  <r>
    <n v="2026"/>
    <n v="4"/>
    <s v="09-04-2026"/>
    <n v="10768"/>
    <s v="1101-14"/>
    <n v="5000000"/>
    <n v="0"/>
    <s v="Transf. a tlink spa"/>
    <n v="5000000"/>
    <s v="Activo"/>
    <n v="5000000"/>
    <x v="6"/>
  </r>
  <r>
    <n v="2026"/>
    <n v="4"/>
    <s v="13-04-2026"/>
    <n v="7681"/>
    <s v="1101-14"/>
    <n v="57415"/>
    <n v="0"/>
    <s v="Transf. a tlink spa"/>
    <n v="57415"/>
    <s v="Activo"/>
    <n v="57415"/>
    <x v="6"/>
  </r>
  <r>
    <n v="2026"/>
    <n v="4"/>
    <s v="13-04-2026"/>
    <n v="11820"/>
    <s v="1101-14"/>
    <n v="0"/>
    <n v="5000000"/>
    <s v="0765406986 transf. 230434690"/>
    <n v="-5000000"/>
    <s v="Activo"/>
    <n v="-5000000"/>
    <x v="6"/>
  </r>
  <r>
    <n v="2026"/>
    <n v="4"/>
    <s v="13-04-2026"/>
    <n v="11823"/>
    <s v="1101-14"/>
    <n v="0"/>
    <n v="2165000"/>
    <s v="0765406986 transf. 230434690"/>
    <n v="-2165000"/>
    <s v="Activo"/>
    <n v="-2165000"/>
    <x v="6"/>
  </r>
  <r>
    <n v="2026"/>
    <n v="4"/>
    <s v="16-04-2026"/>
    <n v="11861"/>
    <s v="1101-14"/>
    <n v="0"/>
    <n v="2000000"/>
    <s v="Transf. de tlink spa"/>
    <n v="-2000000"/>
    <s v="Activo"/>
    <n v="-2000000"/>
    <x v="6"/>
  </r>
  <r>
    <n v="2026"/>
    <n v="4"/>
    <s v="16-04-2026"/>
    <n v="11862"/>
    <s v="1101-14"/>
    <n v="0"/>
    <n v="2000000"/>
    <s v="Transf. de tlink spa"/>
    <n v="-2000000"/>
    <s v="Activo"/>
    <n v="-2000000"/>
    <x v="6"/>
  </r>
  <r>
    <n v="2026"/>
    <n v="4"/>
    <s v="17-04-2026"/>
    <n v="7685"/>
    <s v="1101-14"/>
    <n v="2000000"/>
    <n v="0"/>
    <s v="Transf. a tlink spa"/>
    <n v="2000000"/>
    <s v="Activo"/>
    <n v="2000000"/>
    <x v="6"/>
  </r>
  <r>
    <n v="2026"/>
    <n v="4"/>
    <s v="20-04-2026"/>
    <n v="7686"/>
    <s v="1101-14"/>
    <n v="1000000"/>
    <n v="0"/>
    <s v="Transf. a tlink spa"/>
    <n v="1000000"/>
    <s v="Activo"/>
    <n v="1000000"/>
    <x v="6"/>
  </r>
  <r>
    <n v="2026"/>
    <n v="4"/>
    <s v="29-04-2026"/>
    <n v="7688"/>
    <s v="1101-14"/>
    <n v="1000000"/>
    <n v="0"/>
    <s v="Transf. a tlink spa"/>
    <n v="1000000"/>
    <s v="Activo"/>
    <n v="1000000"/>
    <x v="6"/>
  </r>
  <r>
    <n v="2026"/>
    <n v="5"/>
    <s v="06-05-2026"/>
    <n v="7699"/>
    <s v="1101-14"/>
    <n v="0"/>
    <n v="1199584"/>
    <s v="Generico 230434690 transf. a tlink spa"/>
    <n v="-1199584"/>
    <s v="Activo"/>
    <n v="-1199584"/>
    <x v="6"/>
  </r>
  <r>
    <n v="2026"/>
    <n v="5"/>
    <s v="06-05-2026"/>
    <n v="7699"/>
    <s v="1101-14"/>
    <n v="0"/>
    <n v="849782"/>
    <s v="Generico 230434690 transf. a tlink spa"/>
    <n v="-849782"/>
    <s v="Activo"/>
    <n v="-849782"/>
    <x v="6"/>
  </r>
  <r>
    <n v="2026"/>
    <n v="5"/>
    <s v="11-05-2026"/>
    <n v="7701"/>
    <s v="1101-14"/>
    <n v="2000000"/>
    <n v="0"/>
    <s v="Generico 230434690 transf. de tlink spa"/>
    <n v="2000000"/>
    <s v="Activo"/>
    <n v="2000000"/>
    <x v="6"/>
  </r>
  <r>
    <n v="2026"/>
    <n v="5"/>
    <s v="28-05-2026"/>
    <n v="7704"/>
    <s v="1101-14"/>
    <n v="1000000"/>
    <n v="0"/>
    <s v="Generico 230434690 transf. de tlink spa"/>
    <n v="1000000"/>
    <s v="Activo"/>
    <n v="1000000"/>
    <x v="6"/>
  </r>
  <r>
    <n v="2026"/>
    <n v="6"/>
    <s v="08-06-2026"/>
    <n v="10791"/>
    <s v="1101-14"/>
    <n v="0"/>
    <n v="1215282"/>
    <s v="Traspaso entre cuentas bancarias"/>
    <n v="-1215282"/>
    <s v="Activo"/>
    <n v="-1215282"/>
    <x v="6"/>
  </r>
  <r>
    <n v="2026"/>
    <n v="6"/>
    <s v="08-06-2026"/>
    <n v="10792"/>
    <s v="1101-14"/>
    <n v="0"/>
    <n v="2500000"/>
    <s v="Traspaso entre cuentas bancarias"/>
    <n v="-2500000"/>
    <s v="Activo"/>
    <n v="-2500000"/>
    <x v="6"/>
  </r>
  <r>
    <n v="2026"/>
    <n v="6"/>
    <s v="12-06-2026"/>
    <n v="10793"/>
    <s v="1101-14"/>
    <n v="2500000"/>
    <n v="0"/>
    <s v="Traspaso entre cuentas bancarias"/>
    <n v="2500000"/>
    <s v="Activo"/>
    <n v="2500000"/>
    <x v="6"/>
  </r>
  <r>
    <n v="2026"/>
    <n v="6"/>
    <s v="17-06-2026"/>
    <n v="10794"/>
    <s v="1101-14"/>
    <n v="0"/>
    <n v="4000000"/>
    <s v="Traspaso entre cuentas bancarias"/>
    <n v="-4000000"/>
    <s v="Activo"/>
    <n v="-4000000"/>
    <x v="6"/>
  </r>
  <r>
    <n v="2026"/>
    <n v="6"/>
    <s v="26-06-2026"/>
    <n v="10795"/>
    <s v="1101-14"/>
    <n v="0"/>
    <n v="512893"/>
    <s v="Traspaso entre cuentas bancarias"/>
    <n v="-512893"/>
    <s v="Activo"/>
    <n v="-512893"/>
    <x v="6"/>
  </r>
  <r>
    <n v="2026"/>
    <n v="3"/>
    <s v="05-03-2026"/>
    <n v="10745"/>
    <s v="1101-15"/>
    <n v="2562368"/>
    <n v="0"/>
    <s v="Traspaso itau 5225 a santarder usd"/>
    <n v="2562368"/>
    <s v="Activo"/>
    <n v="2562368"/>
    <x v="7"/>
  </r>
  <r>
    <n v="2026"/>
    <n v="3"/>
    <s v="20-03-2026"/>
    <n v="11145"/>
    <s v="1101-15"/>
    <n v="0"/>
    <n v="1774500"/>
    <s v="Ingreso por venta de divisas"/>
    <n v="-1774500"/>
    <s v="Activo"/>
    <n v="-1774500"/>
    <x v="7"/>
  </r>
  <r>
    <n v="2026"/>
    <n v="3"/>
    <s v="23-03-2026"/>
    <n v="10746"/>
    <s v="1101-15"/>
    <n v="1489475"/>
    <n v="0"/>
    <s v="Traspaso itau 5225 a santander usd"/>
    <n v="1489475"/>
    <s v="Activo"/>
    <n v="1489475"/>
    <x v="7"/>
  </r>
  <r>
    <n v="2026"/>
    <n v="3"/>
    <s v="24-03-2026"/>
    <n v="11151"/>
    <s v="1101-15"/>
    <n v="0"/>
    <n v="1544796"/>
    <s v="Ingreso por venta de divisas"/>
    <n v="-1544796"/>
    <s v="Activo"/>
    <n v="-1544796"/>
    <x v="7"/>
  </r>
  <r>
    <n v="2026"/>
    <n v="4"/>
    <s v="20-04-2026"/>
    <n v="11841"/>
    <s v="1101-15"/>
    <n v="0"/>
    <n v="2589000"/>
    <s v="Ingreso por venta de divisas"/>
    <n v="-2589000"/>
    <s v="Activo"/>
    <n v="-2589000"/>
    <x v="7"/>
  </r>
  <r>
    <n v="2026"/>
    <n v="4"/>
    <s v="20-04-2026"/>
    <n v="11842"/>
    <s v="1101-15"/>
    <n v="0"/>
    <n v="1316881"/>
    <s v="Ingreso por venta de divisas"/>
    <n v="-1316881"/>
    <s v="Activo"/>
    <n v="-1316881"/>
    <x v="7"/>
  </r>
  <r>
    <n v="2026"/>
    <n v="4"/>
    <s v="30-04-2026"/>
    <n v="11870"/>
    <s v="1101-15"/>
    <n v="1717210"/>
    <n v="0"/>
    <s v="Centralización recaudaciones abril 2026 - #4093"/>
    <n v="1717210"/>
    <s v="Activo"/>
    <n v="1717210"/>
    <x v="7"/>
  </r>
  <r>
    <n v="2026"/>
    <n v="4"/>
    <s v="30-04-2026"/>
    <n v="10777"/>
    <s v="1101-15"/>
    <n v="5656567"/>
    <n v="0"/>
    <s v="Diferencia tc banco santander"/>
    <n v="5656567"/>
    <s v="Activo"/>
    <n v="5656567"/>
    <x v="7"/>
  </r>
  <r>
    <n v="2026"/>
    <n v="5"/>
    <s v="04-05-2026"/>
    <n v="11877"/>
    <s v="1101-15"/>
    <n v="0"/>
    <n v="4108720"/>
    <s v="Ingreso por venta de divisas"/>
    <n v="-4108720"/>
    <s v="Activo"/>
    <n v="-4108720"/>
    <x v="7"/>
  </r>
  <r>
    <n v="2026"/>
    <n v="5"/>
    <s v="31-05-2026"/>
    <n v="10785"/>
    <s v="1101-15"/>
    <n v="0"/>
    <n v="40021"/>
    <s v="Diferecia tc banco santander usd"/>
    <n v="-40021"/>
    <s v="Activo"/>
    <n v="-40021"/>
    <x v="7"/>
  </r>
  <r>
    <n v="2026"/>
    <n v="6"/>
    <s v="11-06-2026"/>
    <n v="12609"/>
    <s v="1101-15"/>
    <n v="0"/>
    <n v="1425056"/>
    <s v="Ingreso por venta de divisas"/>
    <n v="-1425056"/>
    <s v="Activo"/>
    <n v="-1425056"/>
    <x v="7"/>
  </r>
  <r>
    <n v="2026"/>
    <n v="6"/>
    <s v="30-06-2026"/>
    <n v="12610"/>
    <s v="1101-15"/>
    <n v="1415770"/>
    <n v="0"/>
    <s v="Centralización recaudaciones junio 2026 - #5274"/>
    <n v="1415770"/>
    <s v="Activo"/>
    <n v="1415770"/>
    <x v="7"/>
  </r>
  <r>
    <n v="2026"/>
    <n v="6"/>
    <s v="30-06-2026"/>
    <n v="10840"/>
    <s v="1101-15"/>
    <n v="6578"/>
    <n v="0"/>
    <s v="Diferencias de cambio santander usd"/>
    <n v="6578"/>
    <s v="Activo"/>
    <n v="6578"/>
    <x v="7"/>
  </r>
  <r>
    <n v="2026"/>
    <n v="7"/>
    <s v="17-07-2026"/>
    <n v="12632"/>
    <s v="1101-15"/>
    <n v="0"/>
    <n v="1476457"/>
    <s v="Ingreso por venta de divisas"/>
    <n v="-1476457"/>
    <s v="Activo"/>
    <n v="-1476457"/>
    <x v="7"/>
  </r>
  <r>
    <n v="2026"/>
    <n v="7"/>
    <s v="31-07-2026"/>
    <n v="13334"/>
    <s v="1101-15"/>
    <n v="1438256"/>
    <n v="0"/>
    <s v="Centralización recaudaciones julio 2026 - #5955"/>
    <n v="1438256"/>
    <s v="Activo"/>
    <n v="1438256"/>
    <x v="7"/>
  </r>
  <r>
    <n v="2026"/>
    <n v="7"/>
    <s v="31-07-2026"/>
    <n v="12635"/>
    <s v="1101-15"/>
    <n v="0"/>
    <n v="10793"/>
    <s v="Diferencias de cambio santander usd"/>
    <n v="-10793"/>
    <s v="Activo"/>
    <n v="-10793"/>
    <x v="7"/>
  </r>
  <r>
    <n v="2026"/>
    <n v="7"/>
    <s v="02-07-2026"/>
    <n v="10868"/>
    <s v="1101-16"/>
    <n v="100000"/>
    <n v="0"/>
    <s v="Traspaso entre cuentas"/>
    <n v="100000"/>
    <s v="Activo"/>
    <n v="100000"/>
    <x v="8"/>
  </r>
  <r>
    <n v="2026"/>
    <n v="7"/>
    <s v="03-07-2026"/>
    <n v="10869"/>
    <s v="1101-16"/>
    <n v="150000"/>
    <n v="0"/>
    <s v="Traspaso entre cuentas"/>
    <n v="150000"/>
    <s v="Activo"/>
    <n v="150000"/>
    <x v="8"/>
  </r>
  <r>
    <n v="2026"/>
    <n v="7"/>
    <s v="09-07-2026"/>
    <n v="10875"/>
    <s v="1101-16"/>
    <n v="50000"/>
    <n v="0"/>
    <s v="Traspaso entre cuentas"/>
    <n v="50000"/>
    <s v="Activo"/>
    <n v="50000"/>
    <x v="8"/>
  </r>
  <r>
    <n v="2026"/>
    <n v="7"/>
    <s v="10-07-2026"/>
    <n v="10876"/>
    <s v="1101-16"/>
    <n v="120000"/>
    <n v="0"/>
    <s v="Traspaso entre cuentas"/>
    <n v="120000"/>
    <s v="Activo"/>
    <n v="120000"/>
    <x v="8"/>
  </r>
  <r>
    <n v="2026"/>
    <n v="7"/>
    <s v="14-07-2026"/>
    <n v="10877"/>
    <s v="1101-16"/>
    <n v="70000"/>
    <n v="0"/>
    <s v="Traspaso entre cuentas"/>
    <n v="70000"/>
    <s v="Activo"/>
    <n v="70000"/>
    <x v="8"/>
  </r>
  <r>
    <n v="2026"/>
    <n v="7"/>
    <s v="17-07-2026"/>
    <n v="10884"/>
    <s v="1101-16"/>
    <n v="100000"/>
    <n v="0"/>
    <s v="Traspaso entre cuentas"/>
    <n v="100000"/>
    <s v="Activo"/>
    <n v="100000"/>
    <x v="8"/>
  </r>
  <r>
    <n v="2026"/>
    <n v="7"/>
    <s v="20-07-2026"/>
    <n v="10885"/>
    <s v="1101-16"/>
    <n v="150000"/>
    <n v="0"/>
    <s v="Traspaso entre cuentas"/>
    <n v="150000"/>
    <s v="Activo"/>
    <n v="150000"/>
    <x v="8"/>
  </r>
  <r>
    <n v="2026"/>
    <n v="7"/>
    <s v="20-07-2026"/>
    <n v="10886"/>
    <s v="1101-16"/>
    <n v="80000"/>
    <n v="0"/>
    <s v="Traspaso entre cuentas"/>
    <n v="80000"/>
    <s v="Activo"/>
    <n v="80000"/>
    <x v="8"/>
  </r>
  <r>
    <n v="2026"/>
    <n v="7"/>
    <s v="28-07-2026"/>
    <n v="10889"/>
    <s v="1101-16"/>
    <n v="250000"/>
    <n v="0"/>
    <s v="Traspaso entre cuentas"/>
    <n v="250000"/>
    <s v="Activo"/>
    <n v="250000"/>
    <x v="8"/>
  </r>
  <r>
    <n v="2026"/>
    <n v="7"/>
    <s v="31-07-2026"/>
    <n v="10896"/>
    <s v="1101-16"/>
    <n v="15000"/>
    <n v="0"/>
    <s v="Traspaso entre cuentas"/>
    <n v="15000"/>
    <s v="Activo"/>
    <n v="15000"/>
    <x v="8"/>
  </r>
  <r>
    <n v="2026"/>
    <n v="1"/>
    <s v="01-01-2026"/>
    <n v="9827"/>
    <s v="1104-01"/>
    <n v="6428278080"/>
    <n v="0"/>
    <s v="Movimientos auxiliares"/>
    <n v="6428278080"/>
    <s v="Activo"/>
    <n v="6428278080"/>
    <x v="9"/>
  </r>
  <r>
    <n v="2026"/>
    <n v="1"/>
    <s v="01-01-2026"/>
    <n v="9827"/>
    <s v="1104-01"/>
    <n v="0"/>
    <n v="6183974608"/>
    <s v="Movimientos auxiliares"/>
    <n v="-6183974608"/>
    <s v="Activo"/>
    <n v="-6183974608"/>
    <x v="9"/>
  </r>
  <r>
    <n v="2026"/>
    <n v="1"/>
    <s v="02-01-2026"/>
    <n v="7097"/>
    <s v="1104-01"/>
    <n v="0"/>
    <n v="174950"/>
    <s v="Centralización recaudaciones enero 2026"/>
    <n v="-174950"/>
    <s v="Activo"/>
    <n v="-174950"/>
    <x v="9"/>
  </r>
  <r>
    <n v="2026"/>
    <n v="1"/>
    <s v="02-01-2026"/>
    <n v="10026"/>
    <s v="1104-01"/>
    <n v="0"/>
    <n v="8081683"/>
    <s v="0966893109 abn crd db tran transba"/>
    <n v="-8081683"/>
    <s v="Activo"/>
    <n v="-8081683"/>
    <x v="9"/>
  </r>
  <r>
    <n v="2026"/>
    <n v="1"/>
    <s v="02-01-2026"/>
    <n v="10029"/>
    <s v="1104-01"/>
    <n v="0"/>
    <n v="1939347"/>
    <s v="0761872877 transf. khipu spa"/>
    <n v="-1939347"/>
    <s v="Activo"/>
    <n v="-1939347"/>
    <x v="9"/>
  </r>
  <r>
    <n v="2026"/>
    <n v="1"/>
    <s v="02-01-2026"/>
    <n v="10077"/>
    <s v="1104-01"/>
    <n v="0"/>
    <n v="47000"/>
    <s v="Recaudacion clientes"/>
    <n v="-47000"/>
    <s v="Activo"/>
    <n v="-47000"/>
    <x v="9"/>
  </r>
  <r>
    <n v="2026"/>
    <n v="1"/>
    <s v="02-01-2026"/>
    <n v="10078"/>
    <s v="1104-01"/>
    <n v="0"/>
    <n v="12990"/>
    <s v="Recaudacion clientes"/>
    <n v="-12990"/>
    <s v="Activo"/>
    <n v="-12990"/>
    <x v="9"/>
  </r>
  <r>
    <n v="2026"/>
    <n v="1"/>
    <s v="02-01-2026"/>
    <n v="10079"/>
    <s v="1104-01"/>
    <n v="0"/>
    <n v="30000"/>
    <s v="Centralización recaudaciones enero 2026 #1938 - #1938"/>
    <n v="-30000"/>
    <s v="Activo"/>
    <n v="-30000"/>
    <x v="9"/>
  </r>
  <r>
    <n v="2026"/>
    <n v="1"/>
    <s v="02-01-2026"/>
    <n v="10080"/>
    <s v="1104-01"/>
    <n v="0"/>
    <n v="30000"/>
    <s v="Centralización recaudaciones enero 2026 #1941 - #1941"/>
    <n v="-30000"/>
    <s v="Activo"/>
    <n v="-30000"/>
    <x v="9"/>
  </r>
  <r>
    <n v="2026"/>
    <n v="1"/>
    <s v="02-01-2026"/>
    <n v="10081"/>
    <s v="1104-01"/>
    <n v="0"/>
    <n v="34990"/>
    <s v="Centralización recaudaciones enero 2026 #1935 - #1935"/>
    <n v="-34990"/>
    <s v="Activo"/>
    <n v="-34990"/>
    <x v="9"/>
  </r>
  <r>
    <n v="2026"/>
    <n v="1"/>
    <s v="02-01-2026"/>
    <n v="10082"/>
    <s v="1104-01"/>
    <n v="0"/>
    <n v="30000"/>
    <s v="Centralización recaudaciones enero 2026 #1937 - #1937"/>
    <n v="-30000"/>
    <s v="Activo"/>
    <n v="-30000"/>
    <x v="9"/>
  </r>
  <r>
    <n v="2026"/>
    <n v="1"/>
    <s v="02-01-2026"/>
    <n v="10083"/>
    <s v="1104-01"/>
    <n v="0"/>
    <n v="30000"/>
    <s v="Centralización recaudaciones enero 2026 #1939 - #1939"/>
    <n v="-30000"/>
    <s v="Activo"/>
    <n v="-30000"/>
    <x v="9"/>
  </r>
  <r>
    <n v="2026"/>
    <n v="1"/>
    <s v="02-01-2026"/>
    <n v="10084"/>
    <s v="1104-01"/>
    <n v="0"/>
    <n v="30000"/>
    <s v="Centralización recaudaciones enero 2026 #1940 - #1940"/>
    <n v="-30000"/>
    <s v="Activo"/>
    <n v="-30000"/>
    <x v="9"/>
  </r>
  <r>
    <n v="2026"/>
    <n v="1"/>
    <s v="02-01-2026"/>
    <n v="10085"/>
    <s v="1104-01"/>
    <n v="0"/>
    <n v="34000"/>
    <s v="Centralización recaudaciones enero 2026"/>
    <n v="-34000"/>
    <s v="Activo"/>
    <n v="-34000"/>
    <x v="9"/>
  </r>
  <r>
    <n v="2026"/>
    <n v="1"/>
    <s v="02-01-2026"/>
    <n v="10086"/>
    <s v="1104-01"/>
    <n v="0"/>
    <n v="30000"/>
    <s v="Centralización recaudaciones enero 2026 #1960 - #1960"/>
    <n v="-30000"/>
    <s v="Activo"/>
    <n v="-30000"/>
    <x v="9"/>
  </r>
  <r>
    <n v="2026"/>
    <n v="1"/>
    <s v="02-01-2026"/>
    <n v="10087"/>
    <s v="1104-01"/>
    <n v="0"/>
    <n v="40000"/>
    <s v="Centralización recaudaciones enero 2026 #1977 - #1977"/>
    <n v="-40000"/>
    <s v="Activo"/>
    <n v="-40000"/>
    <x v="9"/>
  </r>
  <r>
    <n v="2026"/>
    <n v="1"/>
    <s v="02-01-2026"/>
    <n v="10088"/>
    <s v="1104-01"/>
    <n v="0"/>
    <n v="64000"/>
    <s v="Centralización recaudaciones enero 2026 #1944 - #1944"/>
    <n v="-64000"/>
    <s v="Activo"/>
    <n v="-64000"/>
    <x v="9"/>
  </r>
  <r>
    <n v="2026"/>
    <n v="1"/>
    <s v="02-01-2026"/>
    <n v="10089"/>
    <s v="1104-01"/>
    <n v="0"/>
    <n v="70000"/>
    <s v="Centralización recaudaciones enero 2026 #1945 - #1945"/>
    <n v="-70000"/>
    <s v="Activo"/>
    <n v="-70000"/>
    <x v="9"/>
  </r>
  <r>
    <n v="2026"/>
    <n v="1"/>
    <s v="02-01-2026"/>
    <n v="10090"/>
    <s v="1104-01"/>
    <n v="0"/>
    <n v="50000"/>
    <s v="Centralización recaudaciones enero 2026 #1946 - #1946"/>
    <n v="-50000"/>
    <s v="Activo"/>
    <n v="-50000"/>
    <x v="9"/>
  </r>
  <r>
    <n v="2026"/>
    <n v="1"/>
    <s v="02-01-2026"/>
    <n v="10091"/>
    <s v="1104-01"/>
    <n v="0"/>
    <n v="113222"/>
    <s v="Centralización recaudaciones enero 2026 #1978 - #1978"/>
    <n v="-113222"/>
    <s v="Activo"/>
    <n v="-113222"/>
    <x v="9"/>
  </r>
  <r>
    <n v="2026"/>
    <n v="1"/>
    <s v="02-01-2026"/>
    <n v="10092"/>
    <s v="1104-01"/>
    <n v="0"/>
    <n v="60000"/>
    <s v="Centralización recaudaciones enero 2026 #1942 - #1942"/>
    <n v="-60000"/>
    <s v="Activo"/>
    <n v="-60000"/>
    <x v="9"/>
  </r>
  <r>
    <n v="2026"/>
    <n v="1"/>
    <s v="02-01-2026"/>
    <n v="10093"/>
    <s v="1104-01"/>
    <n v="0"/>
    <n v="15990"/>
    <s v="Centralización recaudaciones enero 2026 #1943 - #1943"/>
    <n v="-15990"/>
    <s v="Activo"/>
    <n v="-15990"/>
    <x v="9"/>
  </r>
  <r>
    <n v="2026"/>
    <n v="1"/>
    <s v="02-01-2026"/>
    <n v="10094"/>
    <s v="1104-01"/>
    <n v="0"/>
    <n v="40000"/>
    <s v="Centralización recaudaciones enero 2026 #1947 - #1947"/>
    <n v="-40000"/>
    <s v="Activo"/>
    <n v="-40000"/>
    <x v="9"/>
  </r>
  <r>
    <n v="2026"/>
    <n v="1"/>
    <s v="02-01-2026"/>
    <n v="10095"/>
    <s v="1104-01"/>
    <n v="0"/>
    <n v="30000"/>
    <s v="Centralización recaudaciones enero 2026 #1963 - #1963"/>
    <n v="-30000"/>
    <s v="Activo"/>
    <n v="-30000"/>
    <x v="9"/>
  </r>
  <r>
    <n v="2026"/>
    <n v="1"/>
    <s v="02-01-2026"/>
    <n v="10096"/>
    <s v="1104-01"/>
    <n v="0"/>
    <n v="30000"/>
    <s v="Centralización recaudaciones enero 2026 #1964 - #1964"/>
    <n v="-30000"/>
    <s v="Activo"/>
    <n v="-30000"/>
    <x v="9"/>
  </r>
  <r>
    <n v="2026"/>
    <n v="1"/>
    <s v="02-01-2026"/>
    <n v="10097"/>
    <s v="1104-01"/>
    <n v="0"/>
    <n v="386065"/>
    <s v="Centralización recaudaciones enero 2026 #1979 - #1979"/>
    <n v="-386065"/>
    <s v="Activo"/>
    <n v="-386065"/>
    <x v="9"/>
  </r>
  <r>
    <n v="2026"/>
    <n v="1"/>
    <s v="02-01-2026"/>
    <n v="10098"/>
    <s v="1104-01"/>
    <n v="0"/>
    <n v="48000"/>
    <s v="Centralización recaudaciones enero 2026 #1980 - #1980"/>
    <n v="-48000"/>
    <s v="Activo"/>
    <n v="-48000"/>
    <x v="9"/>
  </r>
  <r>
    <n v="2026"/>
    <n v="1"/>
    <s v="02-01-2026"/>
    <n v="10099"/>
    <s v="1104-01"/>
    <n v="0"/>
    <n v="30000"/>
    <s v="Centralización recaudaciones enero 2026 #1981 - #1981"/>
    <n v="-30000"/>
    <s v="Activo"/>
    <n v="-30000"/>
    <x v="9"/>
  </r>
  <r>
    <n v="2026"/>
    <n v="1"/>
    <s v="02-01-2026"/>
    <n v="10100"/>
    <s v="1104-01"/>
    <n v="0"/>
    <n v="40000"/>
    <s v="Centralización recaudaciones enero 2026 #1948 - #1948"/>
    <n v="-40000"/>
    <s v="Activo"/>
    <n v="-40000"/>
    <x v="9"/>
  </r>
  <r>
    <n v="2026"/>
    <n v="1"/>
    <s v="02-01-2026"/>
    <n v="10101"/>
    <s v="1104-01"/>
    <n v="0"/>
    <n v="134351"/>
    <s v="Centralización recaudaciones enero 2026 #1949 - #1949"/>
    <n v="-134351"/>
    <s v="Activo"/>
    <n v="-134351"/>
    <x v="9"/>
  </r>
  <r>
    <n v="2026"/>
    <n v="1"/>
    <s v="02-01-2026"/>
    <n v="10102"/>
    <s v="1104-01"/>
    <n v="0"/>
    <n v="90000"/>
    <s v="Centralización recaudaciones enero 2026 #1950 - #1950"/>
    <n v="-90000"/>
    <s v="Activo"/>
    <n v="-90000"/>
    <x v="9"/>
  </r>
  <r>
    <n v="2026"/>
    <n v="1"/>
    <s v="02-01-2026"/>
    <n v="10103"/>
    <s v="1104-01"/>
    <n v="0"/>
    <n v="40000"/>
    <s v="Centralización recaudaciones enero 2026 #1951 - #1951"/>
    <n v="-40000"/>
    <s v="Activo"/>
    <n v="-40000"/>
    <x v="9"/>
  </r>
  <r>
    <n v="2026"/>
    <n v="1"/>
    <s v="02-01-2026"/>
    <n v="10104"/>
    <s v="1104-01"/>
    <n v="0"/>
    <n v="32990"/>
    <s v="Centralización recaudaciones enero 2026 #1965 - #1965"/>
    <n v="-32990"/>
    <s v="Activo"/>
    <n v="-32990"/>
    <x v="9"/>
  </r>
  <r>
    <n v="2026"/>
    <n v="1"/>
    <s v="02-01-2026"/>
    <n v="10105"/>
    <s v="1104-01"/>
    <n v="0"/>
    <n v="30000"/>
    <s v="Centralización recaudaciones enero 2026 #1966 - #1966"/>
    <n v="-30000"/>
    <s v="Activo"/>
    <n v="-30000"/>
    <x v="9"/>
  </r>
  <r>
    <n v="2026"/>
    <n v="1"/>
    <s v="02-01-2026"/>
    <n v="10106"/>
    <s v="1104-01"/>
    <n v="0"/>
    <n v="32990"/>
    <s v="Centralización recaudaciones enero 2026 #1967 - #1967"/>
    <n v="-32990"/>
    <s v="Activo"/>
    <n v="-32990"/>
    <x v="9"/>
  </r>
  <r>
    <n v="2026"/>
    <n v="1"/>
    <s v="02-01-2026"/>
    <n v="10107"/>
    <s v="1104-01"/>
    <n v="0"/>
    <n v="30000"/>
    <s v="Centralización recaudaciones enero 2026 #1968 - #1968"/>
    <n v="-30000"/>
    <s v="Activo"/>
    <n v="-30000"/>
    <x v="9"/>
  </r>
  <r>
    <n v="2026"/>
    <n v="1"/>
    <s v="02-01-2026"/>
    <n v="10108"/>
    <s v="1104-01"/>
    <n v="0"/>
    <n v="30000"/>
    <s v="Centralización recaudaciones enero 2026 #1969 - #1969"/>
    <n v="-30000"/>
    <s v="Activo"/>
    <n v="-30000"/>
    <x v="9"/>
  </r>
  <r>
    <n v="2026"/>
    <n v="1"/>
    <s v="02-01-2026"/>
    <n v="10109"/>
    <s v="1104-01"/>
    <n v="0"/>
    <n v="21990"/>
    <s v="Centralización recaudaciones enero 2026 #1970 - #1970"/>
    <n v="-21990"/>
    <s v="Activo"/>
    <n v="-21990"/>
    <x v="9"/>
  </r>
  <r>
    <n v="2026"/>
    <n v="1"/>
    <s v="02-01-2026"/>
    <n v="10110"/>
    <s v="1104-01"/>
    <n v="0"/>
    <n v="23990"/>
    <s v="Centralización recaudaciones enero 2026 #1971 - #1971"/>
    <n v="-23990"/>
    <s v="Activo"/>
    <n v="-23990"/>
    <x v="9"/>
  </r>
  <r>
    <n v="2026"/>
    <n v="1"/>
    <s v="02-01-2026"/>
    <n v="10111"/>
    <s v="1104-01"/>
    <n v="0"/>
    <n v="19990"/>
    <s v="Centralización recaudaciones enero 2026 #1982 - #1982"/>
    <n v="-19990"/>
    <s v="Activo"/>
    <n v="-19990"/>
    <x v="9"/>
  </r>
  <r>
    <n v="2026"/>
    <n v="1"/>
    <s v="02-01-2026"/>
    <n v="10112"/>
    <s v="1104-01"/>
    <n v="0"/>
    <n v="40000"/>
    <s v="Centralización recaudaciones enero 2026 #1983 - #1983"/>
    <n v="-40000"/>
    <s v="Activo"/>
    <n v="-40000"/>
    <x v="9"/>
  </r>
  <r>
    <n v="2026"/>
    <n v="1"/>
    <s v="02-01-2026"/>
    <n v="10113"/>
    <s v="1104-01"/>
    <n v="0"/>
    <n v="33990"/>
    <s v="Centralización recaudaciones enero 2026 #1984 - #1984"/>
    <n v="-33990"/>
    <s v="Activo"/>
    <n v="-33990"/>
    <x v="9"/>
  </r>
  <r>
    <n v="2026"/>
    <n v="1"/>
    <s v="02-01-2026"/>
    <n v="10114"/>
    <s v="1104-01"/>
    <n v="0"/>
    <n v="40000"/>
    <s v="Centralización recaudaciones enero 2026 #1952 - #1952"/>
    <n v="-40000"/>
    <s v="Activo"/>
    <n v="-40000"/>
    <x v="9"/>
  </r>
  <r>
    <n v="2026"/>
    <n v="1"/>
    <s v="02-01-2026"/>
    <n v="10115"/>
    <s v="1104-01"/>
    <n v="0"/>
    <n v="21990"/>
    <s v="Centralización recaudaciones enero 2026 #1953 - #1953"/>
    <n v="-21990"/>
    <s v="Activo"/>
    <n v="-21990"/>
    <x v="9"/>
  </r>
  <r>
    <n v="2026"/>
    <n v="1"/>
    <s v="02-01-2026"/>
    <n v="10116"/>
    <s v="1104-01"/>
    <n v="0"/>
    <n v="36990"/>
    <s v="Centralización recaudaciones enero 2026 #1954 - #1954"/>
    <n v="-36990"/>
    <s v="Activo"/>
    <n v="-36990"/>
    <x v="9"/>
  </r>
  <r>
    <n v="2026"/>
    <n v="1"/>
    <s v="02-01-2026"/>
    <n v="10117"/>
    <s v="1104-01"/>
    <n v="0"/>
    <n v="36990"/>
    <s v="Centralización recaudaciones enero 2026 #1955 - #1955"/>
    <n v="-36990"/>
    <s v="Activo"/>
    <n v="-36990"/>
    <x v="9"/>
  </r>
  <r>
    <n v="2026"/>
    <n v="1"/>
    <s v="02-01-2026"/>
    <n v="10118"/>
    <s v="1104-01"/>
    <n v="0"/>
    <n v="26990"/>
    <s v="Centralización recaudaciones enero 2026 #1956 - #1956"/>
    <n v="-26990"/>
    <s v="Activo"/>
    <n v="-26990"/>
    <x v="9"/>
  </r>
  <r>
    <n v="2026"/>
    <n v="1"/>
    <s v="02-01-2026"/>
    <n v="10119"/>
    <s v="1104-01"/>
    <n v="0"/>
    <n v="48900"/>
    <s v="Centralización recaudaciones enero 2026 #1957 - #1957"/>
    <n v="-48900"/>
    <s v="Activo"/>
    <n v="-48900"/>
    <x v="9"/>
  </r>
  <r>
    <n v="2026"/>
    <n v="1"/>
    <s v="02-01-2026"/>
    <n v="10120"/>
    <s v="1104-01"/>
    <n v="0"/>
    <n v="14990"/>
    <s v="Centralización recaudaciones enero 2026 #1958 - #1958"/>
    <n v="-14990"/>
    <s v="Activo"/>
    <n v="-14990"/>
    <x v="9"/>
  </r>
  <r>
    <n v="2026"/>
    <n v="1"/>
    <s v="02-01-2026"/>
    <n v="10121"/>
    <s v="1104-01"/>
    <n v="0"/>
    <n v="30000"/>
    <s v="Centralización recaudaciones enero 2026 #1959 - #1959"/>
    <n v="-30000"/>
    <s v="Activo"/>
    <n v="-30000"/>
    <x v="9"/>
  </r>
  <r>
    <n v="2026"/>
    <n v="1"/>
    <s v="02-01-2026"/>
    <n v="10122"/>
    <s v="1104-01"/>
    <n v="0"/>
    <n v="86052"/>
    <s v="Centralización recaudaciones enero 2026 #1961 - #1961"/>
    <n v="-86052"/>
    <s v="Activo"/>
    <n v="-86052"/>
    <x v="9"/>
  </r>
  <r>
    <n v="2026"/>
    <n v="1"/>
    <s v="02-01-2026"/>
    <n v="10123"/>
    <s v="1104-01"/>
    <n v="0"/>
    <n v="26990"/>
    <s v="Centralización recaudaciones enero 2026 #1962 - #1962"/>
    <n v="-26990"/>
    <s v="Activo"/>
    <n v="-26990"/>
    <x v="9"/>
  </r>
  <r>
    <n v="2026"/>
    <n v="1"/>
    <s v="02-01-2026"/>
    <n v="10124"/>
    <s v="1104-01"/>
    <n v="0"/>
    <n v="34990"/>
    <s v="Centralización recaudaciones enero 2026 #1972 - #1972"/>
    <n v="-34990"/>
    <s v="Activo"/>
    <n v="-34990"/>
    <x v="9"/>
  </r>
  <r>
    <n v="2026"/>
    <n v="1"/>
    <s v="02-01-2026"/>
    <n v="10125"/>
    <s v="1104-01"/>
    <n v="0"/>
    <n v="230789"/>
    <s v="Centralización recaudaciones enero 2026 #1973 - #1973"/>
    <n v="-230789"/>
    <s v="Activo"/>
    <n v="-230789"/>
    <x v="9"/>
  </r>
  <r>
    <n v="2026"/>
    <n v="1"/>
    <s v="02-01-2026"/>
    <n v="10126"/>
    <s v="1104-01"/>
    <n v="0"/>
    <n v="12800"/>
    <s v="Centralización recaudaciones enero 2026 #1974 - #1974"/>
    <n v="-12800"/>
    <s v="Activo"/>
    <n v="-12800"/>
    <x v="9"/>
  </r>
  <r>
    <n v="2026"/>
    <n v="1"/>
    <s v="02-01-2026"/>
    <n v="10127"/>
    <s v="1104-01"/>
    <n v="0"/>
    <n v="12500"/>
    <s v="Centralización recaudaciones enero 2026 #1975 - #1975"/>
    <n v="-12500"/>
    <s v="Activo"/>
    <n v="-12500"/>
    <x v="9"/>
  </r>
  <r>
    <n v="2026"/>
    <n v="1"/>
    <s v="02-01-2026"/>
    <n v="10128"/>
    <s v="1104-01"/>
    <n v="0"/>
    <n v="43980"/>
    <s v="Centralización recaudaciones enero 2026 #1976 - #1976"/>
    <n v="-43980"/>
    <s v="Activo"/>
    <n v="-43980"/>
    <x v="9"/>
  </r>
  <r>
    <n v="2026"/>
    <n v="1"/>
    <s v="02-01-2026"/>
    <n v="10129"/>
    <s v="1104-01"/>
    <n v="0"/>
    <n v="43990"/>
    <s v="Centralización recaudaciones enero 2026 #1985 - #1985"/>
    <n v="-43990"/>
    <s v="Activo"/>
    <n v="-43990"/>
    <x v="9"/>
  </r>
  <r>
    <n v="2026"/>
    <n v="1"/>
    <s v="02-01-2026"/>
    <n v="10130"/>
    <s v="1104-01"/>
    <n v="0"/>
    <n v="29990"/>
    <s v="Centralización recaudaciones enero 2026 #1986 - #1986"/>
    <n v="-29990"/>
    <s v="Activo"/>
    <n v="-29990"/>
    <x v="9"/>
  </r>
  <r>
    <n v="2026"/>
    <n v="1"/>
    <s v="02-01-2026"/>
    <n v="10131"/>
    <s v="1104-01"/>
    <n v="0"/>
    <n v="30000"/>
    <s v="Centralización recaudaciones enero 2026 #1987 - #1987"/>
    <n v="-30000"/>
    <s v="Activo"/>
    <n v="-30000"/>
    <x v="9"/>
  </r>
  <r>
    <n v="2026"/>
    <n v="1"/>
    <s v="02-01-2026"/>
    <n v="10132"/>
    <s v="1104-01"/>
    <n v="0"/>
    <n v="30000"/>
    <s v="Centralización recaudaciones enero 2026 #1988 - #1988"/>
    <n v="-30000"/>
    <s v="Activo"/>
    <n v="-30000"/>
    <x v="9"/>
  </r>
  <r>
    <n v="2026"/>
    <n v="1"/>
    <s v="02-01-2026"/>
    <n v="10133"/>
    <s v="1104-01"/>
    <n v="0"/>
    <n v="30000"/>
    <s v="Centralización recaudaciones enero 2026 #1989 - #1989"/>
    <n v="-30000"/>
    <s v="Activo"/>
    <n v="-30000"/>
    <x v="9"/>
  </r>
  <r>
    <n v="2026"/>
    <n v="1"/>
    <s v="02-01-2026"/>
    <n v="10134"/>
    <s v="1104-01"/>
    <n v="0"/>
    <n v="41980"/>
    <s v="Centralización recaudaciones enero 2026 #1990 - #1990"/>
    <n v="-41980"/>
    <s v="Activo"/>
    <n v="-41980"/>
    <x v="9"/>
  </r>
  <r>
    <n v="2026"/>
    <n v="1"/>
    <s v="02-01-2026"/>
    <n v="10135"/>
    <s v="1104-01"/>
    <n v="0"/>
    <n v="28990"/>
    <s v="Centralización recaudaciones enero 2026 #1991 - #1991"/>
    <n v="-28990"/>
    <s v="Activo"/>
    <n v="-28990"/>
    <x v="9"/>
  </r>
  <r>
    <n v="2026"/>
    <n v="1"/>
    <s v="02-01-2026"/>
    <n v="10136"/>
    <s v="1104-01"/>
    <n v="0"/>
    <n v="30000"/>
    <s v="Centralización recaudaciones enero 2026 #1992 - #1992"/>
    <n v="-30000"/>
    <s v="Activo"/>
    <n v="-30000"/>
    <x v="9"/>
  </r>
  <r>
    <n v="2026"/>
    <n v="1"/>
    <s v="02-01-2026"/>
    <n v="10137"/>
    <s v="1104-01"/>
    <n v="0"/>
    <n v="30000"/>
    <s v="Centralización recaudaciones enero 2026 #1993 - #1993"/>
    <n v="-30000"/>
    <s v="Activo"/>
    <n v="-30000"/>
    <x v="9"/>
  </r>
  <r>
    <n v="2026"/>
    <n v="1"/>
    <s v="02-01-2026"/>
    <n v="10138"/>
    <s v="1104-01"/>
    <n v="0"/>
    <n v="30000"/>
    <s v="Centralización recaudaciones enero 2026 #1994 - #1994"/>
    <n v="-30000"/>
    <s v="Activo"/>
    <n v="-30000"/>
    <x v="9"/>
  </r>
  <r>
    <n v="2026"/>
    <n v="1"/>
    <s v="02-01-2026"/>
    <n v="10139"/>
    <s v="1104-01"/>
    <n v="0"/>
    <n v="30000"/>
    <s v="Centralización recaudaciones enero 2026 #1995 - #1995"/>
    <n v="-30000"/>
    <s v="Activo"/>
    <n v="-30000"/>
    <x v="9"/>
  </r>
  <r>
    <n v="2026"/>
    <n v="1"/>
    <s v="02-01-2026"/>
    <n v="10140"/>
    <s v="1104-01"/>
    <n v="0"/>
    <n v="30000"/>
    <s v="Centralización recaudaciones enero 2026 #1996 - #1996"/>
    <n v="-30000"/>
    <s v="Activo"/>
    <n v="-30000"/>
    <x v="9"/>
  </r>
  <r>
    <n v="2026"/>
    <n v="1"/>
    <s v="02-01-2026"/>
    <n v="10141"/>
    <s v="1104-01"/>
    <n v="0"/>
    <n v="30000"/>
    <s v="Centralización recaudaciones enero 2026 #1997 - #1997"/>
    <n v="-30000"/>
    <s v="Activo"/>
    <n v="-30000"/>
    <x v="9"/>
  </r>
  <r>
    <n v="2026"/>
    <n v="1"/>
    <s v="02-01-2026"/>
    <n v="10142"/>
    <s v="1104-01"/>
    <n v="0"/>
    <n v="30000"/>
    <s v="Centralización recaudaciones enero 2026 #1998 - #1998"/>
    <n v="-30000"/>
    <s v="Activo"/>
    <n v="-30000"/>
    <x v="9"/>
  </r>
  <r>
    <n v="2026"/>
    <n v="1"/>
    <s v="02-01-2026"/>
    <n v="10143"/>
    <s v="1104-01"/>
    <n v="0"/>
    <n v="38000"/>
    <s v="Centralización recaudaciones enero 2026 #1999 - #1999"/>
    <n v="-38000"/>
    <s v="Activo"/>
    <n v="-38000"/>
    <x v="9"/>
  </r>
  <r>
    <n v="2026"/>
    <n v="1"/>
    <s v="02-01-2026"/>
    <n v="10144"/>
    <s v="1104-01"/>
    <n v="0"/>
    <n v="30000"/>
    <s v="Centralización recaudaciones enero 2026 #2000 - #2000"/>
    <n v="-30000"/>
    <s v="Activo"/>
    <n v="-30000"/>
    <x v="9"/>
  </r>
  <r>
    <n v="2026"/>
    <n v="1"/>
    <s v="02-01-2026"/>
    <n v="10145"/>
    <s v="1104-01"/>
    <n v="0"/>
    <n v="30000"/>
    <s v="Centralización recaudaciones enero 2026 #2001 - #2001"/>
    <n v="-30000"/>
    <s v="Activo"/>
    <n v="-30000"/>
    <x v="9"/>
  </r>
  <r>
    <n v="2026"/>
    <n v="1"/>
    <s v="02-01-2026"/>
    <n v="10146"/>
    <s v="1104-01"/>
    <n v="0"/>
    <n v="30000"/>
    <s v="Centralización recaudaciones enero 2026 #2002 - #2002"/>
    <n v="-30000"/>
    <s v="Activo"/>
    <n v="-30000"/>
    <x v="9"/>
  </r>
  <r>
    <n v="2026"/>
    <n v="1"/>
    <s v="02-01-2026"/>
    <n v="10147"/>
    <s v="1104-01"/>
    <n v="0"/>
    <n v="30000"/>
    <s v="Centralización recaudaciones enero 2026 #2003 - #2003"/>
    <n v="-30000"/>
    <s v="Activo"/>
    <n v="-30000"/>
    <x v="9"/>
  </r>
  <r>
    <n v="2026"/>
    <n v="1"/>
    <s v="02-01-2026"/>
    <n v="10148"/>
    <s v="1104-01"/>
    <n v="0"/>
    <n v="30000"/>
    <s v="Centralización recaudaciones enero 2026 #2004 - #2004"/>
    <n v="-30000"/>
    <s v="Activo"/>
    <n v="-30000"/>
    <x v="9"/>
  </r>
  <r>
    <n v="2026"/>
    <n v="1"/>
    <s v="02-01-2026"/>
    <n v="10149"/>
    <s v="1104-01"/>
    <n v="0"/>
    <n v="30000"/>
    <s v="Centralización recaudaciones enero 2026 #2005 - #2005"/>
    <n v="-30000"/>
    <s v="Activo"/>
    <n v="-30000"/>
    <x v="9"/>
  </r>
  <r>
    <n v="2026"/>
    <n v="1"/>
    <s v="02-01-2026"/>
    <n v="10150"/>
    <s v="1104-01"/>
    <n v="0"/>
    <n v="30000"/>
    <s v="Centralización recaudaciones enero 2026 #2006 - #2006"/>
    <n v="-30000"/>
    <s v="Activo"/>
    <n v="-30000"/>
    <x v="9"/>
  </r>
  <r>
    <n v="2026"/>
    <n v="1"/>
    <s v="02-01-2026"/>
    <n v="10151"/>
    <s v="1104-01"/>
    <n v="0"/>
    <n v="36990"/>
    <s v="Centralización recaudaciones enero 2026 #2007 - #2007"/>
    <n v="-36990"/>
    <s v="Activo"/>
    <n v="-36990"/>
    <x v="9"/>
  </r>
  <r>
    <n v="2026"/>
    <n v="1"/>
    <s v="02-01-2026"/>
    <n v="10152"/>
    <s v="1104-01"/>
    <n v="0"/>
    <n v="14990"/>
    <s v="Centralización recaudaciones enero 2026 #2008 - #2008"/>
    <n v="-14990"/>
    <s v="Activo"/>
    <n v="-14990"/>
    <x v="9"/>
  </r>
  <r>
    <n v="2026"/>
    <n v="1"/>
    <s v="02-01-2026"/>
    <n v="10153"/>
    <s v="1104-01"/>
    <n v="0"/>
    <n v="43980"/>
    <s v="Centralización recaudaciones enero 2026 #2009 - #2009"/>
    <n v="-43980"/>
    <s v="Activo"/>
    <n v="-43980"/>
    <x v="9"/>
  </r>
  <r>
    <n v="2026"/>
    <n v="1"/>
    <s v="02-01-2026"/>
    <n v="10154"/>
    <s v="1104-01"/>
    <n v="0"/>
    <n v="54000"/>
    <s v="Centralización recaudaciones enero 2026 #2010 - #2010"/>
    <n v="-54000"/>
    <s v="Activo"/>
    <n v="-54000"/>
    <x v="9"/>
  </r>
  <r>
    <n v="2026"/>
    <n v="1"/>
    <s v="02-01-2026"/>
    <n v="10155"/>
    <s v="1104-01"/>
    <n v="0"/>
    <n v="22990"/>
    <s v="Centralización recaudaciones enero 2026 #2011 - #2011"/>
    <n v="-22990"/>
    <s v="Activo"/>
    <n v="-22990"/>
    <x v="9"/>
  </r>
  <r>
    <n v="2026"/>
    <n v="1"/>
    <s v="02-01-2026"/>
    <n v="10156"/>
    <s v="1104-01"/>
    <n v="0"/>
    <n v="174821"/>
    <s v="Centralización recaudaciones enero 2026 #2012 - #2012"/>
    <n v="-174821"/>
    <s v="Activo"/>
    <n v="-174821"/>
    <x v="9"/>
  </r>
  <r>
    <n v="2026"/>
    <n v="1"/>
    <s v="02-01-2026"/>
    <n v="10157"/>
    <s v="1104-01"/>
    <n v="0"/>
    <n v="30000"/>
    <s v="Centralización recaudaciones enero 2026 #2013 - #2013"/>
    <n v="-30000"/>
    <s v="Activo"/>
    <n v="-30000"/>
    <x v="9"/>
  </r>
  <r>
    <n v="2026"/>
    <n v="1"/>
    <s v="02-01-2026"/>
    <n v="10158"/>
    <s v="1104-01"/>
    <n v="0"/>
    <n v="60000"/>
    <s v="Centralización recaudaciones enero 2026 #2014 - #2014"/>
    <n v="-60000"/>
    <s v="Activo"/>
    <n v="-60000"/>
    <x v="9"/>
  </r>
  <r>
    <n v="2026"/>
    <n v="1"/>
    <s v="02-01-2026"/>
    <n v="10159"/>
    <s v="1104-01"/>
    <n v="0"/>
    <n v="34990"/>
    <s v="Centralización recaudaciones enero 2026 #2015 - #2015"/>
    <n v="-34990"/>
    <s v="Activo"/>
    <n v="-34990"/>
    <x v="9"/>
  </r>
  <r>
    <n v="2026"/>
    <n v="1"/>
    <s v="02-01-2026"/>
    <n v="10160"/>
    <s v="1104-01"/>
    <n v="0"/>
    <n v="17990"/>
    <s v="Centralización recaudaciones enero 2026 #2016 - #2016"/>
    <n v="-17990"/>
    <s v="Activo"/>
    <n v="-17990"/>
    <x v="9"/>
  </r>
  <r>
    <n v="2026"/>
    <n v="1"/>
    <s v="02-01-2026"/>
    <n v="10161"/>
    <s v="1104-01"/>
    <n v="0"/>
    <n v="21990"/>
    <s v="Centralización recaudaciones enero 2026 #2017 - #2017"/>
    <n v="-21990"/>
    <s v="Activo"/>
    <n v="-21990"/>
    <x v="9"/>
  </r>
  <r>
    <n v="2026"/>
    <n v="1"/>
    <s v="02-01-2026"/>
    <n v="10162"/>
    <s v="1104-01"/>
    <n v="0"/>
    <n v="34990"/>
    <s v="Centralización recaudaciones enero 2026 #2018 - #2018"/>
    <n v="-34990"/>
    <s v="Activo"/>
    <n v="-34990"/>
    <x v="9"/>
  </r>
  <r>
    <n v="2026"/>
    <n v="1"/>
    <s v="02-01-2026"/>
    <n v="10163"/>
    <s v="1104-01"/>
    <n v="0"/>
    <n v="34000"/>
    <s v="Centralización recaudaciones enero 2026 #2019 - #2019"/>
    <n v="-34000"/>
    <s v="Activo"/>
    <n v="-34000"/>
    <x v="9"/>
  </r>
  <r>
    <n v="2026"/>
    <n v="1"/>
    <s v="02-01-2026"/>
    <n v="10164"/>
    <s v="1104-01"/>
    <n v="0"/>
    <n v="53990"/>
    <s v="Centralización recaudaciones enero 2026 #2020 - #2020"/>
    <n v="-53990"/>
    <s v="Activo"/>
    <n v="-53990"/>
    <x v="9"/>
  </r>
  <r>
    <n v="2026"/>
    <n v="1"/>
    <s v="02-01-2026"/>
    <n v="10165"/>
    <s v="1104-01"/>
    <n v="0"/>
    <n v="28990"/>
    <s v="Centralización recaudaciones enero 2026 #2021 - #2021"/>
    <n v="-28990"/>
    <s v="Activo"/>
    <n v="-28990"/>
    <x v="9"/>
  </r>
  <r>
    <n v="2026"/>
    <n v="1"/>
    <s v="02-01-2026"/>
    <n v="10166"/>
    <s v="1104-01"/>
    <n v="0"/>
    <n v="64000"/>
    <s v="Centralización recaudaciones enero 2026 #2022 - #2022"/>
    <n v="-64000"/>
    <s v="Activo"/>
    <n v="-64000"/>
    <x v="9"/>
  </r>
  <r>
    <n v="2026"/>
    <n v="1"/>
    <s v="02-01-2026"/>
    <n v="10167"/>
    <s v="1104-01"/>
    <n v="0"/>
    <n v="21990"/>
    <s v="Centralización recaudaciones enero 2026 #2023 - #2023"/>
    <n v="-21990"/>
    <s v="Activo"/>
    <n v="-21990"/>
    <x v="9"/>
  </r>
  <r>
    <n v="2026"/>
    <n v="1"/>
    <s v="02-01-2026"/>
    <n v="10168"/>
    <s v="1104-01"/>
    <n v="0"/>
    <n v="35000"/>
    <s v="Centralización recaudaciones enero 2026 #2024 - #2024"/>
    <n v="-35000"/>
    <s v="Activo"/>
    <n v="-35000"/>
    <x v="9"/>
  </r>
  <r>
    <n v="2026"/>
    <n v="1"/>
    <s v="02-01-2026"/>
    <n v="10169"/>
    <s v="1104-01"/>
    <n v="0"/>
    <n v="30000"/>
    <s v="Centralización recaudaciones enero 2026 #2025 - #2025"/>
    <n v="-30000"/>
    <s v="Activo"/>
    <n v="-30000"/>
    <x v="9"/>
  </r>
  <r>
    <n v="2026"/>
    <n v="1"/>
    <s v="02-01-2026"/>
    <n v="10170"/>
    <s v="1104-01"/>
    <n v="0"/>
    <n v="30000"/>
    <s v="Centralización recaudaciones enero 2026 #2026 - #2026"/>
    <n v="-30000"/>
    <s v="Activo"/>
    <n v="-30000"/>
    <x v="9"/>
  </r>
  <r>
    <n v="2026"/>
    <n v="1"/>
    <s v="02-01-2026"/>
    <n v="10171"/>
    <s v="1104-01"/>
    <n v="0"/>
    <n v="30000"/>
    <s v="Centralización recaudaciones enero 2026 #2027 - #2027"/>
    <n v="-30000"/>
    <s v="Activo"/>
    <n v="-30000"/>
    <x v="9"/>
  </r>
  <r>
    <n v="2026"/>
    <n v="1"/>
    <s v="02-01-2026"/>
    <n v="10172"/>
    <s v="1104-01"/>
    <n v="0"/>
    <n v="30000"/>
    <s v="Centralización recaudaciones enero 2026 #2028 - #2028"/>
    <n v="-30000"/>
    <s v="Activo"/>
    <n v="-30000"/>
    <x v="9"/>
  </r>
  <r>
    <n v="2026"/>
    <n v="1"/>
    <s v="02-01-2026"/>
    <n v="10173"/>
    <s v="1104-01"/>
    <n v="0"/>
    <n v="17990"/>
    <s v="Centralización recaudaciones enero 2026 #2029 - #2029"/>
    <n v="-17990"/>
    <s v="Activo"/>
    <n v="-17990"/>
    <x v="9"/>
  </r>
  <r>
    <n v="2026"/>
    <n v="1"/>
    <s v="02-01-2026"/>
    <n v="10174"/>
    <s v="1104-01"/>
    <n v="0"/>
    <n v="28990"/>
    <s v="Centralización recaudaciones enero 2026 #2030 - #2030"/>
    <n v="-28990"/>
    <s v="Activo"/>
    <n v="-28990"/>
    <x v="9"/>
  </r>
  <r>
    <n v="2026"/>
    <n v="1"/>
    <s v="02-01-2026"/>
    <n v="10175"/>
    <s v="1104-01"/>
    <n v="0"/>
    <n v="49960"/>
    <s v="Centralización recaudaciones enero 2026 #2031 - #2031"/>
    <n v="-49960"/>
    <s v="Activo"/>
    <n v="-49960"/>
    <x v="9"/>
  </r>
  <r>
    <n v="2026"/>
    <n v="1"/>
    <s v="02-01-2026"/>
    <n v="10176"/>
    <s v="1104-01"/>
    <n v="0"/>
    <n v="14990"/>
    <s v="Centralización recaudaciones enero 2026 #2032 - #2032"/>
    <n v="-14990"/>
    <s v="Activo"/>
    <n v="-14990"/>
    <x v="9"/>
  </r>
  <r>
    <n v="2026"/>
    <n v="1"/>
    <s v="02-01-2026"/>
    <n v="10177"/>
    <s v="1104-01"/>
    <n v="0"/>
    <n v="30000"/>
    <s v="Centralización recaudaciones enero 2026 #2033 - #2033"/>
    <n v="-30000"/>
    <s v="Activo"/>
    <n v="-30000"/>
    <x v="9"/>
  </r>
  <r>
    <n v="2026"/>
    <n v="1"/>
    <s v="02-01-2026"/>
    <n v="10178"/>
    <s v="1104-01"/>
    <n v="0"/>
    <n v="47490"/>
    <s v="Centralización recaudaciones enero 2026 #2034 - #2034"/>
    <n v="-47490"/>
    <s v="Activo"/>
    <n v="-47490"/>
    <x v="9"/>
  </r>
  <r>
    <n v="2026"/>
    <n v="1"/>
    <s v="02-01-2026"/>
    <n v="10179"/>
    <s v="1104-01"/>
    <n v="0"/>
    <n v="2192981"/>
    <s v="Centralización recaudaciones enero 2026 #2035 - #2035"/>
    <n v="-2192981"/>
    <s v="Activo"/>
    <n v="-2192981"/>
    <x v="9"/>
  </r>
  <r>
    <n v="2026"/>
    <n v="1"/>
    <s v="02-01-2026"/>
    <n v="10180"/>
    <s v="1104-01"/>
    <n v="0"/>
    <n v="30000"/>
    <s v="Centralización recaudaciones enero 2026 #2036 - #2036"/>
    <n v="-30000"/>
    <s v="Activo"/>
    <n v="-30000"/>
    <x v="9"/>
  </r>
  <r>
    <n v="2026"/>
    <n v="1"/>
    <s v="02-01-2026"/>
    <n v="10181"/>
    <s v="1104-01"/>
    <n v="0"/>
    <n v="14990"/>
    <s v="Centralización recaudaciones enero 2026 #2037 - #2037"/>
    <n v="-14990"/>
    <s v="Activo"/>
    <n v="-14990"/>
    <x v="9"/>
  </r>
  <r>
    <n v="2026"/>
    <n v="1"/>
    <s v="02-01-2026"/>
    <n v="10182"/>
    <s v="1104-01"/>
    <n v="0"/>
    <n v="14990"/>
    <s v="Centralización recaudaciones enero 2026 #2038 - #2038"/>
    <n v="-14990"/>
    <s v="Activo"/>
    <n v="-14990"/>
    <x v="9"/>
  </r>
  <r>
    <n v="2026"/>
    <n v="1"/>
    <s v="02-01-2026"/>
    <n v="10188"/>
    <s v="1104-01"/>
    <n v="0"/>
    <n v="121990"/>
    <s v="Centralización recaudaciones enero 2026 #2044 - #2044"/>
    <n v="-121990"/>
    <s v="Activo"/>
    <n v="-121990"/>
    <x v="9"/>
  </r>
  <r>
    <n v="2026"/>
    <n v="1"/>
    <s v="02-01-2026"/>
    <n v="10194"/>
    <s v="1104-01"/>
    <n v="0"/>
    <n v="70000"/>
    <s v="Centralización recaudaciones enero 2026 #2050 - #2050"/>
    <n v="-70000"/>
    <s v="Activo"/>
    <n v="-70000"/>
    <x v="9"/>
  </r>
  <r>
    <n v="2026"/>
    <n v="1"/>
    <s v="02-01-2026"/>
    <n v="10195"/>
    <s v="1104-01"/>
    <n v="0"/>
    <n v="59980"/>
    <s v="Centralización recaudaciones enero 2026 #2051 - #2051"/>
    <n v="-59980"/>
    <s v="Activo"/>
    <n v="-59980"/>
    <x v="9"/>
  </r>
  <r>
    <n v="2026"/>
    <n v="1"/>
    <s v="02-01-2026"/>
    <n v="10208"/>
    <s v="1104-01"/>
    <n v="0"/>
    <n v="30000"/>
    <s v="Centralización recaudaciones enero 2026 #2064 - #2064"/>
    <n v="-30000"/>
    <s v="Activo"/>
    <n v="-30000"/>
    <x v="9"/>
  </r>
  <r>
    <n v="2026"/>
    <n v="1"/>
    <s v="02-01-2026"/>
    <n v="10209"/>
    <s v="1104-01"/>
    <n v="0"/>
    <n v="259990"/>
    <s v="Centralización recaudaciones enero 2026 #2065 - #2065"/>
    <n v="-259990"/>
    <s v="Activo"/>
    <n v="-259990"/>
    <x v="9"/>
  </r>
  <r>
    <n v="2026"/>
    <n v="1"/>
    <s v="02-01-2026"/>
    <n v="10215"/>
    <s v="1104-01"/>
    <n v="0"/>
    <n v="35000"/>
    <s v="Centralización recaudaciones enero 2026 #2071 - #2071"/>
    <n v="-35000"/>
    <s v="Activo"/>
    <n v="-35000"/>
    <x v="9"/>
  </r>
  <r>
    <n v="2026"/>
    <n v="1"/>
    <s v="02-01-2026"/>
    <n v="10219"/>
    <s v="1104-01"/>
    <n v="0"/>
    <n v="17990"/>
    <s v="Centralización recaudaciones enero 2026 #2075 - #2075"/>
    <n v="-17990"/>
    <s v="Activo"/>
    <n v="-17990"/>
    <x v="9"/>
  </r>
  <r>
    <n v="2026"/>
    <n v="1"/>
    <s v="02-01-2026"/>
    <n v="10235"/>
    <s v="1104-01"/>
    <n v="0"/>
    <n v="33990"/>
    <s v="Centralización recaudaciones enero 2026 #2091 - #2091"/>
    <n v="-33990"/>
    <s v="Activo"/>
    <n v="-33990"/>
    <x v="9"/>
  </r>
  <r>
    <n v="2026"/>
    <n v="1"/>
    <s v="02-01-2026"/>
    <n v="10252"/>
    <s v="1104-01"/>
    <n v="0"/>
    <n v="497196"/>
    <s v="Centralización recaudaciones enero 2026 #2108 - #2108"/>
    <n v="-497196"/>
    <s v="Activo"/>
    <n v="-497196"/>
    <x v="9"/>
  </r>
  <r>
    <n v="2026"/>
    <n v="1"/>
    <s v="02-01-2026"/>
    <n v="10255"/>
    <s v="1104-01"/>
    <n v="0"/>
    <n v="30000"/>
    <s v="Centralización recaudaciones enero 2026 #2111 - #2111"/>
    <n v="-30000"/>
    <s v="Activo"/>
    <n v="-30000"/>
    <x v="9"/>
  </r>
  <r>
    <n v="2026"/>
    <n v="1"/>
    <s v="02-01-2026"/>
    <n v="10269"/>
    <s v="1104-01"/>
    <n v="0"/>
    <n v="30000"/>
    <s v="Centralización recaudaciones enero 2026 #2125 - #2125"/>
    <n v="-30000"/>
    <s v="Activo"/>
    <n v="-30000"/>
    <x v="9"/>
  </r>
  <r>
    <n v="2026"/>
    <n v="1"/>
    <s v="02-01-2026"/>
    <n v="10271"/>
    <s v="1104-01"/>
    <n v="0"/>
    <n v="40000"/>
    <s v="Centralización recaudaciones enero 2026 #2127 - #2127"/>
    <n v="-40000"/>
    <s v="Activo"/>
    <n v="-40000"/>
    <x v="9"/>
  </r>
  <r>
    <n v="2026"/>
    <n v="1"/>
    <s v="02-01-2026"/>
    <n v="10279"/>
    <s v="1104-01"/>
    <n v="0"/>
    <n v="30000"/>
    <s v="Centralización recaudaciones enero 2026 #2135 - #2135"/>
    <n v="-30000"/>
    <s v="Activo"/>
    <n v="-30000"/>
    <x v="9"/>
  </r>
  <r>
    <n v="2026"/>
    <n v="1"/>
    <s v="02-01-2026"/>
    <n v="10280"/>
    <s v="1104-01"/>
    <n v="0"/>
    <n v="63000"/>
    <s v="Centralización recaudaciones enero 2026 #2136 - #2136"/>
    <n v="-63000"/>
    <s v="Activo"/>
    <n v="-63000"/>
    <x v="9"/>
  </r>
  <r>
    <n v="2026"/>
    <n v="1"/>
    <s v="02-01-2026"/>
    <n v="10289"/>
    <s v="1104-01"/>
    <n v="0"/>
    <n v="30000"/>
    <s v="Centralización recaudaciones enero 2026 #2145 - #2145"/>
    <n v="-30000"/>
    <s v="Activo"/>
    <n v="-30000"/>
    <x v="9"/>
  </r>
  <r>
    <n v="2026"/>
    <n v="1"/>
    <s v="02-01-2026"/>
    <n v="10303"/>
    <s v="1104-01"/>
    <n v="0"/>
    <n v="30000"/>
    <s v="Centralización recaudaciones enero 2026 #2159 - #2159"/>
    <n v="-30000"/>
    <s v="Activo"/>
    <n v="-30000"/>
    <x v="9"/>
  </r>
  <r>
    <n v="2026"/>
    <n v="1"/>
    <s v="02-01-2026"/>
    <n v="10306"/>
    <s v="1104-01"/>
    <n v="0"/>
    <n v="30000"/>
    <s v="Centralización recaudaciones enero 2026 #2162 - #2162"/>
    <n v="-30000"/>
    <s v="Activo"/>
    <n v="-30000"/>
    <x v="9"/>
  </r>
  <r>
    <n v="2026"/>
    <n v="1"/>
    <s v="02-01-2026"/>
    <n v="10312"/>
    <s v="1104-01"/>
    <n v="0"/>
    <n v="30000"/>
    <s v="Centralización recaudaciones enero 2026 #2168 - #2168"/>
    <n v="-30000"/>
    <s v="Activo"/>
    <n v="-30000"/>
    <x v="9"/>
  </r>
  <r>
    <n v="2026"/>
    <n v="1"/>
    <s v="02-01-2026"/>
    <n v="10318"/>
    <s v="1104-01"/>
    <n v="0"/>
    <n v="43980"/>
    <s v="Centralización recaudaciones enero 2026 #2174 - #2174"/>
    <n v="-43980"/>
    <s v="Activo"/>
    <n v="-43980"/>
    <x v="9"/>
  </r>
  <r>
    <n v="2026"/>
    <n v="1"/>
    <s v="02-01-2026"/>
    <n v="10325"/>
    <s v="1104-01"/>
    <n v="0"/>
    <n v="25980"/>
    <s v="Centralización recaudaciones enero 2026 #2181 - #2181"/>
    <n v="-25980"/>
    <s v="Activo"/>
    <n v="-25980"/>
    <x v="9"/>
  </r>
  <r>
    <n v="2026"/>
    <n v="1"/>
    <s v="02-01-2026"/>
    <n v="10349"/>
    <s v="1104-01"/>
    <n v="0"/>
    <n v="34980"/>
    <s v="Centralización recaudaciones enero 2026 #2205 - #2205"/>
    <n v="-34980"/>
    <s v="Activo"/>
    <n v="-34980"/>
    <x v="9"/>
  </r>
  <r>
    <n v="2026"/>
    <n v="1"/>
    <s v="02-01-2026"/>
    <n v="10375"/>
    <s v="1104-01"/>
    <n v="0"/>
    <n v="28990"/>
    <s v="Centralización recaudaciones enero 2026 #2231 - #2231"/>
    <n v="-28990"/>
    <s v="Activo"/>
    <n v="-28990"/>
    <x v="9"/>
  </r>
  <r>
    <n v="2026"/>
    <n v="1"/>
    <s v="02-01-2026"/>
    <n v="10388"/>
    <s v="1104-01"/>
    <n v="0"/>
    <n v="296114"/>
    <s v="Centralización recaudaciones enero 2026 #2244 - #2244"/>
    <n v="-296114"/>
    <s v="Activo"/>
    <n v="-296114"/>
    <x v="9"/>
  </r>
  <r>
    <n v="2026"/>
    <n v="1"/>
    <s v="02-01-2026"/>
    <n v="10420"/>
    <s v="1104-01"/>
    <n v="0"/>
    <n v="38980"/>
    <s v="Centralización recaudaciones enero 2026 #2276 - #2276"/>
    <n v="-38980"/>
    <s v="Activo"/>
    <n v="-38980"/>
    <x v="9"/>
  </r>
  <r>
    <n v="2026"/>
    <n v="1"/>
    <s v="02-01-2026"/>
    <n v="10443"/>
    <s v="1104-01"/>
    <n v="0"/>
    <n v="14990"/>
    <s v="Centralización recaudaciones enero 2026 #2299 - #2299"/>
    <n v="-14990"/>
    <s v="Activo"/>
    <n v="-14990"/>
    <x v="9"/>
  </r>
  <r>
    <n v="2026"/>
    <n v="1"/>
    <s v="02-01-2026"/>
    <n v="10467"/>
    <s v="1104-01"/>
    <n v="0"/>
    <n v="24990"/>
    <s v="Servicios medicos e inversiones araya y compania limitada"/>
    <n v="-24990"/>
    <s v="Activo"/>
    <n v="-24990"/>
    <x v="9"/>
  </r>
  <r>
    <n v="2026"/>
    <n v="1"/>
    <s v="02-01-2026"/>
    <n v="10467"/>
    <s v="1104-01"/>
    <n v="0"/>
    <n v="10"/>
    <s v="Paulo wilfredo valdes salinas"/>
    <n v="-10"/>
    <s v="Activo"/>
    <n v="-10"/>
    <x v="9"/>
  </r>
  <r>
    <n v="2026"/>
    <n v="1"/>
    <s v="02-01-2026"/>
    <n v="10468"/>
    <s v="1104-01"/>
    <n v="0"/>
    <n v="11018"/>
    <s v="Inversiones puma spa"/>
    <n v="-11018"/>
    <s v="Activo"/>
    <n v="-11018"/>
    <x v="9"/>
  </r>
  <r>
    <n v="2026"/>
    <n v="1"/>
    <s v="02-01-2026"/>
    <n v="10468"/>
    <s v="1104-01"/>
    <n v="0"/>
    <n v="1970"/>
    <s v="Limarin spa"/>
    <n v="-1970"/>
    <s v="Activo"/>
    <n v="-1970"/>
    <x v="9"/>
  </r>
  <r>
    <n v="2026"/>
    <n v="1"/>
    <s v="02-01-2026"/>
    <n v="10468"/>
    <s v="1104-01"/>
    <n v="0"/>
    <n v="990"/>
    <s v="Importadora y comercializadora paris spa"/>
    <n v="-990"/>
    <s v="Activo"/>
    <n v="-990"/>
    <x v="9"/>
  </r>
  <r>
    <n v="2026"/>
    <n v="1"/>
    <s v="02-01-2026"/>
    <n v="10468"/>
    <s v="1104-01"/>
    <n v="0"/>
    <n v="450"/>
    <s v="Paulo wilfredo valdes salinas"/>
    <n v="-450"/>
    <s v="Activo"/>
    <n v="-450"/>
    <x v="9"/>
  </r>
  <r>
    <n v="2026"/>
    <n v="1"/>
    <s v="02-01-2026"/>
    <n v="10468"/>
    <s v="1104-01"/>
    <n v="0"/>
    <n v="572"/>
    <s v="Transportes via chile limitada"/>
    <n v="-572"/>
    <s v="Activo"/>
    <n v="-572"/>
    <x v="9"/>
  </r>
  <r>
    <n v="2026"/>
    <n v="1"/>
    <s v="02-01-2026"/>
    <n v="10469"/>
    <s v="1104-01"/>
    <n v="0"/>
    <n v="32990"/>
    <s v="Inversiones e inmobiliaria nexo y compania limitada"/>
    <n v="-32990"/>
    <s v="Activo"/>
    <n v="-32990"/>
    <x v="9"/>
  </r>
  <r>
    <n v="2026"/>
    <n v="1"/>
    <s v="02-01-2026"/>
    <n v="10469"/>
    <s v="1104-01"/>
    <n v="0"/>
    <n v="20"/>
    <s v="Inmobiliaria rukalelfun limitada"/>
    <n v="-20"/>
    <s v="Activo"/>
    <n v="-20"/>
    <x v="9"/>
  </r>
  <r>
    <n v="2026"/>
    <n v="1"/>
    <s v="02-01-2026"/>
    <n v="10469"/>
    <s v="1104-01"/>
    <n v="0"/>
    <n v="890"/>
    <s v="Carlos patricio roman zamorano"/>
    <n v="-890"/>
    <s v="Activo"/>
    <n v="-890"/>
    <x v="9"/>
  </r>
  <r>
    <n v="2026"/>
    <n v="1"/>
    <s v="02-01-2026"/>
    <n v="10470"/>
    <s v="1104-01"/>
    <n v="0"/>
    <n v="32990"/>
    <s v="El cruce spa"/>
    <n v="-32990"/>
    <s v="Activo"/>
    <n v="-32990"/>
    <x v="9"/>
  </r>
  <r>
    <n v="2026"/>
    <n v="1"/>
    <s v="02-01-2026"/>
    <n v="10470"/>
    <s v="1104-01"/>
    <n v="0"/>
    <n v="1000"/>
    <s v="Live transport zooal limitada"/>
    <n v="-1000"/>
    <s v="Activo"/>
    <n v="-1000"/>
    <x v="9"/>
  </r>
  <r>
    <n v="2026"/>
    <n v="1"/>
    <s v="02-01-2026"/>
    <n v="10471"/>
    <s v="1104-01"/>
    <n v="0"/>
    <n v="50990"/>
    <s v="Bar restaurante rosa elvira diaz atenas e.i.r.l."/>
    <n v="-50990"/>
    <s v="Activo"/>
    <n v="-50990"/>
    <x v="9"/>
  </r>
  <r>
    <n v="2026"/>
    <n v="1"/>
    <s v="02-01-2026"/>
    <n v="10471"/>
    <s v="1104-01"/>
    <n v="0"/>
    <n v="10"/>
    <s v="J m importaciones limitada"/>
    <n v="-10"/>
    <s v="Activo"/>
    <n v="-10"/>
    <x v="9"/>
  </r>
  <r>
    <n v="2026"/>
    <n v="1"/>
    <s v="02-01-2026"/>
    <n v="10472"/>
    <s v="1104-01"/>
    <n v="0"/>
    <n v="32990"/>
    <s v="Comercial tres estrellas spa"/>
    <n v="-32990"/>
    <s v="Activo"/>
    <n v="-32990"/>
    <x v="9"/>
  </r>
  <r>
    <n v="2026"/>
    <n v="1"/>
    <s v="02-01-2026"/>
    <n v="10472"/>
    <s v="1104-01"/>
    <n v="0"/>
    <n v="110"/>
    <s v="Carlos patricio roman zamorano"/>
    <n v="-110"/>
    <s v="Activo"/>
    <n v="-110"/>
    <x v="9"/>
  </r>
  <r>
    <n v="2026"/>
    <n v="1"/>
    <s v="02-01-2026"/>
    <n v="10472"/>
    <s v="1104-01"/>
    <n v="0"/>
    <n v="870"/>
    <s v="Sv ingenieria y automatizacion e.i.r.l."/>
    <n v="-870"/>
    <s v="Activo"/>
    <n v="-870"/>
    <x v="9"/>
  </r>
  <r>
    <n v="2026"/>
    <n v="1"/>
    <s v="02-01-2026"/>
    <n v="10473"/>
    <s v="1104-01"/>
    <n v="0"/>
    <n v="22837"/>
    <s v="Vercellino y compania limitada"/>
    <n v="-22837"/>
    <s v="Activo"/>
    <n v="-22837"/>
    <x v="9"/>
  </r>
  <r>
    <n v="2026"/>
    <n v="1"/>
    <s v="02-01-2026"/>
    <n v="10473"/>
    <s v="1104-01"/>
    <n v="0"/>
    <n v="7153"/>
    <s v="Corporacion de educacion fernandez ugarte"/>
    <n v="-7153"/>
    <s v="Activo"/>
    <n v="-7153"/>
    <x v="9"/>
  </r>
  <r>
    <n v="2026"/>
    <n v="1"/>
    <s v="02-01-2026"/>
    <n v="10474"/>
    <s v="1104-01"/>
    <n v="0"/>
    <n v="192999"/>
    <s v="Exportadora talagante limitada"/>
    <n v="-192999"/>
    <s v="Activo"/>
    <n v="-192999"/>
    <x v="9"/>
  </r>
  <r>
    <n v="2026"/>
    <n v="1"/>
    <s v="02-01-2026"/>
    <n v="10474"/>
    <s v="1104-01"/>
    <n v="0"/>
    <n v="38163"/>
    <s v="Vercellino y compania limitada"/>
    <n v="-38163"/>
    <s v="Activo"/>
    <n v="-38163"/>
    <x v="9"/>
  </r>
  <r>
    <n v="2026"/>
    <n v="1"/>
    <s v="02-01-2026"/>
    <n v="10474"/>
    <s v="1104-01"/>
    <n v="0"/>
    <n v="7818"/>
    <s v="Ape iso consultores limitada"/>
    <n v="-7818"/>
    <s v="Activo"/>
    <n v="-7818"/>
    <x v="9"/>
  </r>
  <r>
    <n v="2026"/>
    <n v="1"/>
    <s v="02-01-2026"/>
    <n v="10474"/>
    <s v="1104-01"/>
    <n v="0"/>
    <n v="22182"/>
    <s v="Exportadora talagante limitada"/>
    <n v="-22182"/>
    <s v="Activo"/>
    <n v="-22182"/>
    <x v="9"/>
  </r>
  <r>
    <n v="2026"/>
    <n v="1"/>
    <s v="02-01-2026"/>
    <n v="10474"/>
    <s v="1104-01"/>
    <n v="0"/>
    <n v="27828"/>
    <s v="Comercial hernandez hp limitada"/>
    <n v="-27828"/>
    <s v="Activo"/>
    <n v="-27828"/>
    <x v="9"/>
  </r>
  <r>
    <n v="2026"/>
    <n v="1"/>
    <s v="02-01-2026"/>
    <n v="10474"/>
    <s v="1104-01"/>
    <n v="0"/>
    <n v="2172"/>
    <s v="Ape iso consultores limitada"/>
    <n v="-2172"/>
    <s v="Activo"/>
    <n v="-2172"/>
    <x v="9"/>
  </r>
  <r>
    <n v="2026"/>
    <n v="1"/>
    <s v="02-01-2026"/>
    <n v="10474"/>
    <s v="1104-01"/>
    <n v="0"/>
    <n v="17828"/>
    <s v="Comercializadora fischer spa"/>
    <n v="-17828"/>
    <s v="Activo"/>
    <n v="-17828"/>
    <x v="9"/>
  </r>
  <r>
    <n v="2026"/>
    <n v="1"/>
    <s v="02-01-2026"/>
    <n v="10474"/>
    <s v="1104-01"/>
    <n v="0"/>
    <n v="12172"/>
    <s v="Comercial hernandez hp limitada"/>
    <n v="-12172"/>
    <s v="Activo"/>
    <n v="-12172"/>
    <x v="9"/>
  </r>
  <r>
    <n v="2026"/>
    <n v="1"/>
    <s v="02-01-2026"/>
    <n v="10474"/>
    <s v="1104-01"/>
    <n v="0"/>
    <n v="21828"/>
    <s v="Difusion grafica limitada"/>
    <n v="-21828"/>
    <s v="Activo"/>
    <n v="-21828"/>
    <x v="9"/>
  </r>
  <r>
    <n v="2026"/>
    <n v="1"/>
    <s v="02-01-2026"/>
    <n v="10474"/>
    <s v="1104-01"/>
    <n v="0"/>
    <n v="12162"/>
    <s v="Comercializadora fischer spa"/>
    <n v="-12162"/>
    <s v="Activo"/>
    <n v="-12162"/>
    <x v="9"/>
  </r>
  <r>
    <n v="2026"/>
    <n v="1"/>
    <s v="02-01-2026"/>
    <n v="10474"/>
    <s v="1104-01"/>
    <n v="0"/>
    <n v="71838"/>
    <s v="Printhub spa"/>
    <n v="-71838"/>
    <s v="Activo"/>
    <n v="-71838"/>
    <x v="9"/>
  </r>
  <r>
    <n v="2026"/>
    <n v="1"/>
    <s v="02-01-2026"/>
    <n v="10474"/>
    <s v="1104-01"/>
    <n v="0"/>
    <n v="8162"/>
    <s v="Difusion grafica limitada"/>
    <n v="-8162"/>
    <s v="Activo"/>
    <n v="-8162"/>
    <x v="9"/>
  </r>
  <r>
    <n v="2026"/>
    <n v="1"/>
    <s v="02-01-2026"/>
    <n v="10474"/>
    <s v="1104-01"/>
    <n v="0"/>
    <n v="16215"/>
    <s v="Klm spa"/>
    <n v="-16215"/>
    <s v="Activo"/>
    <n v="-16215"/>
    <x v="9"/>
  </r>
  <r>
    <n v="2026"/>
    <n v="1"/>
    <s v="02-01-2026"/>
    <n v="10474"/>
    <s v="1104-01"/>
    <n v="0"/>
    <n v="13785"/>
    <s v="Printhub spa"/>
    <n v="-13785"/>
    <s v="Activo"/>
    <n v="-13785"/>
    <x v="9"/>
  </r>
  <r>
    <n v="2026"/>
    <n v="1"/>
    <s v="02-01-2026"/>
    <n v="10474"/>
    <s v="1104-01"/>
    <n v="0"/>
    <n v="5235"/>
    <s v="Maestranza acuna spa"/>
    <n v="-5235"/>
    <s v="Activo"/>
    <n v="-5235"/>
    <x v="9"/>
  </r>
  <r>
    <n v="2026"/>
    <n v="1"/>
    <s v="02-01-2026"/>
    <n v="10474"/>
    <s v="1104-01"/>
    <n v="0"/>
    <n v="54765"/>
    <s v="Klm spa"/>
    <n v="-54765"/>
    <s v="Activo"/>
    <n v="-54765"/>
    <x v="9"/>
  </r>
  <r>
    <n v="2026"/>
    <n v="1"/>
    <s v="05-01-2026"/>
    <n v="10031"/>
    <s v="1104-01"/>
    <n v="0"/>
    <n v="32546620"/>
    <s v="0966893109 abn crd db tran transba"/>
    <n v="-32546620"/>
    <s v="Activo"/>
    <n v="-32546620"/>
    <x v="9"/>
  </r>
  <r>
    <n v="2026"/>
    <n v="1"/>
    <s v="05-01-2026"/>
    <n v="10032"/>
    <s v="1104-01"/>
    <n v="0"/>
    <n v="3849169"/>
    <s v="0761872877 transf. khipu spa"/>
    <n v="-3849169"/>
    <s v="Activo"/>
    <n v="-3849169"/>
    <x v="9"/>
  </r>
  <r>
    <n v="2026"/>
    <n v="1"/>
    <s v="05-01-2026"/>
    <n v="10186"/>
    <s v="1104-01"/>
    <n v="0"/>
    <n v="30000"/>
    <s v="Centralización recaudaciones enero 2026 #2042 - #2042"/>
    <n v="-30000"/>
    <s v="Activo"/>
    <n v="-30000"/>
    <x v="9"/>
  </r>
  <r>
    <n v="2026"/>
    <n v="1"/>
    <s v="05-01-2026"/>
    <n v="10187"/>
    <s v="1104-01"/>
    <n v="0"/>
    <n v="57990"/>
    <s v="Centralización recaudaciones enero 2026 #2043 - #2043"/>
    <n v="-57990"/>
    <s v="Activo"/>
    <n v="-57990"/>
    <x v="9"/>
  </r>
  <r>
    <n v="2026"/>
    <n v="1"/>
    <s v="05-01-2026"/>
    <n v="10189"/>
    <s v="1104-01"/>
    <n v="0"/>
    <n v="109950"/>
    <s v="Centralización recaudaciones enero 2026 #2045 - #2045"/>
    <n v="-109950"/>
    <s v="Activo"/>
    <n v="-109950"/>
    <x v="9"/>
  </r>
  <r>
    <n v="2026"/>
    <n v="1"/>
    <s v="05-01-2026"/>
    <n v="10190"/>
    <s v="1104-01"/>
    <n v="0"/>
    <n v="112048"/>
    <s v="Centralización recaudaciones enero 2026 #2046 - #2046"/>
    <n v="-112048"/>
    <s v="Activo"/>
    <n v="-112048"/>
    <x v="9"/>
  </r>
  <r>
    <n v="2026"/>
    <n v="1"/>
    <s v="05-01-2026"/>
    <n v="10191"/>
    <s v="1104-01"/>
    <n v="0"/>
    <n v="153747"/>
    <s v="Centralización recaudaciones enero 2026 #2047 - #2047"/>
    <n v="-153747"/>
    <s v="Activo"/>
    <n v="-153747"/>
    <x v="9"/>
  </r>
  <r>
    <n v="2026"/>
    <n v="1"/>
    <s v="05-01-2026"/>
    <n v="10198"/>
    <s v="1104-01"/>
    <n v="0"/>
    <n v="181990"/>
    <s v="Centralización recaudaciones enero 2026 #2054 - #2054"/>
    <n v="-181990"/>
    <s v="Activo"/>
    <n v="-181990"/>
    <x v="9"/>
  </r>
  <r>
    <n v="2026"/>
    <n v="1"/>
    <s v="05-01-2026"/>
    <n v="10201"/>
    <s v="1104-01"/>
    <n v="0"/>
    <n v="29990"/>
    <s v="Centralización recaudaciones enero 2026 #2057 - #2057"/>
    <n v="-29990"/>
    <s v="Activo"/>
    <n v="-29990"/>
    <x v="9"/>
  </r>
  <r>
    <n v="2026"/>
    <n v="1"/>
    <s v="05-01-2026"/>
    <n v="10202"/>
    <s v="1104-01"/>
    <n v="0"/>
    <n v="39970"/>
    <s v="Centralización recaudaciones enero 2026 #2058 - #2058"/>
    <n v="-39970"/>
    <s v="Activo"/>
    <n v="-39970"/>
    <x v="9"/>
  </r>
  <r>
    <n v="2026"/>
    <n v="1"/>
    <s v="05-01-2026"/>
    <n v="10207"/>
    <s v="1104-01"/>
    <n v="0"/>
    <n v="122980"/>
    <s v="Centralización recaudaciones enero 2026 #2063 - #2063"/>
    <n v="-122980"/>
    <s v="Activo"/>
    <n v="-122980"/>
    <x v="9"/>
  </r>
  <r>
    <n v="2026"/>
    <n v="1"/>
    <s v="05-01-2026"/>
    <n v="10210"/>
    <s v="1104-01"/>
    <n v="0"/>
    <n v="30000"/>
    <s v="Centralización recaudaciones enero 2026 #2066 - #2066"/>
    <n v="-30000"/>
    <s v="Activo"/>
    <n v="-30000"/>
    <x v="9"/>
  </r>
  <r>
    <n v="2026"/>
    <n v="1"/>
    <s v="05-01-2026"/>
    <n v="10216"/>
    <s v="1104-01"/>
    <n v="0"/>
    <n v="54980"/>
    <s v="Centralización recaudaciones enero 2026 #2072 - #2072"/>
    <n v="-54980"/>
    <s v="Activo"/>
    <n v="-54980"/>
    <x v="9"/>
  </r>
  <r>
    <n v="2026"/>
    <n v="1"/>
    <s v="05-01-2026"/>
    <n v="10222"/>
    <s v="1104-01"/>
    <n v="0"/>
    <n v="70052"/>
    <s v="Centralización recaudaciones enero 2026 #2078 - #2078"/>
    <n v="-70052"/>
    <s v="Activo"/>
    <n v="-70052"/>
    <x v="9"/>
  </r>
  <r>
    <n v="2026"/>
    <n v="1"/>
    <s v="05-01-2026"/>
    <n v="10224"/>
    <s v="1104-01"/>
    <n v="0"/>
    <n v="30000"/>
    <s v="Centralización recaudaciones enero 2026 #2080 - #2080"/>
    <n v="-30000"/>
    <s v="Activo"/>
    <n v="-30000"/>
    <x v="9"/>
  </r>
  <r>
    <n v="2026"/>
    <n v="1"/>
    <s v="05-01-2026"/>
    <n v="10228"/>
    <s v="1104-01"/>
    <n v="0"/>
    <n v="60000"/>
    <s v="Centralización recaudaciones enero 2026 #2084 - #2084"/>
    <n v="-60000"/>
    <s v="Activo"/>
    <n v="-60000"/>
    <x v="9"/>
  </r>
  <r>
    <n v="2026"/>
    <n v="1"/>
    <s v="05-01-2026"/>
    <n v="10230"/>
    <s v="1104-01"/>
    <n v="0"/>
    <n v="40000"/>
    <s v="Centralización recaudaciones enero 2026 #2086 - #2086"/>
    <n v="-40000"/>
    <s v="Activo"/>
    <n v="-40000"/>
    <x v="9"/>
  </r>
  <r>
    <n v="2026"/>
    <n v="1"/>
    <s v="05-01-2026"/>
    <n v="10231"/>
    <s v="1104-01"/>
    <n v="0"/>
    <n v="84990"/>
    <s v="Centralización recaudaciones enero 2026 #2087 - #2087"/>
    <n v="-84990"/>
    <s v="Activo"/>
    <n v="-84990"/>
    <x v="9"/>
  </r>
  <r>
    <n v="2026"/>
    <n v="1"/>
    <s v="05-01-2026"/>
    <n v="10236"/>
    <s v="1104-01"/>
    <n v="0"/>
    <n v="60000"/>
    <s v="Centralización recaudaciones enero 2026 #2092 - #2092"/>
    <n v="-60000"/>
    <s v="Activo"/>
    <n v="-60000"/>
    <x v="9"/>
  </r>
  <r>
    <n v="2026"/>
    <n v="1"/>
    <s v="05-01-2026"/>
    <n v="10240"/>
    <s v="1104-01"/>
    <n v="0"/>
    <n v="58000"/>
    <s v="Centralización recaudaciones enero 2026 #2096 - #2096"/>
    <n v="-58000"/>
    <s v="Activo"/>
    <n v="-58000"/>
    <x v="9"/>
  </r>
  <r>
    <n v="2026"/>
    <n v="1"/>
    <s v="05-01-2026"/>
    <n v="10260"/>
    <s v="1104-01"/>
    <n v="0"/>
    <n v="35000"/>
    <s v="Centralización recaudaciones enero 2026 #2116 - #2116"/>
    <n v="-35000"/>
    <s v="Activo"/>
    <n v="-35000"/>
    <x v="9"/>
  </r>
  <r>
    <n v="2026"/>
    <n v="1"/>
    <s v="05-01-2026"/>
    <n v="10262"/>
    <s v="1104-01"/>
    <n v="0"/>
    <n v="50000"/>
    <s v="Centralización recaudaciones enero 2026 #2118 - #2118"/>
    <n v="-50000"/>
    <s v="Activo"/>
    <n v="-50000"/>
    <x v="9"/>
  </r>
  <r>
    <n v="2026"/>
    <n v="1"/>
    <s v="05-01-2026"/>
    <n v="10263"/>
    <s v="1104-01"/>
    <n v="0"/>
    <n v="38000"/>
    <s v="Centralización recaudaciones enero 2026 #2119 - #2119"/>
    <n v="-38000"/>
    <s v="Activo"/>
    <n v="-38000"/>
    <x v="9"/>
  </r>
  <r>
    <n v="2026"/>
    <n v="1"/>
    <s v="05-01-2026"/>
    <n v="10264"/>
    <s v="1104-01"/>
    <n v="0"/>
    <n v="70990"/>
    <s v="Centralización recaudaciones enero 2026 #2120 - #2120"/>
    <n v="-70990"/>
    <s v="Activo"/>
    <n v="-70990"/>
    <x v="9"/>
  </r>
  <r>
    <n v="2026"/>
    <n v="1"/>
    <s v="05-01-2026"/>
    <n v="10287"/>
    <s v="1104-01"/>
    <n v="0"/>
    <n v="43990"/>
    <s v="Centralización recaudaciones enero 2026 #2143 - #2143"/>
    <n v="-43990"/>
    <s v="Activo"/>
    <n v="-43990"/>
    <x v="9"/>
  </r>
  <r>
    <n v="2026"/>
    <n v="1"/>
    <s v="05-01-2026"/>
    <n v="10292"/>
    <s v="1104-01"/>
    <n v="0"/>
    <n v="213990"/>
    <s v="Centralización recaudaciones enero 2026 #2148 - #2148"/>
    <n v="-213990"/>
    <s v="Activo"/>
    <n v="-213990"/>
    <x v="9"/>
  </r>
  <r>
    <n v="2026"/>
    <n v="1"/>
    <s v="05-01-2026"/>
    <n v="10315"/>
    <s v="1104-01"/>
    <n v="0"/>
    <n v="38990"/>
    <s v="Centralización recaudaciones enero 2026 #2171 - #2171"/>
    <n v="-38990"/>
    <s v="Activo"/>
    <n v="-38990"/>
    <x v="9"/>
  </r>
  <r>
    <n v="2026"/>
    <n v="1"/>
    <s v="05-01-2026"/>
    <n v="10320"/>
    <s v="1104-01"/>
    <n v="0"/>
    <n v="33990"/>
    <s v="Centralización recaudaciones enero 2026 #2176 - #2176"/>
    <n v="-33990"/>
    <s v="Activo"/>
    <n v="-33990"/>
    <x v="9"/>
  </r>
  <r>
    <n v="2026"/>
    <n v="1"/>
    <s v="05-01-2026"/>
    <n v="10322"/>
    <s v="1104-01"/>
    <n v="0"/>
    <n v="21990"/>
    <s v="Centralización recaudaciones enero 2026 #2178 - #2178"/>
    <n v="-21990"/>
    <s v="Activo"/>
    <n v="-21990"/>
    <x v="9"/>
  </r>
  <r>
    <n v="2026"/>
    <n v="1"/>
    <s v="05-01-2026"/>
    <n v="10323"/>
    <s v="1104-01"/>
    <n v="0"/>
    <n v="1499"/>
    <s v="Centralización recaudaciones enero 2026 #2179 - #2179"/>
    <n v="-1499"/>
    <s v="Activo"/>
    <n v="-1499"/>
    <x v="9"/>
  </r>
  <r>
    <n v="2026"/>
    <n v="1"/>
    <s v="05-01-2026"/>
    <n v="10324"/>
    <s v="1104-01"/>
    <n v="0"/>
    <n v="14990"/>
    <s v="Centralización recaudaciones enero 2026 #2180 - #2180"/>
    <n v="-14990"/>
    <s v="Activo"/>
    <n v="-14990"/>
    <x v="9"/>
  </r>
  <r>
    <n v="2026"/>
    <n v="1"/>
    <s v="05-01-2026"/>
    <n v="10326"/>
    <s v="1104-01"/>
    <n v="0"/>
    <n v="38980"/>
    <s v="Centralización recaudaciones enero 2026 #2182 - #2182"/>
    <n v="-38980"/>
    <s v="Activo"/>
    <n v="-38980"/>
    <x v="9"/>
  </r>
  <r>
    <n v="2026"/>
    <n v="1"/>
    <s v="05-01-2026"/>
    <n v="10339"/>
    <s v="1104-01"/>
    <n v="0"/>
    <n v="30000"/>
    <s v="Centralización recaudaciones enero 2026 #2195 - #2195"/>
    <n v="-30000"/>
    <s v="Activo"/>
    <n v="-30000"/>
    <x v="9"/>
  </r>
  <r>
    <n v="2026"/>
    <n v="1"/>
    <s v="05-01-2026"/>
    <n v="10341"/>
    <s v="1104-01"/>
    <n v="0"/>
    <n v="35990"/>
    <s v="Centralización recaudaciones enero 2026 #2197 - #2197"/>
    <n v="-35990"/>
    <s v="Activo"/>
    <n v="-35990"/>
    <x v="9"/>
  </r>
  <r>
    <n v="2026"/>
    <n v="1"/>
    <s v="05-01-2026"/>
    <n v="10342"/>
    <s v="1104-01"/>
    <n v="0"/>
    <n v="28000"/>
    <s v="Centralización recaudaciones enero 2026 #2198 - #2198"/>
    <n v="-28000"/>
    <s v="Activo"/>
    <n v="-28000"/>
    <x v="9"/>
  </r>
  <r>
    <n v="2026"/>
    <n v="1"/>
    <s v="05-01-2026"/>
    <n v="10343"/>
    <s v="1104-01"/>
    <n v="0"/>
    <n v="21990"/>
    <s v="Centralización recaudaciones enero 2026 #2199 - #2199"/>
    <n v="-21990"/>
    <s v="Activo"/>
    <n v="-21990"/>
    <x v="9"/>
  </r>
  <r>
    <n v="2026"/>
    <n v="1"/>
    <s v="05-01-2026"/>
    <n v="10344"/>
    <s v="1104-01"/>
    <n v="0"/>
    <n v="182970"/>
    <s v="Centralización recaudaciones enero 2026 #2200 - #2200"/>
    <n v="-182970"/>
    <s v="Activo"/>
    <n v="-182970"/>
    <x v="9"/>
  </r>
  <r>
    <n v="2026"/>
    <n v="1"/>
    <s v="05-01-2026"/>
    <n v="10351"/>
    <s v="1104-01"/>
    <n v="0"/>
    <n v="12990"/>
    <s v="Centralización recaudaciones enero 2026 #2207 - #2207"/>
    <n v="-12990"/>
    <s v="Activo"/>
    <n v="-12990"/>
    <x v="9"/>
  </r>
  <r>
    <n v="2026"/>
    <n v="1"/>
    <s v="05-01-2026"/>
    <n v="10367"/>
    <s v="1104-01"/>
    <n v="0"/>
    <n v="58990"/>
    <s v="Centralización recaudaciones enero 2026 #2223 - #2223"/>
    <n v="-58990"/>
    <s v="Activo"/>
    <n v="-58990"/>
    <x v="9"/>
  </r>
  <r>
    <n v="2026"/>
    <n v="1"/>
    <s v="05-01-2026"/>
    <n v="10369"/>
    <s v="1104-01"/>
    <n v="0"/>
    <n v="30000"/>
    <s v="Centralización recaudaciones enero 2026 #2225 - #2225"/>
    <n v="-30000"/>
    <s v="Activo"/>
    <n v="-30000"/>
    <x v="9"/>
  </r>
  <r>
    <n v="2026"/>
    <n v="1"/>
    <s v="05-01-2026"/>
    <n v="10373"/>
    <s v="1104-01"/>
    <n v="0"/>
    <n v="44000"/>
    <s v="Centralización recaudaciones enero 2026 #2229 - #2229"/>
    <n v="-44000"/>
    <s v="Activo"/>
    <n v="-44000"/>
    <x v="9"/>
  </r>
  <r>
    <n v="2026"/>
    <n v="1"/>
    <s v="05-01-2026"/>
    <n v="10377"/>
    <s v="1104-01"/>
    <n v="0"/>
    <n v="35000"/>
    <s v="Centralización recaudaciones enero 2026 #2233 - #2233"/>
    <n v="-35000"/>
    <s v="Activo"/>
    <n v="-35000"/>
    <x v="9"/>
  </r>
  <r>
    <n v="2026"/>
    <n v="1"/>
    <s v="05-01-2026"/>
    <n v="10386"/>
    <s v="1104-01"/>
    <n v="0"/>
    <n v="60000"/>
    <s v="Centralización recaudaciones enero 2026 #2242 - #2242"/>
    <n v="-60000"/>
    <s v="Activo"/>
    <n v="-60000"/>
    <x v="9"/>
  </r>
  <r>
    <n v="2026"/>
    <n v="1"/>
    <s v="05-01-2026"/>
    <n v="10389"/>
    <s v="1104-01"/>
    <n v="0"/>
    <n v="801990"/>
    <s v="Centralización recaudaciones enero 2026 #2245 - #2245"/>
    <n v="-801990"/>
    <s v="Activo"/>
    <n v="-801990"/>
    <x v="9"/>
  </r>
  <r>
    <n v="2026"/>
    <n v="1"/>
    <s v="05-01-2026"/>
    <n v="10390"/>
    <s v="1104-01"/>
    <n v="0"/>
    <n v="84000"/>
    <s v="Centralización recaudaciones enero 2026 #2246 - #2246"/>
    <n v="-84000"/>
    <s v="Activo"/>
    <n v="-84000"/>
    <x v="9"/>
  </r>
  <r>
    <n v="2026"/>
    <n v="1"/>
    <s v="05-01-2026"/>
    <n v="10392"/>
    <s v="1104-01"/>
    <n v="0"/>
    <n v="60000"/>
    <s v="Centralización recaudaciones enero 2026 #2248 - #2248"/>
    <n v="-60000"/>
    <s v="Activo"/>
    <n v="-60000"/>
    <x v="9"/>
  </r>
  <r>
    <n v="2026"/>
    <n v="1"/>
    <s v="05-01-2026"/>
    <n v="10400"/>
    <s v="1104-01"/>
    <n v="0"/>
    <n v="30000"/>
    <s v="Centralización recaudaciones enero 2026 #2256 - #2256"/>
    <n v="-30000"/>
    <s v="Activo"/>
    <n v="-30000"/>
    <x v="9"/>
  </r>
  <r>
    <n v="2026"/>
    <n v="1"/>
    <s v="05-01-2026"/>
    <n v="10436"/>
    <s v="1104-01"/>
    <n v="0"/>
    <n v="34990"/>
    <s v="Centralización recaudaciones enero 2026 #2292 - #2292"/>
    <n v="-34990"/>
    <s v="Activo"/>
    <n v="-34990"/>
    <x v="9"/>
  </r>
  <r>
    <n v="2026"/>
    <n v="1"/>
    <s v="05-01-2026"/>
    <n v="10447"/>
    <s v="1104-01"/>
    <n v="0"/>
    <n v="60000"/>
    <s v="Centralización recaudaciones enero 2026 #2303 - #2303"/>
    <n v="-60000"/>
    <s v="Activo"/>
    <n v="-60000"/>
    <x v="9"/>
  </r>
  <r>
    <n v="2026"/>
    <n v="1"/>
    <s v="05-01-2026"/>
    <n v="10454"/>
    <s v="1104-01"/>
    <n v="0"/>
    <n v="40000"/>
    <s v="Centralización recaudaciones enero 2026 #2310 - #2310"/>
    <n v="-40000"/>
    <s v="Activo"/>
    <n v="-40000"/>
    <x v="9"/>
  </r>
  <r>
    <n v="2026"/>
    <n v="1"/>
    <s v="05-01-2026"/>
    <n v="10455"/>
    <s v="1104-01"/>
    <n v="0"/>
    <n v="24980"/>
    <s v="Centralización recaudaciones enero 2026 #2311 - #2311"/>
    <n v="-24980"/>
    <s v="Activo"/>
    <n v="-24980"/>
    <x v="9"/>
  </r>
  <r>
    <n v="2026"/>
    <n v="1"/>
    <s v="05-01-2026"/>
    <n v="10460"/>
    <s v="1104-01"/>
    <n v="0"/>
    <n v="70000"/>
    <s v="Centralización recaudaciones enero 2026 #2316 - #2316"/>
    <n v="-70000"/>
    <s v="Activo"/>
    <n v="-70000"/>
    <x v="9"/>
  </r>
  <r>
    <n v="2026"/>
    <n v="1"/>
    <s v="05-01-2026"/>
    <n v="10461"/>
    <s v="1104-01"/>
    <n v="0"/>
    <n v="34000"/>
    <s v="Centralización recaudaciones enero 2026 #2317 - #2317"/>
    <n v="-34000"/>
    <s v="Activo"/>
    <n v="-34000"/>
    <x v="9"/>
  </r>
  <r>
    <n v="2026"/>
    <n v="1"/>
    <s v="05-01-2026"/>
    <n v="10462"/>
    <s v="1104-01"/>
    <n v="0"/>
    <n v="780083"/>
    <s v="Centralización recaudaciones enero 2026 #2318 - #2318"/>
    <n v="-780083"/>
    <s v="Activo"/>
    <n v="-780083"/>
    <x v="9"/>
  </r>
  <r>
    <n v="2026"/>
    <n v="1"/>
    <s v="05-01-2026"/>
    <n v="10475"/>
    <s v="1104-01"/>
    <n v="0"/>
    <n v="41826"/>
    <s v="Sociedad educacional los ceibos spa"/>
    <n v="-41826"/>
    <s v="Activo"/>
    <n v="-41826"/>
    <x v="9"/>
  </r>
  <r>
    <n v="2026"/>
    <n v="1"/>
    <s v="05-01-2026"/>
    <n v="10475"/>
    <s v="1104-01"/>
    <n v="0"/>
    <n v="18174"/>
    <s v="Maestranza acuna spa"/>
    <n v="-18174"/>
    <s v="Activo"/>
    <n v="-18174"/>
    <x v="9"/>
  </r>
  <r>
    <n v="2026"/>
    <n v="1"/>
    <s v="05-01-2026"/>
    <n v="10475"/>
    <s v="1104-01"/>
    <n v="0"/>
    <n v="3594"/>
    <s v="Marcela alejandra rojas ibanez"/>
    <n v="-3594"/>
    <s v="Activo"/>
    <n v="-3594"/>
    <x v="9"/>
  </r>
  <r>
    <n v="2026"/>
    <n v="1"/>
    <s v="05-01-2026"/>
    <n v="10475"/>
    <s v="1104-01"/>
    <n v="0"/>
    <n v="32980"/>
    <s v="Servicios mcn translogistic limitada"/>
    <n v="-32980"/>
    <s v="Activo"/>
    <n v="-32980"/>
    <x v="9"/>
  </r>
  <r>
    <n v="2026"/>
    <n v="1"/>
    <s v="05-01-2026"/>
    <n v="10475"/>
    <s v="1104-01"/>
    <n v="0"/>
    <n v="29990"/>
    <s v="Medicos help limitada"/>
    <n v="-29990"/>
    <s v="Activo"/>
    <n v="-29990"/>
    <x v="9"/>
  </r>
  <r>
    <n v="2026"/>
    <n v="1"/>
    <s v="05-01-2026"/>
    <n v="10475"/>
    <s v="1104-01"/>
    <n v="0"/>
    <n v="53406"/>
    <s v="Sociedad educacional los ceibos spa"/>
    <n v="-53406"/>
    <s v="Activo"/>
    <n v="-53406"/>
    <x v="9"/>
  </r>
  <r>
    <n v="2026"/>
    <n v="1"/>
    <s v="05-01-2026"/>
    <n v="10475"/>
    <s v="1104-01"/>
    <n v="0"/>
    <n v="15564"/>
    <s v="I-tax chile consultores limitada"/>
    <n v="-15564"/>
    <s v="Activo"/>
    <n v="-15564"/>
    <x v="9"/>
  </r>
  <r>
    <n v="2026"/>
    <n v="1"/>
    <s v="05-01-2026"/>
    <n v="10475"/>
    <s v="1104-01"/>
    <n v="0"/>
    <n v="2426"/>
    <s v="Marcela alejandra rojas ibanez"/>
    <n v="-2426"/>
    <s v="Activo"/>
    <n v="-2426"/>
    <x v="9"/>
  </r>
  <r>
    <n v="2026"/>
    <n v="1"/>
    <s v="05-01-2026"/>
    <n v="10475"/>
    <s v="1104-01"/>
    <n v="0"/>
    <n v="12574"/>
    <s v="Hgv human technology spa"/>
    <n v="-12574"/>
    <s v="Activo"/>
    <n v="-12574"/>
    <x v="9"/>
  </r>
  <r>
    <n v="2026"/>
    <n v="1"/>
    <s v="05-01-2026"/>
    <n v="10475"/>
    <s v="1104-01"/>
    <n v="0"/>
    <n v="21426"/>
    <s v="I-tax chile consultores limitada"/>
    <n v="-21426"/>
    <s v="Activo"/>
    <n v="-21426"/>
    <x v="9"/>
  </r>
  <r>
    <n v="2026"/>
    <n v="1"/>
    <s v="05-01-2026"/>
    <n v="10475"/>
    <s v="1104-01"/>
    <n v="0"/>
    <n v="2634"/>
    <s v="Arquitectura construccion y grafica terranova limitada"/>
    <n v="-2634"/>
    <s v="Activo"/>
    <n v="-2634"/>
    <x v="9"/>
  </r>
  <r>
    <n v="2026"/>
    <n v="1"/>
    <s v="05-01-2026"/>
    <n v="10475"/>
    <s v="1104-01"/>
    <n v="0"/>
    <n v="47366"/>
    <s v="Hgv human technology spa"/>
    <n v="-47366"/>
    <s v="Activo"/>
    <n v="-47366"/>
    <x v="9"/>
  </r>
  <r>
    <n v="2026"/>
    <n v="1"/>
    <s v="05-01-2026"/>
    <n v="10475"/>
    <s v="1104-01"/>
    <n v="0"/>
    <n v="7654"/>
    <s v="Constructora edifisa limitada"/>
    <n v="-7654"/>
    <s v="Activo"/>
    <n v="-7654"/>
    <x v="9"/>
  </r>
  <r>
    <n v="2026"/>
    <n v="1"/>
    <s v="05-01-2026"/>
    <n v="10475"/>
    <s v="1104-01"/>
    <n v="0"/>
    <n v="29990"/>
    <s v="Agricola los olmos limitada."/>
    <n v="-29990"/>
    <s v="Activo"/>
    <n v="-29990"/>
    <x v="9"/>
  </r>
  <r>
    <n v="2026"/>
    <n v="1"/>
    <s v="05-01-2026"/>
    <n v="10475"/>
    <s v="1104-01"/>
    <n v="0"/>
    <n v="22356"/>
    <s v="Arquitectura construccion y grafica terranova limitada"/>
    <n v="-22356"/>
    <s v="Activo"/>
    <n v="-22356"/>
    <x v="9"/>
  </r>
  <r>
    <n v="2026"/>
    <n v="1"/>
    <s v="05-01-2026"/>
    <n v="10475"/>
    <s v="1104-01"/>
    <n v="0"/>
    <n v="236"/>
    <s v="Comercial electrica industrial y servicios spa"/>
    <n v="-236"/>
    <s v="Activo"/>
    <n v="-236"/>
    <x v="9"/>
  </r>
  <r>
    <n v="2026"/>
    <n v="1"/>
    <s v="05-01-2026"/>
    <n v="10475"/>
    <s v="1104-01"/>
    <n v="0"/>
    <n v="29764"/>
    <s v="Constructora edifisa limitada"/>
    <n v="-29764"/>
    <s v="Activo"/>
    <n v="-29764"/>
    <x v="9"/>
  </r>
  <r>
    <n v="2026"/>
    <n v="1"/>
    <s v="05-01-2026"/>
    <n v="10475"/>
    <s v="1104-01"/>
    <n v="0"/>
    <n v="27925"/>
    <s v="Comunidad santa magdalena de tango"/>
    <n v="-27925"/>
    <s v="Activo"/>
    <n v="-27925"/>
    <x v="9"/>
  </r>
  <r>
    <n v="2026"/>
    <n v="1"/>
    <s v="05-01-2026"/>
    <n v="10475"/>
    <s v="1104-01"/>
    <n v="0"/>
    <n v="1065"/>
    <s v="Comercial electrica industrial y servicios spa"/>
    <n v="-1065"/>
    <s v="Activo"/>
    <n v="-1065"/>
    <x v="9"/>
  </r>
  <r>
    <n v="2026"/>
    <n v="1"/>
    <s v="05-01-2026"/>
    <n v="10475"/>
    <s v="1104-01"/>
    <n v="0"/>
    <n v="18935"/>
    <s v="Terra explorer spa"/>
    <n v="-18935"/>
    <s v="Activo"/>
    <n v="-18935"/>
    <x v="9"/>
  </r>
  <r>
    <n v="2026"/>
    <n v="1"/>
    <s v="05-01-2026"/>
    <n v="10475"/>
    <s v="1104-01"/>
    <n v="0"/>
    <n v="65"/>
    <s v="Comunidad santa magdalena de tango"/>
    <n v="-65"/>
    <s v="Activo"/>
    <n v="-65"/>
    <x v="9"/>
  </r>
  <r>
    <n v="2026"/>
    <n v="1"/>
    <s v="05-01-2026"/>
    <n v="10475"/>
    <s v="1104-01"/>
    <n v="0"/>
    <n v="13945"/>
    <s v="Comercializadora trofeos almendra spa"/>
    <n v="-13945"/>
    <s v="Activo"/>
    <n v="-13945"/>
    <x v="9"/>
  </r>
  <r>
    <n v="2026"/>
    <n v="1"/>
    <s v="05-01-2026"/>
    <n v="10475"/>
    <s v="1104-01"/>
    <n v="0"/>
    <n v="16055"/>
    <s v="Terra explorer spa"/>
    <n v="-16055"/>
    <s v="Activo"/>
    <n v="-16055"/>
    <x v="9"/>
  </r>
  <r>
    <n v="2026"/>
    <n v="1"/>
    <s v="05-01-2026"/>
    <n v="10475"/>
    <s v="1104-01"/>
    <n v="0"/>
    <n v="17287"/>
    <s v="Representaciones chile beer kevin michael szot e i r l"/>
    <n v="-17287"/>
    <s v="Activo"/>
    <n v="-17287"/>
    <x v="9"/>
  </r>
  <r>
    <n v="2026"/>
    <n v="1"/>
    <s v="05-01-2026"/>
    <n v="10475"/>
    <s v="1104-01"/>
    <n v="0"/>
    <n v="12713"/>
    <s v="Comercializadora trofeos almendra spa"/>
    <n v="-12713"/>
    <s v="Activo"/>
    <n v="-12713"/>
    <x v="9"/>
  </r>
  <r>
    <n v="2026"/>
    <n v="1"/>
    <s v="05-01-2026"/>
    <n v="10476"/>
    <s v="1104-01"/>
    <n v="0"/>
    <n v="101990"/>
    <s v="Friends tour s a"/>
    <n v="-101990"/>
    <s v="Activo"/>
    <n v="-101990"/>
    <x v="9"/>
  </r>
  <r>
    <n v="2026"/>
    <n v="1"/>
    <s v="05-01-2026"/>
    <n v="10476"/>
    <s v="1104-01"/>
    <n v="0"/>
    <n v="1052"/>
    <s v="Representaciones chile beer kevin michael szot e i r l"/>
    <n v="-1052"/>
    <s v="Activo"/>
    <n v="-1052"/>
    <x v="9"/>
  </r>
  <r>
    <n v="2026"/>
    <n v="1"/>
    <s v="05-01-2026"/>
    <n v="10476"/>
    <s v="1104-01"/>
    <n v="0"/>
    <n v="18944"/>
    <s v="Ingeniería inversa limitada"/>
    <n v="-18944"/>
    <s v="Activo"/>
    <n v="-18944"/>
    <x v="9"/>
  </r>
  <r>
    <n v="2026"/>
    <n v="1"/>
    <s v="05-01-2026"/>
    <n v="10476"/>
    <s v="1104-01"/>
    <n v="0"/>
    <n v="11056"/>
    <s v="Representaciones chile beer kevin michael szot e i r l"/>
    <n v="-11056"/>
    <s v="Activo"/>
    <n v="-11056"/>
    <x v="9"/>
  </r>
  <r>
    <n v="2026"/>
    <n v="1"/>
    <s v="05-01-2026"/>
    <n v="10476"/>
    <s v="1104-01"/>
    <n v="0"/>
    <n v="13944"/>
    <s v="Conectal spa"/>
    <n v="-13944"/>
    <s v="Activo"/>
    <n v="-13944"/>
    <x v="9"/>
  </r>
  <r>
    <n v="2026"/>
    <n v="1"/>
    <s v="05-01-2026"/>
    <n v="10476"/>
    <s v="1104-01"/>
    <n v="0"/>
    <n v="4046"/>
    <s v="Ingeniería inversa limitada"/>
    <n v="-4046"/>
    <s v="Activo"/>
    <n v="-4046"/>
    <x v="9"/>
  </r>
  <r>
    <n v="2026"/>
    <n v="1"/>
    <s v="05-01-2026"/>
    <n v="10476"/>
    <s v="1104-01"/>
    <n v="0"/>
    <n v="27932"/>
    <s v="Sociedad lopez y compania limitada"/>
    <n v="-27932"/>
    <s v="Activo"/>
    <n v="-27932"/>
    <x v="9"/>
  </r>
  <r>
    <n v="2026"/>
    <n v="1"/>
    <s v="05-01-2026"/>
    <n v="10476"/>
    <s v="1104-01"/>
    <n v="0"/>
    <n v="18056"/>
    <s v="Conectal spa"/>
    <n v="-18056"/>
    <s v="Activo"/>
    <n v="-18056"/>
    <x v="9"/>
  </r>
  <r>
    <n v="2026"/>
    <n v="1"/>
    <s v="05-01-2026"/>
    <n v="10476"/>
    <s v="1104-01"/>
    <n v="0"/>
    <n v="28912"/>
    <s v="Centro dermatoestético andrea nuñez lópez e.i.r.l."/>
    <n v="-28912"/>
    <s v="Activo"/>
    <n v="-28912"/>
    <x v="9"/>
  </r>
  <r>
    <n v="2026"/>
    <n v="1"/>
    <s v="05-01-2026"/>
    <n v="10476"/>
    <s v="1104-01"/>
    <n v="0"/>
    <n v="1088"/>
    <s v="Sociedad lopez y compania limitada"/>
    <n v="-1088"/>
    <s v="Activo"/>
    <n v="-1088"/>
    <x v="9"/>
  </r>
  <r>
    <n v="2026"/>
    <n v="1"/>
    <s v="05-01-2026"/>
    <n v="10476"/>
    <s v="1104-01"/>
    <n v="0"/>
    <n v="6932"/>
    <s v="Manka food solutions spa"/>
    <n v="-6932"/>
    <s v="Activo"/>
    <n v="-6932"/>
    <x v="9"/>
  </r>
  <r>
    <n v="2026"/>
    <n v="1"/>
    <s v="05-01-2026"/>
    <n v="10476"/>
    <s v="1104-01"/>
    <n v="0"/>
    <n v="23068"/>
    <s v="Centro dermatoestético andrea nuñez lópez e.i.r.l."/>
    <n v="-23068"/>
    <s v="Activo"/>
    <n v="-23068"/>
    <x v="9"/>
  </r>
  <r>
    <n v="2026"/>
    <n v="1"/>
    <s v="05-01-2026"/>
    <n v="10476"/>
    <s v="1104-01"/>
    <n v="0"/>
    <n v="4932"/>
    <s v="David gonzalez castano"/>
    <n v="-4932"/>
    <s v="Activo"/>
    <n v="-4932"/>
    <x v="9"/>
  </r>
  <r>
    <n v="2026"/>
    <n v="1"/>
    <s v="05-01-2026"/>
    <n v="10476"/>
    <s v="1104-01"/>
    <n v="0"/>
    <n v="25068"/>
    <s v="Manka food solutions spa"/>
    <n v="-25068"/>
    <s v="Activo"/>
    <n v="-25068"/>
    <x v="9"/>
  </r>
  <r>
    <n v="2026"/>
    <n v="1"/>
    <s v="05-01-2026"/>
    <n v="10476"/>
    <s v="1104-01"/>
    <n v="0"/>
    <n v="2428"/>
    <s v="Transportes via chile limitada"/>
    <n v="-2428"/>
    <s v="Activo"/>
    <n v="-2428"/>
    <x v="9"/>
  </r>
  <r>
    <n v="2026"/>
    <n v="1"/>
    <s v="05-01-2026"/>
    <n v="10476"/>
    <s v="1104-01"/>
    <n v="0"/>
    <n v="130"/>
    <s v="Sv ingenieria y automatizacion e.i.r.l."/>
    <n v="-130"/>
    <s v="Activo"/>
    <n v="-130"/>
    <x v="9"/>
  </r>
  <r>
    <n v="2026"/>
    <n v="1"/>
    <s v="05-01-2026"/>
    <n v="10476"/>
    <s v="1104-01"/>
    <n v="0"/>
    <n v="10"/>
    <s v="Renbluu ferreteria spa"/>
    <n v="-10"/>
    <s v="Activo"/>
    <n v="-10"/>
    <x v="9"/>
  </r>
  <r>
    <n v="2026"/>
    <n v="1"/>
    <s v="05-01-2026"/>
    <n v="10476"/>
    <s v="1104-01"/>
    <n v="0"/>
    <n v="3000"/>
    <s v="Pastelería vivian paz herrero lucero e.i.r.l."/>
    <n v="-3000"/>
    <s v="Activo"/>
    <n v="-3000"/>
    <x v="9"/>
  </r>
  <r>
    <n v="2026"/>
    <n v="1"/>
    <s v="05-01-2026"/>
    <n v="10476"/>
    <s v="1104-01"/>
    <n v="0"/>
    <n v="3010"/>
    <s v="L atelier diseño y confecciones spa"/>
    <n v="-3010"/>
    <s v="Activo"/>
    <n v="-3010"/>
    <x v="9"/>
  </r>
  <r>
    <n v="2026"/>
    <n v="1"/>
    <s v="05-01-2026"/>
    <n v="10476"/>
    <s v="1104-01"/>
    <n v="0"/>
    <n v="3335"/>
    <s v="Ortho trauma inversiones spa"/>
    <n v="-3335"/>
    <s v="Activo"/>
    <n v="-3335"/>
    <x v="9"/>
  </r>
  <r>
    <n v="2026"/>
    <n v="1"/>
    <s v="05-01-2026"/>
    <n v="10476"/>
    <s v="1104-01"/>
    <n v="0"/>
    <n v="3077"/>
    <s v="Exportadores del agro s a"/>
    <n v="-3077"/>
    <s v="Activo"/>
    <n v="-3077"/>
    <x v="9"/>
  </r>
  <r>
    <n v="2026"/>
    <n v="1"/>
    <s v="05-01-2026"/>
    <n v="10476"/>
    <s v="1104-01"/>
    <n v="0"/>
    <n v="424580"/>
    <s v="Torres ocaranza ltda."/>
    <n v="-424580"/>
    <s v="Activo"/>
    <n v="-424580"/>
    <x v="9"/>
  </r>
  <r>
    <n v="2026"/>
    <n v="1"/>
    <s v="05-01-2026"/>
    <n v="10476"/>
    <s v="1104-01"/>
    <n v="0"/>
    <n v="424580"/>
    <s v="Torres ocaranza ltda."/>
    <n v="-424580"/>
    <s v="Activo"/>
    <n v="-424580"/>
    <x v="9"/>
  </r>
  <r>
    <n v="2026"/>
    <n v="1"/>
    <s v="05-01-2026"/>
    <n v="10476"/>
    <s v="1104-01"/>
    <n v="0"/>
    <n v="424580"/>
    <s v="Torres ocaranza ltda."/>
    <n v="-424580"/>
    <s v="Activo"/>
    <n v="-424580"/>
    <x v="9"/>
  </r>
  <r>
    <n v="2026"/>
    <n v="1"/>
    <s v="05-01-2026"/>
    <n v="10476"/>
    <s v="1104-01"/>
    <n v="0"/>
    <n v="8521"/>
    <s v="La casa del koi spa"/>
    <n v="-8521"/>
    <s v="Activo"/>
    <n v="-8521"/>
    <x v="9"/>
  </r>
  <r>
    <n v="2026"/>
    <n v="1"/>
    <s v="05-01-2026"/>
    <n v="10476"/>
    <s v="1104-01"/>
    <n v="0"/>
    <n v="25469"/>
    <s v="Exportafresh spa"/>
    <n v="-25469"/>
    <s v="Activo"/>
    <n v="-25469"/>
    <x v="9"/>
  </r>
  <r>
    <n v="2026"/>
    <n v="1"/>
    <s v="05-01-2026"/>
    <n v="10477"/>
    <s v="1104-01"/>
    <n v="0"/>
    <n v="7000"/>
    <s v="Extrual limitada"/>
    <n v="-7000"/>
    <s v="Activo"/>
    <n v="-7000"/>
    <x v="9"/>
  </r>
  <r>
    <n v="2026"/>
    <n v="1"/>
    <s v="05-01-2026"/>
    <n v="10477"/>
    <s v="1104-01"/>
    <n v="0"/>
    <n v="970"/>
    <s v="Juan andres yanez salazar instituto e.i.r.l."/>
    <n v="-970"/>
    <s v="Activo"/>
    <n v="-970"/>
    <x v="9"/>
  </r>
  <r>
    <n v="2026"/>
    <n v="1"/>
    <s v="05-01-2026"/>
    <n v="10477"/>
    <s v="1104-01"/>
    <n v="0"/>
    <n v="893"/>
    <s v="Exportadores del agro s a"/>
    <n v="-893"/>
    <s v="Activo"/>
    <n v="-893"/>
    <x v="9"/>
  </r>
  <r>
    <n v="2026"/>
    <n v="1"/>
    <s v="05-01-2026"/>
    <n v="10477"/>
    <s v="1104-01"/>
    <n v="0"/>
    <n v="24541"/>
    <s v="Smart flow solutions chile spa"/>
    <n v="-24541"/>
    <s v="Activo"/>
    <n v="-24541"/>
    <x v="9"/>
  </r>
  <r>
    <n v="2026"/>
    <n v="1"/>
    <s v="05-01-2026"/>
    <n v="10477"/>
    <s v="1104-01"/>
    <n v="0"/>
    <n v="5459"/>
    <s v="La casa del koi spa"/>
    <n v="-5459"/>
    <s v="Activo"/>
    <n v="-5459"/>
    <x v="9"/>
  </r>
  <r>
    <n v="2026"/>
    <n v="1"/>
    <s v="05-01-2026"/>
    <n v="10477"/>
    <s v="1104-01"/>
    <n v="0"/>
    <n v="42521"/>
    <s v="Asesorias y servicios empresariales adyser spa"/>
    <n v="-42521"/>
    <s v="Activo"/>
    <n v="-42521"/>
    <x v="9"/>
  </r>
  <r>
    <n v="2026"/>
    <n v="1"/>
    <s v="05-01-2026"/>
    <n v="10477"/>
    <s v="1104-01"/>
    <n v="0"/>
    <n v="3449"/>
    <s v="Smart flow solutions chile spa"/>
    <n v="-3449"/>
    <s v="Activo"/>
    <n v="-3449"/>
    <x v="9"/>
  </r>
  <r>
    <n v="2026"/>
    <n v="1"/>
    <s v="05-01-2026"/>
    <n v="10477"/>
    <s v="1104-01"/>
    <n v="0"/>
    <n v="29531"/>
    <s v="Trueque verde spa"/>
    <n v="-29531"/>
    <s v="Activo"/>
    <n v="-29531"/>
    <x v="9"/>
  </r>
  <r>
    <n v="2026"/>
    <n v="1"/>
    <s v="05-01-2026"/>
    <n v="10477"/>
    <s v="1104-01"/>
    <n v="0"/>
    <n v="469"/>
    <s v="Asesorias y servicios empresariales adyser spa"/>
    <n v="-469"/>
    <s v="Activo"/>
    <n v="-469"/>
    <x v="9"/>
  </r>
  <r>
    <n v="2026"/>
    <n v="1"/>
    <s v="05-01-2026"/>
    <n v="10477"/>
    <s v="1104-01"/>
    <n v="0"/>
    <n v="29551"/>
    <s v="Cobranza integral spa"/>
    <n v="-29551"/>
    <s v="Activo"/>
    <n v="-29551"/>
    <x v="9"/>
  </r>
  <r>
    <n v="2026"/>
    <n v="1"/>
    <s v="05-01-2026"/>
    <n v="10477"/>
    <s v="1104-01"/>
    <n v="0"/>
    <n v="30449"/>
    <s v="Trueque verde spa"/>
    <n v="-30449"/>
    <s v="Activo"/>
    <n v="-30449"/>
    <x v="9"/>
  </r>
  <r>
    <n v="2026"/>
    <n v="1"/>
    <s v="05-01-2026"/>
    <n v="10477"/>
    <s v="1104-01"/>
    <n v="0"/>
    <n v="3577"/>
    <s v="Agricola geoagro limitada"/>
    <n v="-3577"/>
    <s v="Activo"/>
    <n v="-3577"/>
    <x v="9"/>
  </r>
  <r>
    <n v="2026"/>
    <n v="1"/>
    <s v="05-01-2026"/>
    <n v="10477"/>
    <s v="1104-01"/>
    <n v="0"/>
    <n v="37990"/>
    <s v="Jose francisco olivares maldonado"/>
    <n v="-37990"/>
    <s v="Activo"/>
    <n v="-37990"/>
    <x v="9"/>
  </r>
  <r>
    <n v="2026"/>
    <n v="1"/>
    <s v="05-01-2026"/>
    <n v="10477"/>
    <s v="1104-01"/>
    <n v="0"/>
    <n v="18433"/>
    <s v="Cobranza integral spa"/>
    <n v="-18433"/>
    <s v="Activo"/>
    <n v="-18433"/>
    <x v="9"/>
  </r>
  <r>
    <n v="2026"/>
    <n v="1"/>
    <s v="05-01-2026"/>
    <n v="10477"/>
    <s v="1104-01"/>
    <n v="0"/>
    <n v="10567"/>
    <s v="Inversiones tecnoptic limitada"/>
    <n v="-10567"/>
    <s v="Activo"/>
    <n v="-10567"/>
    <x v="9"/>
  </r>
  <r>
    <n v="2026"/>
    <n v="1"/>
    <s v="05-01-2026"/>
    <n v="10477"/>
    <s v="1104-01"/>
    <n v="0"/>
    <n v="11423"/>
    <s v="Agricola geoagro limitada"/>
    <n v="-11423"/>
    <s v="Activo"/>
    <n v="-11423"/>
    <x v="9"/>
  </r>
  <r>
    <n v="2026"/>
    <n v="1"/>
    <s v="05-01-2026"/>
    <n v="10477"/>
    <s v="1104-01"/>
    <n v="0"/>
    <n v="11567"/>
    <s v="Slier spa"/>
    <n v="-11567"/>
    <s v="Activo"/>
    <n v="-11567"/>
    <x v="9"/>
  </r>
  <r>
    <n v="2026"/>
    <n v="1"/>
    <s v="05-01-2026"/>
    <n v="10477"/>
    <s v="1104-01"/>
    <n v="0"/>
    <n v="32413"/>
    <s v="Inversiones tecnoptic limitada"/>
    <n v="-32413"/>
    <s v="Activo"/>
    <n v="-32413"/>
    <x v="9"/>
  </r>
  <r>
    <n v="2026"/>
    <n v="1"/>
    <s v="05-01-2026"/>
    <n v="10477"/>
    <s v="1104-01"/>
    <n v="0"/>
    <n v="15557"/>
    <s v="Productos biologicos probo spa"/>
    <n v="-15557"/>
    <s v="Activo"/>
    <n v="-15557"/>
    <x v="9"/>
  </r>
  <r>
    <n v="2026"/>
    <n v="1"/>
    <s v="05-01-2026"/>
    <n v="10477"/>
    <s v="1104-01"/>
    <n v="0"/>
    <n v="13433"/>
    <s v="Slier spa"/>
    <n v="-13433"/>
    <s v="Activo"/>
    <n v="-13433"/>
    <x v="9"/>
  </r>
  <r>
    <n v="2026"/>
    <n v="1"/>
    <s v="05-01-2026"/>
    <n v="10477"/>
    <s v="1104-01"/>
    <n v="0"/>
    <n v="14617"/>
    <s v="Lam spa"/>
    <n v="-14617"/>
    <s v="Activo"/>
    <n v="-14617"/>
    <x v="9"/>
  </r>
  <r>
    <n v="2026"/>
    <n v="1"/>
    <s v="05-01-2026"/>
    <n v="10477"/>
    <s v="1104-01"/>
    <n v="0"/>
    <n v="373"/>
    <s v="Productos biologicos probo spa"/>
    <n v="-373"/>
    <s v="Activo"/>
    <n v="-373"/>
    <x v="9"/>
  </r>
  <r>
    <n v="2026"/>
    <n v="1"/>
    <s v="05-01-2026"/>
    <n v="10477"/>
    <s v="1104-01"/>
    <n v="0"/>
    <n v="6607"/>
    <s v="Msco proyectos industriales spa"/>
    <n v="-6607"/>
    <s v="Activo"/>
    <n v="-6607"/>
    <x v="9"/>
  </r>
  <r>
    <n v="2026"/>
    <n v="1"/>
    <s v="05-01-2026"/>
    <n v="10477"/>
    <s v="1104-01"/>
    <n v="0"/>
    <n v="21383"/>
    <s v="Lam spa"/>
    <n v="-21383"/>
    <s v="Activo"/>
    <n v="-21383"/>
    <x v="9"/>
  </r>
  <r>
    <n v="2026"/>
    <n v="1"/>
    <s v="05-01-2026"/>
    <n v="10477"/>
    <s v="1104-01"/>
    <n v="0"/>
    <n v="34597"/>
    <s v="Nicole lissette lopez estevez"/>
    <n v="-34597"/>
    <s v="Activo"/>
    <n v="-34597"/>
    <x v="9"/>
  </r>
  <r>
    <n v="2026"/>
    <n v="1"/>
    <s v="05-01-2026"/>
    <n v="10477"/>
    <s v="1104-01"/>
    <n v="0"/>
    <n v="3393"/>
    <s v="Msco proyectos industriales spa"/>
    <n v="-3393"/>
    <s v="Activo"/>
    <n v="-3393"/>
    <x v="9"/>
  </r>
  <r>
    <n v="2026"/>
    <n v="1"/>
    <s v="05-01-2026"/>
    <n v="10478"/>
    <s v="1104-01"/>
    <n v="0"/>
    <n v="20587"/>
    <s v="Céspedes, aillañir tecnologia spa"/>
    <n v="-20587"/>
    <s v="Activo"/>
    <n v="-20587"/>
    <x v="9"/>
  </r>
  <r>
    <n v="2026"/>
    <n v="1"/>
    <s v="05-01-2026"/>
    <n v="10478"/>
    <s v="1104-01"/>
    <n v="0"/>
    <n v="19413"/>
    <s v="Nicole lissette lopez estevez"/>
    <n v="-19413"/>
    <s v="Activo"/>
    <n v="-19413"/>
    <x v="9"/>
  </r>
  <r>
    <n v="2026"/>
    <n v="1"/>
    <s v="05-01-2026"/>
    <n v="10478"/>
    <s v="1104-01"/>
    <n v="0"/>
    <n v="5587"/>
    <s v="Cf rental spa"/>
    <n v="-5587"/>
    <s v="Activo"/>
    <n v="-5587"/>
    <x v="9"/>
  </r>
  <r>
    <n v="2026"/>
    <n v="1"/>
    <s v="05-01-2026"/>
    <n v="10478"/>
    <s v="1104-01"/>
    <n v="0"/>
    <n v="9403"/>
    <s v="Céspedes, aillañir tecnologia spa"/>
    <n v="-9403"/>
    <s v="Activo"/>
    <n v="-9403"/>
    <x v="9"/>
  </r>
  <r>
    <n v="2026"/>
    <n v="1"/>
    <s v="05-01-2026"/>
    <n v="10478"/>
    <s v="1104-01"/>
    <n v="0"/>
    <n v="4607"/>
    <s v="Corporacion de educacion fernandez ugarte"/>
    <n v="-4607"/>
    <s v="Activo"/>
    <n v="-4607"/>
    <x v="9"/>
  </r>
  <r>
    <n v="2026"/>
    <n v="1"/>
    <s v="05-01-2026"/>
    <n v="10478"/>
    <s v="1104-01"/>
    <n v="0"/>
    <n v="35393"/>
    <s v="Cf rental spa"/>
    <n v="-35393"/>
    <s v="Activo"/>
    <n v="-35393"/>
    <x v="9"/>
  </r>
  <r>
    <n v="2026"/>
    <n v="1"/>
    <s v="05-01-2026"/>
    <n v="10478"/>
    <s v="1104-01"/>
    <n v="0"/>
    <n v="49800"/>
    <s v="Importadora y comercializadora deportes eduardo flores aravena e.i.r.l."/>
    <n v="-49800"/>
    <s v="Activo"/>
    <n v="-49800"/>
    <x v="9"/>
  </r>
  <r>
    <n v="2026"/>
    <n v="1"/>
    <s v="05-01-2026"/>
    <n v="10478"/>
    <s v="1104-01"/>
    <n v="0"/>
    <n v="1200"/>
    <s v="Corporacion de educacion fernandez ugarte"/>
    <n v="-1200"/>
    <s v="Activo"/>
    <n v="-1200"/>
    <x v="9"/>
  </r>
  <r>
    <n v="2026"/>
    <n v="1"/>
    <s v="05-01-2026"/>
    <n v="10478"/>
    <s v="1104-01"/>
    <n v="0"/>
    <n v="19734"/>
    <s v="Alpes de lonquen spa"/>
    <n v="-19734"/>
    <s v="Activo"/>
    <n v="-19734"/>
    <x v="9"/>
  </r>
  <r>
    <n v="2026"/>
    <n v="1"/>
    <s v="05-01-2026"/>
    <n v="10478"/>
    <s v="1104-01"/>
    <n v="0"/>
    <n v="20266"/>
    <s v="Desabolladura, pintura y mecánica de automóviles víctor andres pino vera e.i.r.l."/>
    <n v="-20266"/>
    <s v="Activo"/>
    <n v="-20266"/>
    <x v="9"/>
  </r>
  <r>
    <n v="2026"/>
    <n v="1"/>
    <s v="05-01-2026"/>
    <n v="10478"/>
    <s v="1104-01"/>
    <n v="0"/>
    <n v="39734"/>
    <s v="Badana spa"/>
    <n v="-39734"/>
    <s v="Activo"/>
    <n v="-39734"/>
    <x v="9"/>
  </r>
  <r>
    <n v="2026"/>
    <n v="1"/>
    <s v="05-01-2026"/>
    <n v="10478"/>
    <s v="1104-01"/>
    <n v="0"/>
    <n v="20266"/>
    <s v="Alpes de lonquen spa"/>
    <n v="-20266"/>
    <s v="Activo"/>
    <n v="-20266"/>
    <x v="9"/>
  </r>
  <r>
    <n v="2026"/>
    <n v="1"/>
    <s v="05-01-2026"/>
    <n v="10478"/>
    <s v="1104-01"/>
    <n v="0"/>
    <n v="243"/>
    <s v="Monha producciones spa"/>
    <n v="-243"/>
    <s v="Activo"/>
    <n v="-243"/>
    <x v="9"/>
  </r>
  <r>
    <n v="2026"/>
    <n v="1"/>
    <s v="05-01-2026"/>
    <n v="10478"/>
    <s v="1104-01"/>
    <n v="0"/>
    <n v="28747"/>
    <s v="Badana spa"/>
    <n v="-28747"/>
    <s v="Activo"/>
    <n v="-28747"/>
    <x v="9"/>
  </r>
  <r>
    <n v="2026"/>
    <n v="1"/>
    <s v="05-01-2026"/>
    <n v="10478"/>
    <s v="1104-01"/>
    <n v="0"/>
    <n v="13243"/>
    <s v="Apostoles s.a."/>
    <n v="-13243"/>
    <s v="Activo"/>
    <n v="-13243"/>
    <x v="9"/>
  </r>
  <r>
    <n v="2026"/>
    <n v="1"/>
    <s v="05-01-2026"/>
    <n v="10478"/>
    <s v="1104-01"/>
    <n v="0"/>
    <n v="21747"/>
    <s v="Monha producciones spa"/>
    <n v="-21747"/>
    <s v="Activo"/>
    <n v="-21747"/>
    <x v="9"/>
  </r>
  <r>
    <n v="2026"/>
    <n v="1"/>
    <s v="05-01-2026"/>
    <n v="10478"/>
    <s v="1104-01"/>
    <n v="0"/>
    <n v="12243"/>
    <s v="Comex g p spa"/>
    <n v="-12243"/>
    <s v="Activo"/>
    <n v="-12243"/>
    <x v="9"/>
  </r>
  <r>
    <n v="2026"/>
    <n v="1"/>
    <s v="05-01-2026"/>
    <n v="10478"/>
    <s v="1104-01"/>
    <n v="0"/>
    <n v="16747"/>
    <s v="Apostoles s.a."/>
    <n v="-16747"/>
    <s v="Activo"/>
    <n v="-16747"/>
    <x v="9"/>
  </r>
  <r>
    <n v="2026"/>
    <n v="1"/>
    <s v="05-01-2026"/>
    <n v="10478"/>
    <s v="1104-01"/>
    <n v="0"/>
    <n v="25397"/>
    <s v="Comercializadora y manufacturas zil limitada"/>
    <n v="-25397"/>
    <s v="Activo"/>
    <n v="-25397"/>
    <x v="9"/>
  </r>
  <r>
    <n v="2026"/>
    <n v="1"/>
    <s v="05-01-2026"/>
    <n v="10478"/>
    <s v="1104-01"/>
    <n v="0"/>
    <n v="4603"/>
    <s v="Comex g p spa"/>
    <n v="-4603"/>
    <s v="Activo"/>
    <n v="-4603"/>
    <x v="9"/>
  </r>
  <r>
    <n v="2026"/>
    <n v="1"/>
    <s v="05-01-2026"/>
    <n v="10478"/>
    <s v="1104-01"/>
    <n v="0"/>
    <n v="25357"/>
    <s v="Ingeniería y construcción fernandez spa"/>
    <n v="-25357"/>
    <s v="Activo"/>
    <n v="-25357"/>
    <x v="9"/>
  </r>
  <r>
    <n v="2026"/>
    <n v="1"/>
    <s v="05-01-2026"/>
    <n v="10478"/>
    <s v="1104-01"/>
    <n v="0"/>
    <n v="3613"/>
    <s v="Comercializadora y manufacturas zil limitada"/>
    <n v="-3613"/>
    <s v="Activo"/>
    <n v="-3613"/>
    <x v="9"/>
  </r>
  <r>
    <n v="2026"/>
    <n v="1"/>
    <s v="05-01-2026"/>
    <n v="10478"/>
    <s v="1104-01"/>
    <n v="0"/>
    <n v="22990"/>
    <s v="Sociedad comercial portofino spa"/>
    <n v="-22990"/>
    <s v="Activo"/>
    <n v="-22990"/>
    <x v="9"/>
  </r>
  <r>
    <n v="2026"/>
    <n v="1"/>
    <s v="05-01-2026"/>
    <n v="10478"/>
    <s v="1104-01"/>
    <n v="0"/>
    <n v="3980"/>
    <s v="Comercializadora y manufacturas zil limitada"/>
    <n v="-3980"/>
    <s v="Activo"/>
    <n v="-3980"/>
    <x v="9"/>
  </r>
  <r>
    <n v="2026"/>
    <n v="1"/>
    <s v="06-01-2026"/>
    <n v="10033"/>
    <s v="1104-01"/>
    <n v="0"/>
    <n v="44599192"/>
    <s v="0966893109 abn crd db tran transba"/>
    <n v="-44599192"/>
    <s v="Activo"/>
    <n v="-44599192"/>
    <x v="9"/>
  </r>
  <r>
    <n v="2026"/>
    <n v="1"/>
    <s v="06-01-2026"/>
    <n v="10036"/>
    <s v="1104-01"/>
    <n v="0"/>
    <n v="2239433"/>
    <s v="0761872877 transf. khipu spa"/>
    <n v="-2239433"/>
    <s v="Activo"/>
    <n v="-2239433"/>
    <x v="9"/>
  </r>
  <r>
    <n v="2026"/>
    <n v="1"/>
    <s v="06-01-2026"/>
    <n v="10237"/>
    <s v="1104-01"/>
    <n v="0"/>
    <n v="51920"/>
    <s v="Centralización recaudaciones enero 2026 #2093 - #2093"/>
    <n v="-51920"/>
    <s v="Activo"/>
    <n v="-51920"/>
    <x v="9"/>
  </r>
  <r>
    <n v="2026"/>
    <n v="1"/>
    <s v="06-01-2026"/>
    <n v="10258"/>
    <s v="1104-01"/>
    <n v="0"/>
    <n v="43990"/>
    <s v="Centralización recaudaciones enero 2026 #2114 - #2114"/>
    <n v="-43990"/>
    <s v="Activo"/>
    <n v="-43990"/>
    <x v="9"/>
  </r>
  <r>
    <n v="2026"/>
    <n v="1"/>
    <s v="06-01-2026"/>
    <n v="10267"/>
    <s v="1104-01"/>
    <n v="0"/>
    <n v="32000"/>
    <s v="Centralización recaudaciones enero 2026 #2123 - #2123"/>
    <n v="-32000"/>
    <s v="Activo"/>
    <n v="-32000"/>
    <x v="9"/>
  </r>
  <r>
    <n v="2026"/>
    <n v="1"/>
    <s v="06-01-2026"/>
    <n v="10272"/>
    <s v="1104-01"/>
    <n v="0"/>
    <n v="74000"/>
    <s v="Centralización recaudaciones enero 2026 #2128 - #2128"/>
    <n v="-74000"/>
    <s v="Activo"/>
    <n v="-74000"/>
    <x v="9"/>
  </r>
  <r>
    <n v="2026"/>
    <n v="1"/>
    <s v="06-01-2026"/>
    <n v="10290"/>
    <s v="1104-01"/>
    <n v="0"/>
    <n v="26000"/>
    <s v="Centralización recaudaciones enero 2026 #2146 - #2146"/>
    <n v="-26000"/>
    <s v="Activo"/>
    <n v="-26000"/>
    <x v="9"/>
  </r>
  <r>
    <n v="2026"/>
    <n v="1"/>
    <s v="06-01-2026"/>
    <n v="10298"/>
    <s v="1104-01"/>
    <n v="0"/>
    <n v="30000"/>
    <s v="Centralización recaudaciones enero 2026 #2154 - #2154"/>
    <n v="-30000"/>
    <s v="Activo"/>
    <n v="-30000"/>
    <x v="9"/>
  </r>
  <r>
    <n v="2026"/>
    <n v="1"/>
    <s v="06-01-2026"/>
    <n v="10327"/>
    <s v="1104-01"/>
    <n v="0"/>
    <n v="30000"/>
    <s v="Centralización recaudaciones enero 2026 #2183 - #2183"/>
    <n v="-30000"/>
    <s v="Activo"/>
    <n v="-30000"/>
    <x v="9"/>
  </r>
  <r>
    <n v="2026"/>
    <n v="1"/>
    <s v="06-01-2026"/>
    <n v="10338"/>
    <s v="1104-01"/>
    <n v="0"/>
    <n v="119980"/>
    <s v="Centralización recaudaciones enero 2026 #2194 - #2194"/>
    <n v="-119980"/>
    <s v="Activo"/>
    <n v="-119980"/>
    <x v="9"/>
  </r>
  <r>
    <n v="2026"/>
    <n v="1"/>
    <s v="06-01-2026"/>
    <n v="10366"/>
    <s v="1104-01"/>
    <n v="0"/>
    <n v="429427"/>
    <s v="Centralización recaudaciones enero 2026 #2222 - #2222"/>
    <n v="-429427"/>
    <s v="Activo"/>
    <n v="-429427"/>
    <x v="9"/>
  </r>
  <r>
    <n v="2026"/>
    <n v="1"/>
    <s v="06-01-2026"/>
    <n v="10381"/>
    <s v="1104-01"/>
    <n v="0"/>
    <n v="74980"/>
    <s v="Centralización recaudaciones enero 2026 #2237 - #2237"/>
    <n v="-74980"/>
    <s v="Activo"/>
    <n v="-74980"/>
    <x v="9"/>
  </r>
  <r>
    <n v="2026"/>
    <n v="1"/>
    <s v="06-01-2026"/>
    <n v="10409"/>
    <s v="1104-01"/>
    <n v="0"/>
    <n v="320462"/>
    <s v="Centralización recaudaciones enero 2026 #2265 - #2265"/>
    <n v="-320462"/>
    <s v="Activo"/>
    <n v="-320462"/>
    <x v="9"/>
  </r>
  <r>
    <n v="2026"/>
    <n v="1"/>
    <s v="06-01-2026"/>
    <n v="10410"/>
    <s v="1104-01"/>
    <n v="0"/>
    <n v="320462"/>
    <s v="Centralización recaudaciones enero 2026 #2266 - #2266"/>
    <n v="-320462"/>
    <s v="Activo"/>
    <n v="-320462"/>
    <x v="9"/>
  </r>
  <r>
    <n v="2026"/>
    <n v="1"/>
    <s v="06-01-2026"/>
    <n v="10457"/>
    <s v="1104-01"/>
    <n v="0"/>
    <n v="245970"/>
    <s v="Centralización recaudaciones enero 2026 #2313 - #2313"/>
    <n v="-245970"/>
    <s v="Activo"/>
    <n v="-245970"/>
    <x v="9"/>
  </r>
  <r>
    <n v="2026"/>
    <n v="1"/>
    <s v="06-01-2026"/>
    <n v="10458"/>
    <s v="1104-01"/>
    <n v="0"/>
    <n v="17990"/>
    <s v="Centralización recaudaciones enero 2026 #2314 - #2314"/>
    <n v="-17990"/>
    <s v="Activo"/>
    <n v="-17990"/>
    <x v="9"/>
  </r>
  <r>
    <n v="2026"/>
    <n v="1"/>
    <s v="06-01-2026"/>
    <n v="10459"/>
    <s v="1104-01"/>
    <n v="0"/>
    <n v="29990"/>
    <s v="Centralización recaudaciones enero 2026 #2315 - #2315"/>
    <n v="-29990"/>
    <s v="Activo"/>
    <n v="-29990"/>
    <x v="9"/>
  </r>
  <r>
    <n v="2026"/>
    <n v="1"/>
    <s v="06-01-2026"/>
    <n v="10479"/>
    <s v="1104-01"/>
    <n v="0"/>
    <n v="15357"/>
    <s v="Soc de transportes c f limitada"/>
    <n v="-15357"/>
    <s v="Activo"/>
    <n v="-15357"/>
    <x v="9"/>
  </r>
  <r>
    <n v="2026"/>
    <n v="1"/>
    <s v="06-01-2026"/>
    <n v="10479"/>
    <s v="1104-01"/>
    <n v="0"/>
    <n v="14643"/>
    <s v="Ingeniería y construcción fernandez spa"/>
    <n v="-14643"/>
    <s v="Activo"/>
    <n v="-14643"/>
    <x v="9"/>
  </r>
  <r>
    <n v="2026"/>
    <n v="1"/>
    <s v="06-01-2026"/>
    <n v="10479"/>
    <s v="1104-01"/>
    <n v="0"/>
    <n v="23377"/>
    <s v="Rodolfo alberto zahlhaas labarca"/>
    <n v="-23377"/>
    <s v="Activo"/>
    <n v="-23377"/>
    <x v="9"/>
  </r>
  <r>
    <n v="2026"/>
    <n v="1"/>
    <s v="06-01-2026"/>
    <n v="10479"/>
    <s v="1104-01"/>
    <n v="0"/>
    <n v="5613"/>
    <s v="Soc de transportes c f limitada"/>
    <n v="-5613"/>
    <s v="Activo"/>
    <n v="-5613"/>
    <x v="9"/>
  </r>
  <r>
    <n v="2026"/>
    <n v="1"/>
    <s v="06-01-2026"/>
    <n v="10479"/>
    <s v="1104-01"/>
    <n v="0"/>
    <n v="357"/>
    <s v="La chacrita spa"/>
    <n v="-357"/>
    <s v="Activo"/>
    <n v="-357"/>
    <x v="9"/>
  </r>
  <r>
    <n v="2026"/>
    <n v="1"/>
    <s v="06-01-2026"/>
    <n v="10479"/>
    <s v="1104-01"/>
    <n v="0"/>
    <n v="28633"/>
    <s v="Rodolfo alberto zahlhaas labarca"/>
    <n v="-28633"/>
    <s v="Activo"/>
    <n v="-28633"/>
    <x v="9"/>
  </r>
  <r>
    <n v="2026"/>
    <n v="1"/>
    <s v="06-01-2026"/>
    <n v="10479"/>
    <s v="1104-01"/>
    <n v="0"/>
    <n v="39466"/>
    <s v="Distribuidora cristian luna spa"/>
    <n v="-39466"/>
    <s v="Activo"/>
    <n v="-39466"/>
    <x v="9"/>
  </r>
  <r>
    <n v="2026"/>
    <n v="1"/>
    <s v="06-01-2026"/>
    <n v="10479"/>
    <s v="1104-01"/>
    <n v="0"/>
    <n v="20534"/>
    <s v="La chacrita spa"/>
    <n v="-20534"/>
    <s v="Activo"/>
    <n v="-20534"/>
    <x v="9"/>
  </r>
  <r>
    <n v="2026"/>
    <n v="1"/>
    <s v="06-01-2026"/>
    <n v="10479"/>
    <s v="1104-01"/>
    <n v="0"/>
    <n v="31473"/>
    <s v="Sociedad inmobiliaria, comercial y de servicios lopez caceres limitada"/>
    <n v="-31473"/>
    <s v="Activo"/>
    <n v="-31473"/>
    <x v="9"/>
  </r>
  <r>
    <n v="2026"/>
    <n v="1"/>
    <s v="06-01-2026"/>
    <n v="10479"/>
    <s v="1104-01"/>
    <n v="0"/>
    <n v="1030"/>
    <s v="Exportadores del agro s a"/>
    <n v="-1030"/>
    <s v="Activo"/>
    <n v="-1030"/>
    <x v="9"/>
  </r>
  <r>
    <n v="2026"/>
    <n v="1"/>
    <s v="06-01-2026"/>
    <n v="10479"/>
    <s v="1104-01"/>
    <n v="0"/>
    <n v="1487"/>
    <s v="Distribuidora cristian luna spa"/>
    <n v="-1487"/>
    <s v="Activo"/>
    <n v="-1487"/>
    <x v="9"/>
  </r>
  <r>
    <n v="2026"/>
    <n v="1"/>
    <s v="06-01-2026"/>
    <n v="10479"/>
    <s v="1104-01"/>
    <n v="0"/>
    <n v="20000"/>
    <s v="Casanova y havelange consulting compania limitada"/>
    <n v="-20000"/>
    <s v="Activo"/>
    <n v="-20000"/>
    <x v="9"/>
  </r>
  <r>
    <n v="2026"/>
    <n v="1"/>
    <s v="06-01-2026"/>
    <n v="10479"/>
    <s v="1104-01"/>
    <n v="0"/>
    <n v="14000"/>
    <s v="Sociedad inmobiliaria, comercial y de servicios lopez caceres limitada"/>
    <n v="-14000"/>
    <s v="Activo"/>
    <n v="-14000"/>
    <x v="9"/>
  </r>
  <r>
    <n v="2026"/>
    <n v="1"/>
    <s v="06-01-2026"/>
    <n v="10479"/>
    <s v="1104-01"/>
    <n v="0"/>
    <n v="224863"/>
    <s v="Corp municipal de desarrollo social de calera de tango"/>
    <n v="-224863"/>
    <s v="Activo"/>
    <n v="-224863"/>
    <x v="9"/>
  </r>
  <r>
    <n v="2026"/>
    <n v="1"/>
    <s v="06-01-2026"/>
    <n v="10479"/>
    <s v="1104-01"/>
    <n v="0"/>
    <n v="30000"/>
    <s v="Corp municipal de desarrollo social de calera de tango"/>
    <n v="-30000"/>
    <s v="Activo"/>
    <n v="-30000"/>
    <x v="9"/>
  </r>
  <r>
    <n v="2026"/>
    <n v="1"/>
    <s v="06-01-2026"/>
    <n v="10479"/>
    <s v="1104-01"/>
    <n v="0"/>
    <n v="30000"/>
    <s v="Corp municipal de desarrollo social de calera de tango"/>
    <n v="-30000"/>
    <s v="Activo"/>
    <n v="-30000"/>
    <x v="9"/>
  </r>
  <r>
    <n v="2026"/>
    <n v="1"/>
    <s v="06-01-2026"/>
    <n v="10479"/>
    <s v="1104-01"/>
    <n v="0"/>
    <n v="30000"/>
    <s v="Corp municipal de desarrollo social de calera de tango"/>
    <n v="-30000"/>
    <s v="Activo"/>
    <n v="-30000"/>
    <x v="9"/>
  </r>
  <r>
    <n v="2026"/>
    <n v="1"/>
    <s v="06-01-2026"/>
    <n v="10479"/>
    <s v="1104-01"/>
    <n v="0"/>
    <n v="30000"/>
    <s v="Corp municipal de desarrollo social de calera de tango"/>
    <n v="-30000"/>
    <s v="Activo"/>
    <n v="-30000"/>
    <x v="9"/>
  </r>
  <r>
    <n v="2026"/>
    <n v="1"/>
    <s v="06-01-2026"/>
    <n v="10479"/>
    <s v="1104-01"/>
    <n v="0"/>
    <n v="30000"/>
    <s v="Corp municipal de desarrollo social de calera de tango"/>
    <n v="-30000"/>
    <s v="Activo"/>
    <n v="-30000"/>
    <x v="9"/>
  </r>
  <r>
    <n v="2026"/>
    <n v="1"/>
    <s v="06-01-2026"/>
    <n v="10479"/>
    <s v="1104-01"/>
    <n v="0"/>
    <n v="4611"/>
    <s v="Olivares - zolezzi y cia. spa"/>
    <n v="-4611"/>
    <s v="Activo"/>
    <n v="-4611"/>
    <x v="9"/>
  </r>
  <r>
    <n v="2026"/>
    <n v="1"/>
    <s v="06-01-2026"/>
    <n v="10479"/>
    <s v="1104-01"/>
    <n v="0"/>
    <n v="389"/>
    <s v="Sociedad médica torres vega spa"/>
    <n v="-389"/>
    <s v="Activo"/>
    <n v="-389"/>
    <x v="9"/>
  </r>
  <r>
    <n v="2026"/>
    <n v="1"/>
    <s v="06-01-2026"/>
    <n v="10479"/>
    <s v="1104-01"/>
    <n v="0"/>
    <n v="8591"/>
    <s v="Caranto spa"/>
    <n v="-8591"/>
    <s v="Activo"/>
    <n v="-8591"/>
    <x v="9"/>
  </r>
  <r>
    <n v="2026"/>
    <n v="1"/>
    <s v="06-01-2026"/>
    <n v="10479"/>
    <s v="1104-01"/>
    <n v="0"/>
    <n v="35389"/>
    <s v="Olivares - zolezzi y cia. spa"/>
    <n v="-35389"/>
    <s v="Activo"/>
    <n v="-35389"/>
    <x v="9"/>
  </r>
  <r>
    <n v="2026"/>
    <n v="1"/>
    <s v="06-01-2026"/>
    <n v="10480"/>
    <s v="1104-01"/>
    <n v="0"/>
    <n v="28591"/>
    <s v="Comercializadora de productos de iluminacion ilumina limitada"/>
    <n v="-28591"/>
    <s v="Activo"/>
    <n v="-28591"/>
    <x v="9"/>
  </r>
  <r>
    <n v="2026"/>
    <n v="1"/>
    <s v="06-01-2026"/>
    <n v="10480"/>
    <s v="1104-01"/>
    <n v="0"/>
    <n v="1409"/>
    <s v="Caranto spa"/>
    <n v="-1409"/>
    <s v="Activo"/>
    <n v="-1409"/>
    <x v="9"/>
  </r>
  <r>
    <n v="2026"/>
    <n v="1"/>
    <s v="06-01-2026"/>
    <n v="10480"/>
    <s v="1104-01"/>
    <n v="0"/>
    <n v="62581"/>
    <s v="Frigorifico talagante spa"/>
    <n v="-62581"/>
    <s v="Activo"/>
    <n v="-62581"/>
    <x v="9"/>
  </r>
  <r>
    <n v="2026"/>
    <n v="1"/>
    <s v="06-01-2026"/>
    <n v="10480"/>
    <s v="1104-01"/>
    <n v="0"/>
    <n v="1399"/>
    <s v="Comercializadora de productos de iluminacion ilumina limitada"/>
    <n v="-1399"/>
    <s v="Activo"/>
    <n v="-1399"/>
    <x v="9"/>
  </r>
  <r>
    <n v="2026"/>
    <n v="1"/>
    <s v="06-01-2026"/>
    <n v="10480"/>
    <s v="1104-01"/>
    <n v="0"/>
    <n v="15611"/>
    <s v="Complejo turistico las palmeras s a"/>
    <n v="-15611"/>
    <s v="Activo"/>
    <n v="-15611"/>
    <x v="9"/>
  </r>
  <r>
    <n v="2026"/>
    <n v="1"/>
    <s v="06-01-2026"/>
    <n v="10480"/>
    <s v="1104-01"/>
    <n v="0"/>
    <n v="34389"/>
    <s v="Frigorifico talagante spa"/>
    <n v="-34389"/>
    <s v="Activo"/>
    <n v="-34389"/>
    <x v="9"/>
  </r>
  <r>
    <n v="2026"/>
    <n v="1"/>
    <s v="06-01-2026"/>
    <n v="10480"/>
    <s v="1104-01"/>
    <n v="0"/>
    <n v="155000"/>
    <s v="Corporacion municipal del arte y la cultura de talagante"/>
    <n v="-155000"/>
    <s v="Activo"/>
    <n v="-155000"/>
    <x v="9"/>
  </r>
  <r>
    <n v="2026"/>
    <n v="1"/>
    <s v="06-01-2026"/>
    <n v="10480"/>
    <s v="1104-01"/>
    <n v="0"/>
    <n v="15541"/>
    <s v="Christopher jaroslaw mena moreno"/>
    <n v="-15541"/>
    <s v="Activo"/>
    <n v="-15541"/>
    <x v="9"/>
  </r>
  <r>
    <n v="2026"/>
    <n v="1"/>
    <s v="06-01-2026"/>
    <n v="10480"/>
    <s v="1104-01"/>
    <n v="0"/>
    <n v="29990"/>
    <s v="Asesorias y diseno solange massu massu e.i.r.l."/>
    <n v="-29990"/>
    <s v="Activo"/>
    <n v="-29990"/>
    <x v="9"/>
  </r>
  <r>
    <n v="2026"/>
    <n v="1"/>
    <s v="06-01-2026"/>
    <n v="10480"/>
    <s v="1104-01"/>
    <n v="0"/>
    <n v="44369"/>
    <s v="Complejo turistico las palmeras s a"/>
    <n v="-44369"/>
    <s v="Activo"/>
    <n v="-44369"/>
    <x v="9"/>
  </r>
  <r>
    <n v="2026"/>
    <n v="1"/>
    <s v="07-01-2026"/>
    <n v="10037"/>
    <s v="1104-01"/>
    <n v="0"/>
    <n v="21121238"/>
    <s v="0966893109 abn crd db tran transba"/>
    <n v="-21121238"/>
    <s v="Activo"/>
    <n v="-21121238"/>
    <x v="9"/>
  </r>
  <r>
    <n v="2026"/>
    <n v="1"/>
    <s v="07-01-2026"/>
    <n v="10038"/>
    <s v="1104-01"/>
    <n v="0"/>
    <n v="250890"/>
    <s v="0761872877 transf. khipu spa"/>
    <n v="-250890"/>
    <s v="Activo"/>
    <n v="-250890"/>
    <x v="9"/>
  </r>
  <r>
    <n v="2026"/>
    <n v="1"/>
    <s v="07-01-2026"/>
    <n v="10238"/>
    <s v="1104-01"/>
    <n v="0"/>
    <n v="55990"/>
    <s v="Centralización recaudaciones enero 2026 #2094 - #2094"/>
    <n v="-55990"/>
    <s v="Activo"/>
    <n v="-55990"/>
    <x v="9"/>
  </r>
  <r>
    <n v="2026"/>
    <n v="1"/>
    <s v="07-01-2026"/>
    <n v="10246"/>
    <s v="1104-01"/>
    <n v="0"/>
    <n v="34000"/>
    <s v="Centralización recaudaciones enero 2026 #2102 - #2102"/>
    <n v="-34000"/>
    <s v="Activo"/>
    <n v="-34000"/>
    <x v="9"/>
  </r>
  <r>
    <n v="2026"/>
    <n v="1"/>
    <s v="07-01-2026"/>
    <n v="10370"/>
    <s v="1104-01"/>
    <n v="0"/>
    <n v="112729"/>
    <s v="Centralización recaudaciones enero 2026 #2226 - #2226"/>
    <n v="-112729"/>
    <s v="Activo"/>
    <n v="-112729"/>
    <x v="9"/>
  </r>
  <r>
    <n v="2026"/>
    <n v="1"/>
    <s v="07-01-2026"/>
    <n v="10481"/>
    <s v="1104-01"/>
    <n v="0"/>
    <n v="15551"/>
    <s v="Servicios adv transport ltda"/>
    <n v="-15551"/>
    <s v="Activo"/>
    <n v="-15551"/>
    <x v="9"/>
  </r>
  <r>
    <n v="2026"/>
    <n v="1"/>
    <s v="07-01-2026"/>
    <n v="10481"/>
    <s v="1104-01"/>
    <n v="0"/>
    <n v="14449"/>
    <s v="Christopher jaroslaw mena moreno"/>
    <n v="-14449"/>
    <s v="Activo"/>
    <n v="-14449"/>
    <x v="9"/>
  </r>
  <r>
    <n v="2026"/>
    <n v="1"/>
    <s v="07-01-2026"/>
    <n v="10481"/>
    <s v="1104-01"/>
    <n v="0"/>
    <n v="27551"/>
    <s v="Exportafresh spa"/>
    <n v="-27551"/>
    <s v="Activo"/>
    <n v="-27551"/>
    <x v="9"/>
  </r>
  <r>
    <n v="2026"/>
    <n v="1"/>
    <s v="07-01-2026"/>
    <n v="10481"/>
    <s v="1104-01"/>
    <n v="0"/>
    <n v="22449"/>
    <s v="Servicios adv transport ltda"/>
    <n v="-22449"/>
    <s v="Activo"/>
    <n v="-22449"/>
    <x v="9"/>
  </r>
  <r>
    <n v="2026"/>
    <n v="1"/>
    <s v="07-01-2026"/>
    <n v="10481"/>
    <s v="1104-01"/>
    <n v="0"/>
    <n v="7201"/>
    <s v="Jessica gabriela mena daza venta de alimento de mascotas y animales e.i.r.l."/>
    <n v="-7201"/>
    <s v="Activo"/>
    <n v="-7201"/>
    <x v="9"/>
  </r>
  <r>
    <n v="2026"/>
    <n v="1"/>
    <s v="07-01-2026"/>
    <n v="10481"/>
    <s v="1104-01"/>
    <n v="0"/>
    <n v="5790"/>
    <s v="Victor jorge sepulveda correa"/>
    <n v="-5790"/>
    <s v="Activo"/>
    <n v="-5790"/>
    <x v="9"/>
  </r>
  <r>
    <n v="2026"/>
    <n v="1"/>
    <s v="07-01-2026"/>
    <n v="10481"/>
    <s v="1104-01"/>
    <n v="0"/>
    <n v="7704"/>
    <s v="Odontologica talagante limitada"/>
    <n v="-7704"/>
    <s v="Activo"/>
    <n v="-7704"/>
    <x v="9"/>
  </r>
  <r>
    <n v="2026"/>
    <n v="1"/>
    <s v="07-01-2026"/>
    <n v="10481"/>
    <s v="1104-01"/>
    <n v="0"/>
    <n v="12789"/>
    <s v="Jessica gabriela mena daza venta de alimento de mascotas y animales e.i.r.l."/>
    <n v="-12789"/>
    <s v="Activo"/>
    <n v="-12789"/>
    <x v="9"/>
  </r>
  <r>
    <n v="2026"/>
    <n v="1"/>
    <s v="07-01-2026"/>
    <n v="10481"/>
    <s v="1104-01"/>
    <n v="0"/>
    <n v="2714"/>
    <s v="Javier alfredo opazo salinas"/>
    <n v="-2714"/>
    <s v="Activo"/>
    <n v="-2714"/>
    <x v="9"/>
  </r>
  <r>
    <n v="2026"/>
    <n v="1"/>
    <s v="07-01-2026"/>
    <n v="10481"/>
    <s v="1104-01"/>
    <n v="0"/>
    <n v="12286"/>
    <s v="Odontologica talagante limitada"/>
    <n v="-12286"/>
    <s v="Activo"/>
    <n v="-12286"/>
    <x v="9"/>
  </r>
  <r>
    <n v="2026"/>
    <n v="1"/>
    <s v="07-01-2026"/>
    <n v="10481"/>
    <s v="1104-01"/>
    <n v="0"/>
    <n v="2995468"/>
    <s v="Invinsa central bodegas spa"/>
    <n v="-2995468"/>
    <s v="Activo"/>
    <n v="-2995468"/>
    <x v="9"/>
  </r>
  <r>
    <n v="2026"/>
    <n v="1"/>
    <s v="07-01-2026"/>
    <n v="10481"/>
    <s v="1104-01"/>
    <n v="0"/>
    <n v="199"/>
    <s v="Maestranza oscar oviedo y cia ltda"/>
    <n v="-199"/>
    <s v="Activo"/>
    <n v="-199"/>
    <x v="9"/>
  </r>
  <r>
    <n v="2026"/>
    <n v="1"/>
    <s v="08-01-2026"/>
    <n v="10039"/>
    <s v="1104-01"/>
    <n v="0"/>
    <n v="3800914"/>
    <s v="0966893109 abn crd db tran transba"/>
    <n v="-3800914"/>
    <s v="Activo"/>
    <n v="-3800914"/>
    <x v="9"/>
  </r>
  <r>
    <n v="2026"/>
    <n v="1"/>
    <s v="08-01-2026"/>
    <n v="10040"/>
    <s v="1104-01"/>
    <n v="0"/>
    <n v="515360"/>
    <s v="0761872877 transf. khipu spa"/>
    <n v="-515360"/>
    <s v="Activo"/>
    <n v="-515360"/>
    <x v="9"/>
  </r>
  <r>
    <n v="2026"/>
    <n v="1"/>
    <s v="08-01-2026"/>
    <n v="10348"/>
    <s v="1104-01"/>
    <n v="0"/>
    <n v="29990"/>
    <s v="Centralización recaudaciones enero 2026 #2204 - #2204"/>
    <n v="-29990"/>
    <s v="Activo"/>
    <n v="-29990"/>
    <x v="9"/>
  </r>
  <r>
    <n v="2026"/>
    <n v="1"/>
    <s v="08-01-2026"/>
    <n v="10482"/>
    <s v="1104-01"/>
    <n v="0"/>
    <n v="294"/>
    <s v="Maestranza oscar oviedo y cia ltda"/>
    <n v="-294"/>
    <s v="Activo"/>
    <n v="-294"/>
    <x v="9"/>
  </r>
  <r>
    <n v="2026"/>
    <n v="1"/>
    <s v="08-01-2026"/>
    <n v="10482"/>
    <s v="1104-01"/>
    <n v="0"/>
    <n v="14200"/>
    <s v="Victor jorge sepulveda correa"/>
    <n v="-14200"/>
    <s v="Activo"/>
    <n v="-14200"/>
    <x v="9"/>
  </r>
  <r>
    <n v="2026"/>
    <n v="1"/>
    <s v="08-01-2026"/>
    <n v="10482"/>
    <s v="1104-01"/>
    <n v="0"/>
    <n v="15506"/>
    <s v="Maria paz numhauser costa"/>
    <n v="-15506"/>
    <s v="Activo"/>
    <n v="-15506"/>
    <x v="9"/>
  </r>
  <r>
    <n v="2026"/>
    <n v="1"/>
    <s v="08-01-2026"/>
    <n v="10482"/>
    <s v="1104-01"/>
    <n v="0"/>
    <n v="29990"/>
    <s v="Victor segundo moreno bahamondes"/>
    <n v="-29990"/>
    <s v="Activo"/>
    <n v="-29990"/>
    <x v="9"/>
  </r>
  <r>
    <n v="2026"/>
    <n v="1"/>
    <s v="08-01-2026"/>
    <n v="10482"/>
    <s v="1104-01"/>
    <n v="0"/>
    <n v="10"/>
    <s v="Maria paz numhauser costa"/>
    <n v="-10"/>
    <s v="Activo"/>
    <n v="-10"/>
    <x v="9"/>
  </r>
  <r>
    <n v="2026"/>
    <n v="1"/>
    <s v="08-01-2026"/>
    <n v="10482"/>
    <s v="1104-01"/>
    <n v="0"/>
    <n v="29990"/>
    <s v="Hvm inversiones spa"/>
    <n v="-29990"/>
    <s v="Activo"/>
    <n v="-29990"/>
    <x v="9"/>
  </r>
  <r>
    <n v="2026"/>
    <n v="1"/>
    <s v="08-01-2026"/>
    <n v="10482"/>
    <s v="1104-01"/>
    <n v="0"/>
    <n v="10"/>
    <s v="Maria paz numhauser costa"/>
    <n v="-10"/>
    <s v="Activo"/>
    <n v="-10"/>
    <x v="9"/>
  </r>
  <r>
    <n v="2026"/>
    <n v="1"/>
    <s v="09-01-2026"/>
    <n v="10041"/>
    <s v="1104-01"/>
    <n v="0"/>
    <n v="1257432"/>
    <s v="0966893109 abn crd db tran transba"/>
    <n v="-1257432"/>
    <s v="Activo"/>
    <n v="-1257432"/>
    <x v="9"/>
  </r>
  <r>
    <n v="2026"/>
    <n v="1"/>
    <s v="09-01-2026"/>
    <n v="10346"/>
    <s v="1104-01"/>
    <n v="0"/>
    <n v="19487"/>
    <s v="Centralización recaudaciones enero 2026 #2202 - #2202"/>
    <n v="-19487"/>
    <s v="Activo"/>
    <n v="-19487"/>
    <x v="9"/>
  </r>
  <r>
    <n v="2026"/>
    <n v="1"/>
    <s v="09-01-2026"/>
    <n v="10417"/>
    <s v="1104-01"/>
    <n v="0"/>
    <n v="613286"/>
    <s v="Centralización recaudaciones enero 2026 #2273 - #2273"/>
    <n v="-613286"/>
    <s v="Activo"/>
    <n v="-613286"/>
    <x v="9"/>
  </r>
  <r>
    <n v="2026"/>
    <n v="1"/>
    <s v="09-01-2026"/>
    <n v="10437"/>
    <s v="1104-01"/>
    <n v="0"/>
    <n v="520000"/>
    <s v="Centralización recaudaciones enero 2026 #2293 - #2293"/>
    <n v="-520000"/>
    <s v="Activo"/>
    <n v="-520000"/>
    <x v="9"/>
  </r>
  <r>
    <n v="2026"/>
    <n v="1"/>
    <s v="09-01-2026"/>
    <n v="10438"/>
    <s v="1104-01"/>
    <n v="0"/>
    <n v="520000"/>
    <s v="Centralización recaudaciones enero 2026 #2294 - #2294"/>
    <n v="-520000"/>
    <s v="Activo"/>
    <n v="-520000"/>
    <x v="9"/>
  </r>
  <r>
    <n v="2026"/>
    <n v="1"/>
    <s v="09-01-2026"/>
    <n v="10440"/>
    <s v="1104-01"/>
    <n v="0"/>
    <n v="520000"/>
    <s v="Centralización recaudaciones enero 2026 #2296 - #2296"/>
    <n v="-520000"/>
    <s v="Activo"/>
    <n v="-520000"/>
    <x v="9"/>
  </r>
  <r>
    <n v="2026"/>
    <n v="1"/>
    <s v="09-01-2026"/>
    <n v="10451"/>
    <s v="1104-01"/>
    <n v="0"/>
    <n v="849186"/>
    <s v="Centralización recaudaciones enero 2026 #2307 - #2307"/>
    <n v="-849186"/>
    <s v="Activo"/>
    <n v="-849186"/>
    <x v="9"/>
  </r>
  <r>
    <n v="2026"/>
    <n v="1"/>
    <s v="12-01-2026"/>
    <n v="10042"/>
    <s v="1104-01"/>
    <n v="0"/>
    <n v="1010683"/>
    <s v="0966893109 abn crd db tran transba"/>
    <n v="-1010683"/>
    <s v="Activo"/>
    <n v="-1010683"/>
    <x v="9"/>
  </r>
  <r>
    <n v="2026"/>
    <n v="1"/>
    <s v="12-01-2026"/>
    <n v="10043"/>
    <s v="1104-01"/>
    <n v="0"/>
    <n v="62733"/>
    <s v="0761872877 transf. khipu spa"/>
    <n v="-62733"/>
    <s v="Activo"/>
    <n v="-62733"/>
    <x v="9"/>
  </r>
  <r>
    <n v="2026"/>
    <n v="1"/>
    <s v="12-01-2026"/>
    <n v="10241"/>
    <s v="1104-01"/>
    <n v="0"/>
    <n v="58000"/>
    <s v="Centralización recaudaciones enero 2026 #2097 - #2097"/>
    <n v="-58000"/>
    <s v="Activo"/>
    <n v="-58000"/>
    <x v="9"/>
  </r>
  <r>
    <n v="2026"/>
    <n v="1"/>
    <s v="12-01-2026"/>
    <n v="10336"/>
    <s v="1104-01"/>
    <n v="0"/>
    <n v="13000"/>
    <s v="Centralización recaudaciones enero 2026 #2192 - #2192"/>
    <n v="-13000"/>
    <s v="Activo"/>
    <n v="-13000"/>
    <x v="9"/>
  </r>
  <r>
    <n v="2026"/>
    <n v="1"/>
    <s v="12-01-2026"/>
    <n v="10355"/>
    <s v="1104-01"/>
    <n v="0"/>
    <n v="40000"/>
    <s v="Centralización recaudaciones enero 2026 #2211 - #2211"/>
    <n v="-40000"/>
    <s v="Activo"/>
    <n v="-40000"/>
    <x v="9"/>
  </r>
  <r>
    <n v="2026"/>
    <n v="1"/>
    <s v="12-01-2026"/>
    <n v="10382"/>
    <s v="1104-01"/>
    <n v="0"/>
    <n v="113222"/>
    <s v="Centralización recaudaciones enero 2026 #2238 - #2238"/>
    <n v="-113222"/>
    <s v="Activo"/>
    <n v="-113222"/>
    <x v="9"/>
  </r>
  <r>
    <n v="2026"/>
    <n v="1"/>
    <s v="12-01-2026"/>
    <n v="10391"/>
    <s v="1104-01"/>
    <n v="0"/>
    <n v="1597807"/>
    <s v="Centralización recaudaciones enero 2026 #2247 - #2247"/>
    <n v="-1597807"/>
    <s v="Activo"/>
    <n v="-1597807"/>
    <x v="9"/>
  </r>
  <r>
    <n v="2026"/>
    <n v="1"/>
    <s v="12-01-2026"/>
    <n v="10401"/>
    <s v="1104-01"/>
    <n v="0"/>
    <n v="40000"/>
    <s v="Centralización recaudaciones enero 2026 #2257 - #2257"/>
    <n v="-40000"/>
    <s v="Activo"/>
    <n v="-40000"/>
    <x v="9"/>
  </r>
  <r>
    <n v="2026"/>
    <n v="1"/>
    <s v="12-01-2026"/>
    <n v="10407"/>
    <s v="1104-01"/>
    <n v="0"/>
    <n v="14990"/>
    <s v="Centralización recaudaciones enero 2026 #2263 - #2263"/>
    <n v="-14990"/>
    <s v="Activo"/>
    <n v="-14990"/>
    <x v="9"/>
  </r>
  <r>
    <n v="2026"/>
    <n v="1"/>
    <s v="12-01-2026"/>
    <n v="10483"/>
    <s v="1104-01"/>
    <n v="0"/>
    <n v="503"/>
    <s v="Inmobiliaria quillay grande limitada"/>
    <n v="-503"/>
    <s v="Activo"/>
    <n v="-503"/>
    <x v="9"/>
  </r>
  <r>
    <n v="2026"/>
    <n v="1"/>
    <s v="12-01-2026"/>
    <n v="10483"/>
    <s v="1104-01"/>
    <n v="0"/>
    <n v="4464"/>
    <s v="Maria paz numhauser costa"/>
    <n v="-4464"/>
    <s v="Activo"/>
    <n v="-4464"/>
    <x v="9"/>
  </r>
  <r>
    <n v="2026"/>
    <n v="1"/>
    <s v="12-01-2026"/>
    <n v="10483"/>
    <s v="1104-01"/>
    <n v="0"/>
    <n v="19990"/>
    <s v="Centro de estética salón twins alonso flores e.i.r.l."/>
    <n v="-19990"/>
    <s v="Activo"/>
    <n v="-19990"/>
    <x v="9"/>
  </r>
  <r>
    <n v="2026"/>
    <n v="1"/>
    <s v="12-01-2026"/>
    <n v="10483"/>
    <s v="1104-01"/>
    <n v="0"/>
    <n v="5043"/>
    <s v="Popular farma spa"/>
    <n v="-5043"/>
    <s v="Activo"/>
    <n v="-5043"/>
    <x v="9"/>
  </r>
  <r>
    <n v="2026"/>
    <n v="1"/>
    <s v="12-01-2026"/>
    <n v="10483"/>
    <s v="1104-01"/>
    <n v="0"/>
    <n v="1947"/>
    <s v="Popular farma spa"/>
    <n v="-1947"/>
    <s v="Activo"/>
    <n v="-1947"/>
    <x v="9"/>
  </r>
  <r>
    <n v="2026"/>
    <n v="1"/>
    <s v="12-01-2026"/>
    <n v="10483"/>
    <s v="1104-01"/>
    <n v="0"/>
    <n v="5000"/>
    <s v="Idelab spa"/>
    <n v="-5000"/>
    <s v="Activo"/>
    <n v="-5000"/>
    <x v="9"/>
  </r>
  <r>
    <n v="2026"/>
    <n v="1"/>
    <s v="12-01-2026"/>
    <n v="10483"/>
    <s v="1104-01"/>
    <n v="0"/>
    <n v="8043"/>
    <s v="Guillermo del transito morales villa"/>
    <n v="-8043"/>
    <s v="Activo"/>
    <n v="-8043"/>
    <x v="9"/>
  </r>
  <r>
    <n v="2026"/>
    <n v="1"/>
    <s v="13-01-2026"/>
    <n v="10044"/>
    <s v="1104-01"/>
    <n v="0"/>
    <n v="2154142"/>
    <s v="0966893109 abn crd db tran transba"/>
    <n v="-2154142"/>
    <s v="Activo"/>
    <n v="-2154142"/>
    <x v="9"/>
  </r>
  <r>
    <n v="2026"/>
    <n v="1"/>
    <s v="13-01-2026"/>
    <n v="10045"/>
    <s v="1104-01"/>
    <n v="0"/>
    <n v="63219"/>
    <s v="0761872877 transf. khipu spa"/>
    <n v="-63219"/>
    <s v="Activo"/>
    <n v="-63219"/>
    <x v="9"/>
  </r>
  <r>
    <n v="2026"/>
    <n v="1"/>
    <s v="14-01-2026"/>
    <n v="10046"/>
    <s v="1104-01"/>
    <n v="0"/>
    <n v="738844"/>
    <s v="0966893109 abn crd db tran transba"/>
    <n v="-738844"/>
    <s v="Activo"/>
    <n v="-738844"/>
    <x v="9"/>
  </r>
  <r>
    <n v="2026"/>
    <n v="1"/>
    <s v="15-01-2026"/>
    <n v="10047"/>
    <s v="1104-01"/>
    <n v="0"/>
    <n v="187450"/>
    <s v="0966893109 abn crd db tran transba"/>
    <n v="-187450"/>
    <s v="Activo"/>
    <n v="-187450"/>
    <x v="9"/>
  </r>
  <r>
    <n v="2026"/>
    <n v="1"/>
    <s v="16-01-2026"/>
    <n v="10050"/>
    <s v="1104-01"/>
    <n v="0"/>
    <n v="494844"/>
    <s v="0966893109 abn crd db tran transba"/>
    <n v="-494844"/>
    <s v="Activo"/>
    <n v="-494844"/>
    <x v="9"/>
  </r>
  <r>
    <n v="2026"/>
    <n v="1"/>
    <s v="16-01-2026"/>
    <n v="10051"/>
    <s v="1104-01"/>
    <n v="0"/>
    <n v="17776"/>
    <s v="0761872877 transf. khipu spa"/>
    <n v="-17776"/>
    <s v="Activo"/>
    <n v="-17776"/>
    <x v="9"/>
  </r>
  <r>
    <n v="2026"/>
    <n v="1"/>
    <s v="16-01-2026"/>
    <n v="10193"/>
    <s v="1104-01"/>
    <n v="0"/>
    <n v="39990"/>
    <s v="Centralización recaudaciones enero 2026 #2049 - #2049"/>
    <n v="-39990"/>
    <s v="Activo"/>
    <n v="-39990"/>
    <x v="9"/>
  </r>
  <r>
    <n v="2026"/>
    <n v="1"/>
    <s v="16-01-2026"/>
    <n v="10250"/>
    <s v="1104-01"/>
    <n v="0"/>
    <n v="200000"/>
    <s v="Centralización recaudaciones enero 2026 #2106 - #2106"/>
    <n v="-200000"/>
    <s v="Activo"/>
    <n v="-200000"/>
    <x v="9"/>
  </r>
  <r>
    <n v="2026"/>
    <n v="1"/>
    <s v="16-01-2026"/>
    <n v="10265"/>
    <s v="1104-01"/>
    <n v="0"/>
    <n v="118974"/>
    <s v="Centralización recaudaciones enero 2026 #2121 - #2121"/>
    <n v="-118974"/>
    <s v="Activo"/>
    <n v="-118974"/>
    <x v="9"/>
  </r>
  <r>
    <n v="2026"/>
    <n v="1"/>
    <s v="16-01-2026"/>
    <n v="10266"/>
    <s v="1104-01"/>
    <n v="0"/>
    <n v="118974"/>
    <s v="Centralización recaudaciones enero 2026 #2122 - #2122"/>
    <n v="-118974"/>
    <s v="Activo"/>
    <n v="-118974"/>
    <x v="9"/>
  </r>
  <r>
    <n v="2026"/>
    <n v="1"/>
    <s v="16-01-2026"/>
    <n v="10316"/>
    <s v="1104-01"/>
    <n v="0"/>
    <n v="283055"/>
    <s v="Centralización recaudaciones enero 2026 #2172 - #2172"/>
    <n v="-283055"/>
    <s v="Activo"/>
    <n v="-283055"/>
    <x v="9"/>
  </r>
  <r>
    <n v="2026"/>
    <n v="1"/>
    <s v="16-01-2026"/>
    <n v="10357"/>
    <s v="1104-01"/>
    <n v="0"/>
    <n v="330231"/>
    <s v="Centralización recaudaciones enero 2026 #2213 - #2213"/>
    <n v="-330231"/>
    <s v="Activo"/>
    <n v="-330231"/>
    <x v="9"/>
  </r>
  <r>
    <n v="2026"/>
    <n v="1"/>
    <s v="16-01-2026"/>
    <n v="10445"/>
    <s v="1104-01"/>
    <n v="0"/>
    <n v="2478886"/>
    <s v="Centralización recaudaciones enero 2026 #2301 - #2301"/>
    <n v="-2478886"/>
    <s v="Activo"/>
    <n v="-2478886"/>
    <x v="9"/>
  </r>
  <r>
    <n v="2026"/>
    <n v="1"/>
    <s v="16-01-2026"/>
    <n v="10484"/>
    <s v="1104-01"/>
    <n v="0"/>
    <n v="1937"/>
    <s v="Guillermo del transito morales villa"/>
    <n v="-1937"/>
    <s v="Activo"/>
    <n v="-1937"/>
    <x v="9"/>
  </r>
  <r>
    <n v="2026"/>
    <n v="1"/>
    <s v="16-01-2026"/>
    <n v="10484"/>
    <s v="1104-01"/>
    <n v="0"/>
    <n v="20063"/>
    <s v="Carola angelica silva alvarez"/>
    <n v="-20063"/>
    <s v="Activo"/>
    <n v="-20063"/>
    <x v="9"/>
  </r>
  <r>
    <n v="2026"/>
    <n v="1"/>
    <s v="16-01-2026"/>
    <n v="10484"/>
    <s v="1104-01"/>
    <n v="0"/>
    <n v="29990"/>
    <s v="Andrea shene de vidts"/>
    <n v="-29990"/>
    <s v="Activo"/>
    <n v="-29990"/>
    <x v="9"/>
  </r>
  <r>
    <n v="2026"/>
    <n v="1"/>
    <s v="16-01-2026"/>
    <n v="10484"/>
    <s v="1104-01"/>
    <n v="0"/>
    <n v="10010"/>
    <s v="Guillermo del transito morales villa"/>
    <n v="-10010"/>
    <s v="Activo"/>
    <n v="-10010"/>
    <x v="9"/>
  </r>
  <r>
    <n v="2026"/>
    <n v="1"/>
    <s v="16-01-2026"/>
    <n v="10484"/>
    <s v="1104-01"/>
    <n v="0"/>
    <n v="92281"/>
    <s v="Grupo zgh spa"/>
    <n v="-92281"/>
    <s v="Activo"/>
    <n v="-92281"/>
    <x v="9"/>
  </r>
  <r>
    <n v="2026"/>
    <n v="1"/>
    <s v="16-01-2026"/>
    <n v="10484"/>
    <s v="1104-01"/>
    <n v="0"/>
    <n v="1933480"/>
    <s v="Grupo zgh spa"/>
    <n v="-1933480"/>
    <s v="Activo"/>
    <n v="-1933480"/>
    <x v="9"/>
  </r>
  <r>
    <n v="2026"/>
    <n v="1"/>
    <s v="19-01-2026"/>
    <n v="10054"/>
    <s v="1104-01"/>
    <n v="0"/>
    <n v="545266"/>
    <s v="0761872877 transf. khipu spa"/>
    <n v="-545266"/>
    <s v="Activo"/>
    <n v="-545266"/>
    <x v="9"/>
  </r>
  <r>
    <n v="2026"/>
    <n v="1"/>
    <s v="19-01-2026"/>
    <n v="10055"/>
    <s v="1104-01"/>
    <n v="0"/>
    <n v="402209"/>
    <s v="0966893109 abn crd db tran transba"/>
    <n v="-402209"/>
    <s v="Activo"/>
    <n v="-402209"/>
    <x v="9"/>
  </r>
  <r>
    <n v="2026"/>
    <n v="1"/>
    <s v="19-01-2026"/>
    <n v="10204"/>
    <s v="1104-01"/>
    <n v="0"/>
    <n v="25990"/>
    <s v="Centralización recaudaciones enero 2026 #2060 - #2060"/>
    <n v="-25990"/>
    <s v="Activo"/>
    <n v="-25990"/>
    <x v="9"/>
  </r>
  <r>
    <n v="2026"/>
    <n v="1"/>
    <s v="19-01-2026"/>
    <n v="10225"/>
    <s v="1104-01"/>
    <n v="0"/>
    <n v="30000"/>
    <s v="Centralización recaudaciones enero 2026 #2081 - #2081"/>
    <n v="-30000"/>
    <s v="Activo"/>
    <n v="-30000"/>
    <x v="9"/>
  </r>
  <r>
    <n v="2026"/>
    <n v="1"/>
    <s v="19-01-2026"/>
    <n v="10226"/>
    <s v="1104-01"/>
    <n v="0"/>
    <n v="30000"/>
    <s v="Centralización recaudaciones enero 2026 #2082 - #2082"/>
    <n v="-30000"/>
    <s v="Activo"/>
    <n v="-30000"/>
    <x v="9"/>
  </r>
  <r>
    <n v="2026"/>
    <n v="1"/>
    <s v="19-01-2026"/>
    <n v="10234"/>
    <s v="1104-01"/>
    <n v="0"/>
    <n v="30000"/>
    <s v="Centralización recaudaciones enero 2026 #2090 - #2090"/>
    <n v="-30000"/>
    <s v="Activo"/>
    <n v="-30000"/>
    <x v="9"/>
  </r>
  <r>
    <n v="2026"/>
    <n v="1"/>
    <s v="19-01-2026"/>
    <n v="10253"/>
    <s v="1104-01"/>
    <n v="0"/>
    <n v="30000"/>
    <s v="Centralización recaudaciones enero 2026 #2109 - #2109"/>
    <n v="-30000"/>
    <s v="Activo"/>
    <n v="-30000"/>
    <x v="9"/>
  </r>
  <r>
    <n v="2026"/>
    <n v="1"/>
    <s v="19-01-2026"/>
    <n v="10259"/>
    <s v="1104-01"/>
    <n v="0"/>
    <n v="43990"/>
    <s v="Centralización recaudaciones enero 2026 #2115 - #2115"/>
    <n v="-43990"/>
    <s v="Activo"/>
    <n v="-43990"/>
    <x v="9"/>
  </r>
  <r>
    <n v="2026"/>
    <n v="1"/>
    <s v="19-01-2026"/>
    <n v="10278"/>
    <s v="1104-01"/>
    <n v="0"/>
    <n v="30000"/>
    <s v="Centralización recaudaciones enero 2026 #2134 - #2134"/>
    <n v="-30000"/>
    <s v="Activo"/>
    <n v="-30000"/>
    <x v="9"/>
  </r>
  <r>
    <n v="2026"/>
    <n v="1"/>
    <s v="19-01-2026"/>
    <n v="10283"/>
    <s v="1104-01"/>
    <n v="0"/>
    <n v="30000"/>
    <s v="Centralización recaudaciones enero 2026 #2139 - #2139"/>
    <n v="-30000"/>
    <s v="Activo"/>
    <n v="-30000"/>
    <x v="9"/>
  </r>
  <r>
    <n v="2026"/>
    <n v="1"/>
    <s v="19-01-2026"/>
    <n v="10288"/>
    <s v="1104-01"/>
    <n v="0"/>
    <n v="43990"/>
    <s v="Centralización recaudaciones enero 2026 #2144 - #2144"/>
    <n v="-43990"/>
    <s v="Activo"/>
    <n v="-43990"/>
    <x v="9"/>
  </r>
  <r>
    <n v="2026"/>
    <n v="1"/>
    <s v="19-01-2026"/>
    <n v="10294"/>
    <s v="1104-01"/>
    <n v="0"/>
    <n v="30000"/>
    <s v="Centralización recaudaciones enero 2026 #2150 - #2150"/>
    <n v="-30000"/>
    <s v="Activo"/>
    <n v="-30000"/>
    <x v="9"/>
  </r>
  <r>
    <n v="2026"/>
    <n v="1"/>
    <s v="19-01-2026"/>
    <n v="10311"/>
    <s v="1104-01"/>
    <n v="0"/>
    <n v="63980"/>
    <s v="Centralización recaudaciones enero 2026 #2167 - #2167"/>
    <n v="-63980"/>
    <s v="Activo"/>
    <n v="-63980"/>
    <x v="9"/>
  </r>
  <r>
    <n v="2026"/>
    <n v="1"/>
    <s v="19-01-2026"/>
    <n v="10313"/>
    <s v="1104-01"/>
    <n v="0"/>
    <n v="30000"/>
    <s v="Centralización recaudaciones enero 2026 #2169 - #2169"/>
    <n v="-30000"/>
    <s v="Activo"/>
    <n v="-30000"/>
    <x v="9"/>
  </r>
  <r>
    <n v="2026"/>
    <n v="1"/>
    <s v="19-01-2026"/>
    <n v="10331"/>
    <s v="1104-01"/>
    <n v="0"/>
    <n v="21990"/>
    <s v="Centralización recaudaciones enero 2026 #2187 - #2187"/>
    <n v="-21990"/>
    <s v="Activo"/>
    <n v="-21990"/>
    <x v="9"/>
  </r>
  <r>
    <n v="2026"/>
    <n v="1"/>
    <s v="19-01-2026"/>
    <n v="10332"/>
    <s v="1104-01"/>
    <n v="0"/>
    <n v="29990"/>
    <s v="Centralización recaudaciones enero 2026 #2188 - #2188"/>
    <n v="-29990"/>
    <s v="Activo"/>
    <n v="-29990"/>
    <x v="9"/>
  </r>
  <r>
    <n v="2026"/>
    <n v="1"/>
    <s v="19-01-2026"/>
    <n v="10350"/>
    <s v="1104-01"/>
    <n v="0"/>
    <n v="34990"/>
    <s v="Centralización recaudaciones enero 2026 #2206 - #2206"/>
    <n v="-34990"/>
    <s v="Activo"/>
    <n v="-34990"/>
    <x v="9"/>
  </r>
  <r>
    <n v="2026"/>
    <n v="1"/>
    <s v="19-01-2026"/>
    <n v="10364"/>
    <s v="1104-01"/>
    <n v="0"/>
    <n v="141879"/>
    <s v="Centralización recaudaciones enero 2026 #2220 - #2220"/>
    <n v="-141879"/>
    <s v="Activo"/>
    <n v="-141879"/>
    <x v="9"/>
  </r>
  <r>
    <n v="2026"/>
    <n v="1"/>
    <s v="19-01-2026"/>
    <n v="10374"/>
    <s v="1104-01"/>
    <n v="0"/>
    <n v="17990"/>
    <s v="Centralización recaudaciones enero 2026 #2230 - #2230"/>
    <n v="-17990"/>
    <s v="Activo"/>
    <n v="-17990"/>
    <x v="9"/>
  </r>
  <r>
    <n v="2026"/>
    <n v="1"/>
    <s v="19-01-2026"/>
    <n v="10408"/>
    <s v="1104-01"/>
    <n v="0"/>
    <n v="46990"/>
    <s v="Centralización recaudaciones enero 2026 #2264 - #2264"/>
    <n v="-46990"/>
    <s v="Activo"/>
    <n v="-46990"/>
    <x v="9"/>
  </r>
  <r>
    <n v="2026"/>
    <n v="1"/>
    <s v="19-01-2026"/>
    <n v="10423"/>
    <s v="1104-01"/>
    <n v="0"/>
    <n v="28990"/>
    <s v="Centralización recaudaciones enero 2026 #2279 - #2279"/>
    <n v="-28990"/>
    <s v="Activo"/>
    <n v="-28990"/>
    <x v="9"/>
  </r>
  <r>
    <n v="2026"/>
    <n v="1"/>
    <s v="19-01-2026"/>
    <n v="10425"/>
    <s v="1104-01"/>
    <n v="0"/>
    <n v="28990"/>
    <s v="Centralización recaudaciones enero 2026 #2281 - #2281"/>
    <n v="-28990"/>
    <s v="Activo"/>
    <n v="-28990"/>
    <x v="9"/>
  </r>
  <r>
    <n v="2026"/>
    <n v="1"/>
    <s v="19-01-2026"/>
    <n v="10426"/>
    <s v="1104-01"/>
    <n v="0"/>
    <n v="21990"/>
    <s v="Centralización recaudaciones enero 2026 #2282 - #2282"/>
    <n v="-21990"/>
    <s v="Activo"/>
    <n v="-21990"/>
    <x v="9"/>
  </r>
  <r>
    <n v="2026"/>
    <n v="1"/>
    <s v="19-01-2026"/>
    <n v="10433"/>
    <s v="1104-01"/>
    <n v="0"/>
    <n v="40000"/>
    <s v="Centralización recaudaciones enero 2026 #2289 - #2289"/>
    <n v="-40000"/>
    <s v="Activo"/>
    <n v="-40000"/>
    <x v="9"/>
  </r>
  <r>
    <n v="2026"/>
    <n v="1"/>
    <s v="19-01-2026"/>
    <n v="10446"/>
    <s v="1104-01"/>
    <n v="0"/>
    <n v="30000"/>
    <s v="Centralización recaudaciones enero 2026 #2302 - #2302"/>
    <n v="-30000"/>
    <s v="Activo"/>
    <n v="-30000"/>
    <x v="9"/>
  </r>
  <r>
    <n v="2026"/>
    <n v="1"/>
    <s v="19-01-2026"/>
    <n v="10464"/>
    <s v="1104-01"/>
    <n v="0"/>
    <n v="14990"/>
    <s v="Centralización recaudaciones enero 2026 #2320 - #2320"/>
    <n v="-14990"/>
    <s v="Activo"/>
    <n v="-14990"/>
    <x v="9"/>
  </r>
  <r>
    <n v="2026"/>
    <n v="1"/>
    <s v="19-01-2026"/>
    <n v="10485"/>
    <s v="1104-01"/>
    <n v="0"/>
    <n v="40960"/>
    <s v="Soc agricola e inmobiliaria sta ana de las palmas ltda"/>
    <n v="-40960"/>
    <s v="Activo"/>
    <n v="-40960"/>
    <x v="9"/>
  </r>
  <r>
    <n v="2026"/>
    <n v="1"/>
    <s v="19-01-2026"/>
    <n v="10485"/>
    <s v="1104-01"/>
    <n v="0"/>
    <n v="12"/>
    <s v="Carola angelica silva alvarez"/>
    <n v="-12"/>
    <s v="Activo"/>
    <n v="-12"/>
    <x v="9"/>
  </r>
  <r>
    <n v="2026"/>
    <n v="1"/>
    <s v="19-01-2026"/>
    <n v="10485"/>
    <s v="1104-01"/>
    <n v="0"/>
    <n v="19990"/>
    <s v="Jessica gabriela mena daza venta de alimento de mascotas y animales e.i.r.l."/>
    <n v="-19990"/>
    <s v="Activo"/>
    <n v="-19990"/>
    <x v="9"/>
  </r>
  <r>
    <n v="2026"/>
    <n v="1"/>
    <s v="19-01-2026"/>
    <n v="10485"/>
    <s v="1104-01"/>
    <n v="0"/>
    <n v="10"/>
    <s v="Carola angelica silva alvarez"/>
    <n v="-10"/>
    <s v="Activo"/>
    <n v="-10"/>
    <x v="9"/>
  </r>
  <r>
    <n v="2026"/>
    <n v="1"/>
    <s v="19-01-2026"/>
    <n v="10485"/>
    <s v="1104-01"/>
    <n v="0"/>
    <n v="6990"/>
    <s v="Victor jorge sepulveda correa"/>
    <n v="-6990"/>
    <s v="Activo"/>
    <n v="-6990"/>
    <x v="9"/>
  </r>
  <r>
    <n v="2026"/>
    <n v="1"/>
    <s v="19-01-2026"/>
    <n v="10485"/>
    <s v="1104-01"/>
    <n v="0"/>
    <n v="1005"/>
    <s v="Carola angelica silva alvarez"/>
    <n v="-1005"/>
    <s v="Activo"/>
    <n v="-1005"/>
    <x v="9"/>
  </r>
  <r>
    <n v="2026"/>
    <n v="1"/>
    <s v="20-01-2026"/>
    <n v="10056"/>
    <s v="1104-01"/>
    <n v="0"/>
    <n v="5291491"/>
    <s v="0966893109 abn crd db tran transba"/>
    <n v="-5291491"/>
    <s v="Activo"/>
    <n v="-5291491"/>
    <x v="9"/>
  </r>
  <r>
    <n v="2026"/>
    <n v="1"/>
    <s v="20-01-2026"/>
    <n v="10057"/>
    <s v="1104-01"/>
    <n v="0"/>
    <n v="424755"/>
    <s v="0761872877 transf. khipu spa"/>
    <n v="-424755"/>
    <s v="Activo"/>
    <n v="-424755"/>
    <x v="9"/>
  </r>
  <r>
    <n v="2026"/>
    <n v="1"/>
    <s v="20-01-2026"/>
    <n v="10184"/>
    <s v="1104-01"/>
    <n v="0"/>
    <n v="40000"/>
    <s v="Centralización recaudaciones enero 2026 #2040 - #2040"/>
    <n v="-40000"/>
    <s v="Activo"/>
    <n v="-40000"/>
    <x v="9"/>
  </r>
  <r>
    <n v="2026"/>
    <n v="1"/>
    <s v="20-01-2026"/>
    <n v="10239"/>
    <s v="1104-01"/>
    <n v="0"/>
    <n v="43990"/>
    <s v="Centralización recaudaciones enero 2026 #2095 - #2095"/>
    <n v="-43990"/>
    <s v="Activo"/>
    <n v="-43990"/>
    <x v="9"/>
  </r>
  <r>
    <n v="2026"/>
    <n v="1"/>
    <s v="20-01-2026"/>
    <n v="10282"/>
    <s v="1104-01"/>
    <n v="0"/>
    <n v="30000"/>
    <s v="Centralización recaudaciones enero 2026 #2138 - #2138"/>
    <n v="-30000"/>
    <s v="Activo"/>
    <n v="-30000"/>
    <x v="9"/>
  </r>
  <r>
    <n v="2026"/>
    <n v="1"/>
    <s v="20-01-2026"/>
    <n v="10284"/>
    <s v="1104-01"/>
    <n v="0"/>
    <n v="33990"/>
    <s v="Centralización recaudaciones enero 2026 #2140 - #2140"/>
    <n v="-33990"/>
    <s v="Activo"/>
    <n v="-33990"/>
    <x v="9"/>
  </r>
  <r>
    <n v="2026"/>
    <n v="1"/>
    <s v="20-01-2026"/>
    <n v="10305"/>
    <s v="1104-01"/>
    <n v="0"/>
    <n v="30000"/>
    <s v="Centralización recaudaciones enero 2026 #2161 - #2161"/>
    <n v="-30000"/>
    <s v="Activo"/>
    <n v="-30000"/>
    <x v="9"/>
  </r>
  <r>
    <n v="2026"/>
    <n v="1"/>
    <s v="20-01-2026"/>
    <n v="10307"/>
    <s v="1104-01"/>
    <n v="0"/>
    <n v="275415"/>
    <s v="Centralización recaudaciones enero 2026 #2163 - #2163"/>
    <n v="-275415"/>
    <s v="Activo"/>
    <n v="-275415"/>
    <x v="9"/>
  </r>
  <r>
    <n v="2026"/>
    <n v="1"/>
    <s v="20-01-2026"/>
    <n v="10308"/>
    <s v="1104-01"/>
    <n v="0"/>
    <n v="614413"/>
    <s v="Centralización recaudaciones enero 2026 #2164 - #2164"/>
    <n v="-614413"/>
    <s v="Activo"/>
    <n v="-614413"/>
    <x v="9"/>
  </r>
  <r>
    <n v="2026"/>
    <n v="1"/>
    <s v="20-01-2026"/>
    <n v="10309"/>
    <s v="1104-01"/>
    <n v="0"/>
    <n v="279037"/>
    <s v="Centralización recaudaciones enero 2026 #2165 - #2165"/>
    <n v="-279037"/>
    <s v="Activo"/>
    <n v="-279037"/>
    <x v="9"/>
  </r>
  <r>
    <n v="2026"/>
    <n v="1"/>
    <s v="20-01-2026"/>
    <n v="10337"/>
    <s v="1104-01"/>
    <n v="0"/>
    <n v="19990"/>
    <s v="Centralización recaudaciones enero 2026 #2193 - #2193"/>
    <n v="-19990"/>
    <s v="Activo"/>
    <n v="-19990"/>
    <x v="9"/>
  </r>
  <r>
    <n v="2026"/>
    <n v="1"/>
    <s v="20-01-2026"/>
    <n v="10399"/>
    <s v="1104-01"/>
    <n v="0"/>
    <n v="65438"/>
    <s v="Centralización recaudaciones enero 2026 #2255 - #2255"/>
    <n v="-65438"/>
    <s v="Activo"/>
    <n v="-65438"/>
    <x v="9"/>
  </r>
  <r>
    <n v="2026"/>
    <n v="1"/>
    <s v="20-01-2026"/>
    <n v="10406"/>
    <s v="1104-01"/>
    <n v="0"/>
    <n v="94000"/>
    <s v="Centralización recaudaciones enero 2026 #2262 - #2262"/>
    <n v="-94000"/>
    <s v="Activo"/>
    <n v="-94000"/>
    <x v="9"/>
  </r>
  <r>
    <n v="2026"/>
    <n v="1"/>
    <s v="20-01-2026"/>
    <n v="10453"/>
    <s v="1104-01"/>
    <n v="0"/>
    <n v="50990"/>
    <s v="Centralización recaudaciones enero 2026 #2309 - #2309"/>
    <n v="-50990"/>
    <s v="Activo"/>
    <n v="-50990"/>
    <x v="9"/>
  </r>
  <r>
    <n v="2026"/>
    <n v="1"/>
    <s v="20-01-2026"/>
    <n v="10486"/>
    <s v="1104-01"/>
    <n v="0"/>
    <n v="1047578"/>
    <s v="Grupo metrowan telecom spa"/>
    <n v="-1047578"/>
    <s v="Activo"/>
    <n v="-1047578"/>
    <x v="9"/>
  </r>
  <r>
    <n v="2026"/>
    <n v="1"/>
    <s v="20-01-2026"/>
    <n v="10486"/>
    <s v="1104-01"/>
    <n v="0"/>
    <n v="449282"/>
    <s v="Grupo metrowan telecom spa"/>
    <n v="-449282"/>
    <s v="Activo"/>
    <n v="-449282"/>
    <x v="9"/>
  </r>
  <r>
    <n v="2026"/>
    <n v="1"/>
    <s v="20-01-2026"/>
    <n v="10486"/>
    <s v="1104-01"/>
    <n v="0"/>
    <n v="5000"/>
    <s v="Exportadores del agro s a"/>
    <n v="-5000"/>
    <s v="Activo"/>
    <n v="-5000"/>
    <x v="9"/>
  </r>
  <r>
    <n v="2026"/>
    <n v="1"/>
    <s v="20-01-2026"/>
    <n v="10486"/>
    <s v="1104-01"/>
    <n v="0"/>
    <n v="140"/>
    <s v="Carola angelica silva alvarez"/>
    <n v="-140"/>
    <s v="Activo"/>
    <n v="-140"/>
    <x v="9"/>
  </r>
  <r>
    <n v="2026"/>
    <n v="1"/>
    <s v="21-01-2026"/>
    <n v="10058"/>
    <s v="1104-01"/>
    <n v="0"/>
    <n v="7286963"/>
    <s v="0966893109 abn crd db tran transba"/>
    <n v="-7286963"/>
    <s v="Activo"/>
    <n v="-7286963"/>
    <x v="9"/>
  </r>
  <r>
    <n v="2026"/>
    <n v="1"/>
    <s v="21-01-2026"/>
    <n v="10060"/>
    <s v="1104-01"/>
    <n v="0"/>
    <n v="81995"/>
    <s v="0761872877 transf. khipu spa"/>
    <n v="-81995"/>
    <s v="Activo"/>
    <n v="-81995"/>
    <x v="9"/>
  </r>
  <r>
    <n v="2026"/>
    <n v="1"/>
    <s v="21-01-2026"/>
    <n v="10463"/>
    <s v="1104-01"/>
    <n v="0"/>
    <n v="14990"/>
    <s v="Centralización recaudaciones enero 2026 #2319 - #2319"/>
    <n v="-14990"/>
    <s v="Activo"/>
    <n v="-14990"/>
    <x v="9"/>
  </r>
  <r>
    <n v="2026"/>
    <n v="1"/>
    <s v="22-01-2026"/>
    <n v="10061"/>
    <s v="1104-01"/>
    <n v="0"/>
    <n v="2116934"/>
    <s v="0966893109 abn crd db tran transba"/>
    <n v="-2116934"/>
    <s v="Activo"/>
    <n v="-2116934"/>
    <x v="9"/>
  </r>
  <r>
    <n v="2026"/>
    <n v="1"/>
    <s v="22-01-2026"/>
    <n v="10062"/>
    <s v="1104-01"/>
    <n v="0"/>
    <n v="155073"/>
    <s v="0761872877 transf. khipu spa"/>
    <n v="-155073"/>
    <s v="Activo"/>
    <n v="-155073"/>
    <x v="9"/>
  </r>
  <r>
    <n v="2026"/>
    <n v="1"/>
    <s v="22-01-2026"/>
    <n v="10205"/>
    <s v="1104-01"/>
    <n v="0"/>
    <n v="120000"/>
    <s v="Centralización recaudaciones enero 2026 #2061 - #2061"/>
    <n v="-120000"/>
    <s v="Activo"/>
    <n v="-120000"/>
    <x v="9"/>
  </r>
  <r>
    <n v="2026"/>
    <n v="1"/>
    <s v="22-01-2026"/>
    <n v="10245"/>
    <s v="1104-01"/>
    <n v="0"/>
    <n v="30000"/>
    <s v="Centralización recaudaciones enero 2026 #2101 - #2101"/>
    <n v="-30000"/>
    <s v="Activo"/>
    <n v="-30000"/>
    <x v="9"/>
  </r>
  <r>
    <n v="2026"/>
    <n v="1"/>
    <s v="22-01-2026"/>
    <n v="10257"/>
    <s v="1104-01"/>
    <n v="0"/>
    <n v="21990"/>
    <s v="Centralización recaudaciones enero 2026 #2113 - #2113"/>
    <n v="-21990"/>
    <s v="Activo"/>
    <n v="-21990"/>
    <x v="9"/>
  </r>
  <r>
    <n v="2026"/>
    <n v="1"/>
    <s v="22-01-2026"/>
    <n v="10299"/>
    <s v="1104-01"/>
    <n v="0"/>
    <n v="143000"/>
    <s v="Centralización recaudaciones enero 2026 #2155 - #2155"/>
    <n v="-143000"/>
    <s v="Activo"/>
    <n v="-143000"/>
    <x v="9"/>
  </r>
  <r>
    <n v="2026"/>
    <n v="1"/>
    <s v="22-01-2026"/>
    <n v="10310"/>
    <s v="1104-01"/>
    <n v="0"/>
    <n v="449282"/>
    <s v="Centralización recaudaciones enero 2026 #2166 - #2166"/>
    <n v="-449282"/>
    <s v="Activo"/>
    <n v="-449282"/>
    <x v="9"/>
  </r>
  <r>
    <n v="2026"/>
    <n v="1"/>
    <s v="22-01-2026"/>
    <n v="10321"/>
    <s v="1104-01"/>
    <n v="0"/>
    <n v="30000"/>
    <s v="Centralización recaudaciones enero 2026 #2177 - #2177"/>
    <n v="-30000"/>
    <s v="Activo"/>
    <n v="-30000"/>
    <x v="9"/>
  </r>
  <r>
    <n v="2026"/>
    <n v="1"/>
    <s v="22-01-2026"/>
    <n v="10365"/>
    <s v="1104-01"/>
    <n v="0"/>
    <n v="26990"/>
    <s v="Centralización recaudaciones enero 2026 #2221 - #2221"/>
    <n v="-26990"/>
    <s v="Activo"/>
    <n v="-26990"/>
    <x v="9"/>
  </r>
  <r>
    <n v="2026"/>
    <n v="1"/>
    <s v="22-01-2026"/>
    <n v="10383"/>
    <s v="1104-01"/>
    <n v="0"/>
    <n v="69590"/>
    <s v="Centralización recaudaciones enero 2026 #2239 - #2239"/>
    <n v="-69590"/>
    <s v="Activo"/>
    <n v="-69590"/>
    <x v="9"/>
  </r>
  <r>
    <n v="2026"/>
    <n v="1"/>
    <s v="22-01-2026"/>
    <n v="10395"/>
    <s v="1104-01"/>
    <n v="0"/>
    <n v="21990"/>
    <s v="Centralización recaudaciones enero 2026 #2251 - #2251"/>
    <n v="-21990"/>
    <s v="Activo"/>
    <n v="-21990"/>
    <x v="9"/>
  </r>
  <r>
    <n v="2026"/>
    <n v="1"/>
    <s v="22-01-2026"/>
    <n v="10434"/>
    <s v="1104-01"/>
    <n v="0"/>
    <n v="14990"/>
    <s v="Centralización recaudaciones enero 2026 #2290 - #2290"/>
    <n v="-14990"/>
    <s v="Activo"/>
    <n v="-14990"/>
    <x v="9"/>
  </r>
  <r>
    <n v="2026"/>
    <n v="1"/>
    <s v="22-01-2026"/>
    <n v="10487"/>
    <s v="1104-01"/>
    <n v="0"/>
    <n v="760"/>
    <s v="Carola angelica silva alvarez"/>
    <n v="-760"/>
    <s v="Activo"/>
    <n v="-760"/>
    <x v="9"/>
  </r>
  <r>
    <n v="2026"/>
    <n v="1"/>
    <s v="22-01-2026"/>
    <n v="10487"/>
    <s v="1104-01"/>
    <n v="0"/>
    <n v="4240"/>
    <s v="Comercializadora de productos de iluminacion ilumina limitada"/>
    <n v="-4240"/>
    <s v="Activo"/>
    <n v="-4240"/>
    <x v="9"/>
  </r>
  <r>
    <n v="2026"/>
    <n v="1"/>
    <s v="22-01-2026"/>
    <n v="10487"/>
    <s v="1104-01"/>
    <n v="0"/>
    <n v="14990"/>
    <s v="Pasteleria cerros de chena limitada"/>
    <n v="-14990"/>
    <s v="Activo"/>
    <n v="-14990"/>
    <x v="9"/>
  </r>
  <r>
    <n v="2026"/>
    <n v="1"/>
    <s v="22-01-2026"/>
    <n v="10487"/>
    <s v="1104-01"/>
    <n v="0"/>
    <n v="10"/>
    <s v="Comercializadora de productos de iluminacion ilumina limitada"/>
    <n v="-10"/>
    <s v="Activo"/>
    <n v="-10"/>
    <x v="9"/>
  </r>
  <r>
    <n v="2026"/>
    <n v="1"/>
    <s v="23-01-2026"/>
    <n v="10063"/>
    <s v="1104-01"/>
    <n v="0"/>
    <n v="1692436"/>
    <s v="0966893109 abn crd db tran transba"/>
    <n v="-1692436"/>
    <s v="Activo"/>
    <n v="-1692436"/>
    <x v="9"/>
  </r>
  <r>
    <n v="2026"/>
    <n v="1"/>
    <s v="23-01-2026"/>
    <n v="10064"/>
    <s v="1104-01"/>
    <n v="0"/>
    <n v="149164"/>
    <s v="0761872877 transf. khipu spa"/>
    <n v="-149164"/>
    <s v="Activo"/>
    <n v="-149164"/>
    <x v="9"/>
  </r>
  <r>
    <n v="2026"/>
    <n v="1"/>
    <s v="23-01-2026"/>
    <n v="10192"/>
    <s v="1104-01"/>
    <n v="0"/>
    <n v="153747"/>
    <s v="Centralización recaudaciones enero 2026 #2048 - #2048"/>
    <n v="-153747"/>
    <s v="Activo"/>
    <n v="-153747"/>
    <x v="9"/>
  </r>
  <r>
    <n v="2026"/>
    <n v="1"/>
    <s v="23-01-2026"/>
    <n v="10200"/>
    <s v="1104-01"/>
    <n v="0"/>
    <n v="30000"/>
    <s v="Centralización recaudaciones enero 2026 #2056 - #2056"/>
    <n v="-30000"/>
    <s v="Activo"/>
    <n v="-30000"/>
    <x v="9"/>
  </r>
  <r>
    <n v="2026"/>
    <n v="1"/>
    <s v="23-01-2026"/>
    <n v="10268"/>
    <s v="1104-01"/>
    <n v="0"/>
    <n v="118232"/>
    <s v="Centralización recaudaciones enero 2026 #2124 - #2124"/>
    <n v="-118232"/>
    <s v="Activo"/>
    <n v="-118232"/>
    <x v="9"/>
  </r>
  <r>
    <n v="2026"/>
    <n v="1"/>
    <s v="23-01-2026"/>
    <n v="10285"/>
    <s v="1104-01"/>
    <n v="0"/>
    <n v="30000"/>
    <s v="Centralización recaudaciones enero 2026 #2141 - #2141"/>
    <n v="-30000"/>
    <s v="Activo"/>
    <n v="-30000"/>
    <x v="9"/>
  </r>
  <r>
    <n v="2026"/>
    <n v="1"/>
    <s v="23-01-2026"/>
    <n v="10295"/>
    <s v="1104-01"/>
    <n v="0"/>
    <n v="30000"/>
    <s v="Centralización recaudaciones enero 2026 #2151 - #2151"/>
    <n v="-30000"/>
    <s v="Activo"/>
    <n v="-30000"/>
    <x v="9"/>
  </r>
  <r>
    <n v="2026"/>
    <n v="1"/>
    <s v="23-01-2026"/>
    <n v="10330"/>
    <s v="1104-01"/>
    <n v="0"/>
    <n v="14990"/>
    <s v="Centralización recaudaciones enero 2026 #2186 - #2186"/>
    <n v="-14990"/>
    <s v="Activo"/>
    <n v="-14990"/>
    <x v="9"/>
  </r>
  <r>
    <n v="2026"/>
    <n v="1"/>
    <s v="23-01-2026"/>
    <n v="10334"/>
    <s v="1104-01"/>
    <n v="0"/>
    <n v="21990"/>
    <s v="Centralización recaudaciones enero 2026 #2190 - #2190"/>
    <n v="-21990"/>
    <s v="Activo"/>
    <n v="-21990"/>
    <x v="9"/>
  </r>
  <r>
    <n v="2026"/>
    <n v="1"/>
    <s v="23-01-2026"/>
    <n v="10345"/>
    <s v="1104-01"/>
    <n v="0"/>
    <n v="31980"/>
    <s v="Centralización recaudaciones enero 2026 #2201 - #2201"/>
    <n v="-31980"/>
    <s v="Activo"/>
    <n v="-31980"/>
    <x v="9"/>
  </r>
  <r>
    <n v="2026"/>
    <n v="1"/>
    <s v="23-01-2026"/>
    <n v="10427"/>
    <s v="1104-01"/>
    <n v="0"/>
    <n v="22000"/>
    <s v="Centralización recaudaciones enero 2026 #2283 - #2283"/>
    <n v="-22000"/>
    <s v="Activo"/>
    <n v="-22000"/>
    <x v="9"/>
  </r>
  <r>
    <n v="2026"/>
    <n v="1"/>
    <s v="23-01-2026"/>
    <n v="10488"/>
    <s v="1104-01"/>
    <n v="0"/>
    <n v="119250"/>
    <s v="Magdalena balmaceda ruiz-tagle"/>
    <n v="-119250"/>
    <s v="Activo"/>
    <n v="-119250"/>
    <x v="9"/>
  </r>
  <r>
    <n v="2026"/>
    <n v="1"/>
    <s v="23-01-2026"/>
    <n v="10488"/>
    <s v="1104-01"/>
    <n v="0"/>
    <n v="19"/>
    <s v="Valentina javiera mena caroca"/>
    <n v="-19"/>
    <s v="Activo"/>
    <n v="-19"/>
    <x v="9"/>
  </r>
  <r>
    <n v="2026"/>
    <n v="1"/>
    <s v="23-01-2026"/>
    <n v="10488"/>
    <s v="1104-01"/>
    <n v="0"/>
    <n v="60"/>
    <s v="Limarin spa"/>
    <n v="-60"/>
    <s v="Activo"/>
    <n v="-60"/>
    <x v="9"/>
  </r>
  <r>
    <n v="2026"/>
    <n v="1"/>
    <s v="23-01-2026"/>
    <n v="10488"/>
    <s v="1104-01"/>
    <n v="0"/>
    <n v="671"/>
    <s v="Comercializadora de productos de iluminacion ilumina limitada"/>
    <n v="-671"/>
    <s v="Activo"/>
    <n v="-671"/>
    <x v="9"/>
  </r>
  <r>
    <n v="2026"/>
    <n v="1"/>
    <s v="26-01-2026"/>
    <n v="10065"/>
    <s v="1104-01"/>
    <n v="0"/>
    <n v="2275255"/>
    <s v="0966893109 abn crd db tran transba"/>
    <n v="-2275255"/>
    <s v="Activo"/>
    <n v="-2275255"/>
    <x v="9"/>
  </r>
  <r>
    <n v="2026"/>
    <n v="1"/>
    <s v="26-01-2026"/>
    <n v="10066"/>
    <s v="1104-01"/>
    <n v="0"/>
    <n v="442045"/>
    <s v="0761872877 transf. khipu spa"/>
    <n v="-442045"/>
    <s v="Activo"/>
    <n v="-442045"/>
    <x v="9"/>
  </r>
  <r>
    <n v="2026"/>
    <n v="1"/>
    <s v="26-01-2026"/>
    <n v="10185"/>
    <s v="1104-01"/>
    <n v="0"/>
    <n v="59990"/>
    <s v="Centralización recaudaciones enero 2026 #2041 - #2041"/>
    <n v="-59990"/>
    <s v="Activo"/>
    <n v="-59990"/>
    <x v="9"/>
  </r>
  <r>
    <n v="2026"/>
    <n v="1"/>
    <s v="26-01-2026"/>
    <n v="10197"/>
    <s v="1104-01"/>
    <n v="0"/>
    <n v="30000"/>
    <s v="Centralización recaudaciones enero 2026 #2053 - #2053"/>
    <n v="-30000"/>
    <s v="Activo"/>
    <n v="-30000"/>
    <x v="9"/>
  </r>
  <r>
    <n v="2026"/>
    <n v="1"/>
    <s v="26-01-2026"/>
    <n v="10199"/>
    <s v="1104-01"/>
    <n v="0"/>
    <n v="59990"/>
    <s v="Centralización recaudaciones enero 2026 #2055 - #2055"/>
    <n v="-59990"/>
    <s v="Activo"/>
    <n v="-59990"/>
    <x v="9"/>
  </r>
  <r>
    <n v="2026"/>
    <n v="1"/>
    <s v="26-01-2026"/>
    <n v="10218"/>
    <s v="1104-01"/>
    <n v="0"/>
    <n v="48000"/>
    <s v="Centralización recaudaciones enero 2026 #2074 - #2074"/>
    <n v="-48000"/>
    <s v="Activo"/>
    <n v="-48000"/>
    <x v="9"/>
  </r>
  <r>
    <n v="2026"/>
    <n v="1"/>
    <s v="26-01-2026"/>
    <n v="10223"/>
    <s v="1104-01"/>
    <n v="0"/>
    <n v="70052"/>
    <s v="Centralización recaudaciones enero 2026 #2079 - #2079"/>
    <n v="-70052"/>
    <s v="Activo"/>
    <n v="-70052"/>
    <x v="9"/>
  </r>
  <r>
    <n v="2026"/>
    <n v="1"/>
    <s v="26-01-2026"/>
    <n v="10275"/>
    <s v="1104-01"/>
    <n v="0"/>
    <n v="30000"/>
    <s v="Centralización recaudaciones enero 2026 #2131 - #2131"/>
    <n v="-30000"/>
    <s v="Activo"/>
    <n v="-30000"/>
    <x v="9"/>
  </r>
  <r>
    <n v="2026"/>
    <n v="1"/>
    <s v="26-01-2026"/>
    <n v="10297"/>
    <s v="1104-01"/>
    <n v="0"/>
    <n v="14990"/>
    <s v="Centralización recaudaciones enero 2026 #2153 - #2153"/>
    <n v="-14990"/>
    <s v="Activo"/>
    <n v="-14990"/>
    <x v="9"/>
  </r>
  <r>
    <n v="2026"/>
    <n v="1"/>
    <s v="26-01-2026"/>
    <n v="10317"/>
    <s v="1104-01"/>
    <n v="0"/>
    <n v="34990"/>
    <s v="Centralización recaudaciones enero 2026 #2173 - #2173"/>
    <n v="-34990"/>
    <s v="Activo"/>
    <n v="-34990"/>
    <x v="9"/>
  </r>
  <r>
    <n v="2026"/>
    <n v="1"/>
    <s v="26-01-2026"/>
    <n v="10353"/>
    <s v="1104-01"/>
    <n v="0"/>
    <n v="65000"/>
    <s v="Centralización recaudaciones enero 2026 #2209 - #2209"/>
    <n v="-65000"/>
    <s v="Activo"/>
    <n v="-65000"/>
    <x v="9"/>
  </r>
  <r>
    <n v="2026"/>
    <n v="1"/>
    <s v="26-01-2026"/>
    <n v="10354"/>
    <s v="1104-01"/>
    <n v="0"/>
    <n v="60000"/>
    <s v="Centralización recaudaciones enero 2026 #2210 - #2210"/>
    <n v="-60000"/>
    <s v="Activo"/>
    <n v="-60000"/>
    <x v="9"/>
  </r>
  <r>
    <n v="2026"/>
    <n v="1"/>
    <s v="26-01-2026"/>
    <n v="10358"/>
    <s v="1104-01"/>
    <n v="0"/>
    <n v="28990"/>
    <s v="Centralización recaudaciones enero 2026 #2214 - #2214"/>
    <n v="-28990"/>
    <s v="Activo"/>
    <n v="-28990"/>
    <x v="9"/>
  </r>
  <r>
    <n v="2026"/>
    <n v="1"/>
    <s v="26-01-2026"/>
    <n v="10371"/>
    <s v="1104-01"/>
    <n v="0"/>
    <n v="14990"/>
    <s v="Centralización recaudaciones enero 2026 #2227 - #2227"/>
    <n v="-14990"/>
    <s v="Activo"/>
    <n v="-14990"/>
    <x v="9"/>
  </r>
  <r>
    <n v="2026"/>
    <n v="1"/>
    <s v="26-01-2026"/>
    <n v="10380"/>
    <s v="1104-01"/>
    <n v="0"/>
    <n v="1583159"/>
    <s v="Centralización recaudaciones enero 2026 #2236 - #2236"/>
    <n v="-1583159"/>
    <s v="Activo"/>
    <n v="-1583159"/>
    <x v="9"/>
  </r>
  <r>
    <n v="2026"/>
    <n v="1"/>
    <s v="26-01-2026"/>
    <n v="10412"/>
    <s v="1104-01"/>
    <n v="0"/>
    <n v="14990"/>
    <s v="Centralización recaudaciones enero 2026 #2268 - #2268"/>
    <n v="-14990"/>
    <s v="Activo"/>
    <n v="-14990"/>
    <x v="9"/>
  </r>
  <r>
    <n v="2026"/>
    <n v="1"/>
    <s v="26-01-2026"/>
    <n v="10415"/>
    <s v="1104-01"/>
    <n v="0"/>
    <n v="118964"/>
    <s v="Centralización recaudaciones enero 2026 #2271 - #2271"/>
    <n v="-118964"/>
    <s v="Activo"/>
    <n v="-118964"/>
    <x v="9"/>
  </r>
  <r>
    <n v="2026"/>
    <n v="1"/>
    <s v="26-01-2026"/>
    <n v="10432"/>
    <s v="1104-01"/>
    <n v="0"/>
    <n v="32961"/>
    <s v="Centralización recaudaciones enero 2026 #2288 - #2288"/>
    <n v="-32961"/>
    <s v="Activo"/>
    <n v="-32961"/>
    <x v="9"/>
  </r>
  <r>
    <n v="2026"/>
    <n v="1"/>
    <s v="26-01-2026"/>
    <n v="10450"/>
    <s v="1104-01"/>
    <n v="0"/>
    <n v="31890"/>
    <s v="Centralización recaudaciones enero 2026 #2306 - #2306"/>
    <n v="-31890"/>
    <s v="Activo"/>
    <n v="-31890"/>
    <x v="9"/>
  </r>
  <r>
    <n v="2026"/>
    <n v="1"/>
    <s v="26-01-2026"/>
    <n v="10489"/>
    <s v="1104-01"/>
    <n v="0"/>
    <n v="80"/>
    <s v="Sociedad de inversiones arenas spa"/>
    <n v="-80"/>
    <s v="Activo"/>
    <n v="-80"/>
    <x v="9"/>
  </r>
  <r>
    <n v="2026"/>
    <n v="1"/>
    <s v="26-01-2026"/>
    <n v="10489"/>
    <s v="1104-01"/>
    <n v="0"/>
    <n v="14990"/>
    <s v="De berti ciaraldi spa"/>
    <n v="-14990"/>
    <s v="Activo"/>
    <n v="-14990"/>
    <x v="9"/>
  </r>
  <r>
    <n v="2026"/>
    <n v="1"/>
    <s v="26-01-2026"/>
    <n v="10489"/>
    <s v="1104-01"/>
    <n v="0"/>
    <n v="14930"/>
    <s v="Limarin spa"/>
    <n v="-14930"/>
    <s v="Activo"/>
    <n v="-14930"/>
    <x v="9"/>
  </r>
  <r>
    <n v="2026"/>
    <n v="1"/>
    <s v="27-01-2026"/>
    <n v="10067"/>
    <s v="1104-01"/>
    <n v="0"/>
    <n v="3302083"/>
    <s v="0966893109 abn crd db tran transba"/>
    <n v="-3302083"/>
    <s v="Activo"/>
    <n v="-3302083"/>
    <x v="9"/>
  </r>
  <r>
    <n v="2026"/>
    <n v="1"/>
    <s v="27-01-2026"/>
    <n v="10068"/>
    <s v="1104-01"/>
    <n v="0"/>
    <n v="139059"/>
    <s v="0761872877 transf. khipu spa"/>
    <n v="-139059"/>
    <s v="Activo"/>
    <n v="-139059"/>
    <x v="9"/>
  </r>
  <r>
    <n v="2026"/>
    <n v="1"/>
    <s v="27-01-2026"/>
    <n v="10183"/>
    <s v="1104-01"/>
    <n v="0"/>
    <n v="30000"/>
    <s v="Centralización recaudaciones enero 2026 #2039 - #2039"/>
    <n v="-30000"/>
    <s v="Activo"/>
    <n v="-30000"/>
    <x v="9"/>
  </r>
  <r>
    <n v="2026"/>
    <n v="1"/>
    <s v="27-01-2026"/>
    <n v="10242"/>
    <s v="1104-01"/>
    <n v="0"/>
    <n v="30000"/>
    <s v="Centralización recaudaciones enero 2026 #2098 - #2098"/>
    <n v="-30000"/>
    <s v="Activo"/>
    <n v="-30000"/>
    <x v="9"/>
  </r>
  <r>
    <n v="2026"/>
    <n v="1"/>
    <s v="27-01-2026"/>
    <n v="10256"/>
    <s v="1104-01"/>
    <n v="0"/>
    <n v="20990"/>
    <s v="Centralización recaudaciones enero 2026 #2112 - #2112"/>
    <n v="-20990"/>
    <s v="Activo"/>
    <n v="-20990"/>
    <x v="9"/>
  </r>
  <r>
    <n v="2026"/>
    <n v="1"/>
    <s v="27-01-2026"/>
    <n v="10274"/>
    <s v="1104-01"/>
    <n v="0"/>
    <n v="130400"/>
    <s v="Centralización recaudaciones enero 2026 #2130 - #2130"/>
    <n v="-130400"/>
    <s v="Activo"/>
    <n v="-130400"/>
    <x v="9"/>
  </r>
  <r>
    <n v="2026"/>
    <n v="1"/>
    <s v="27-01-2026"/>
    <n v="10277"/>
    <s v="1104-01"/>
    <n v="0"/>
    <n v="90000"/>
    <s v="Centralización recaudaciones enero 2026 #2133 - #2133"/>
    <n v="-90000"/>
    <s v="Activo"/>
    <n v="-90000"/>
    <x v="9"/>
  </r>
  <r>
    <n v="2026"/>
    <n v="1"/>
    <s v="27-01-2026"/>
    <n v="10328"/>
    <s v="1104-01"/>
    <n v="0"/>
    <n v="40000"/>
    <s v="Centralización recaudaciones enero 2026 #2184 - #2184"/>
    <n v="-40000"/>
    <s v="Activo"/>
    <n v="-40000"/>
    <x v="9"/>
  </r>
  <r>
    <n v="2026"/>
    <n v="1"/>
    <s v="27-01-2026"/>
    <n v="10329"/>
    <s v="1104-01"/>
    <n v="0"/>
    <n v="38990"/>
    <s v="Centralización recaudaciones enero 2026 #2185 - #2185"/>
    <n v="-38990"/>
    <s v="Activo"/>
    <n v="-38990"/>
    <x v="9"/>
  </r>
  <r>
    <n v="2026"/>
    <n v="1"/>
    <s v="27-01-2026"/>
    <n v="10360"/>
    <s v="1104-01"/>
    <n v="0"/>
    <n v="35960"/>
    <s v="Centralización recaudaciones enero 2026 #2216 - #2216"/>
    <n v="-35960"/>
    <s v="Activo"/>
    <n v="-35960"/>
    <x v="9"/>
  </r>
  <r>
    <n v="2026"/>
    <n v="1"/>
    <s v="27-01-2026"/>
    <n v="10393"/>
    <s v="1104-01"/>
    <n v="0"/>
    <n v="43980"/>
    <s v="Centralización recaudaciones enero 2026 #2249 - #2249"/>
    <n v="-43980"/>
    <s v="Activo"/>
    <n v="-43980"/>
    <x v="9"/>
  </r>
  <r>
    <n v="2026"/>
    <n v="1"/>
    <s v="27-01-2026"/>
    <n v="10429"/>
    <s v="1104-01"/>
    <n v="0"/>
    <n v="21990"/>
    <s v="Centralización recaudaciones enero 2026 #2285 - #2285"/>
    <n v="-21990"/>
    <s v="Activo"/>
    <n v="-21990"/>
    <x v="9"/>
  </r>
  <r>
    <n v="2026"/>
    <n v="1"/>
    <s v="27-01-2026"/>
    <n v="10465"/>
    <s v="1104-01"/>
    <n v="0"/>
    <n v="30000"/>
    <s v="Centralización recaudaciones enero 2026 #2321 - #2321"/>
    <n v="-30000"/>
    <s v="Activo"/>
    <n v="-30000"/>
    <x v="9"/>
  </r>
  <r>
    <n v="2026"/>
    <n v="1"/>
    <s v="27-01-2026"/>
    <n v="10490"/>
    <s v="1104-01"/>
    <n v="0"/>
    <n v="53980"/>
    <s v="Cumbre corredores de seguros limitada"/>
    <n v="-53980"/>
    <s v="Activo"/>
    <n v="-53980"/>
    <x v="9"/>
  </r>
  <r>
    <n v="2026"/>
    <n v="1"/>
    <s v="27-01-2026"/>
    <n v="10490"/>
    <s v="1104-01"/>
    <n v="0"/>
    <n v="10"/>
    <s v="Patricio hernan delgado calderon"/>
    <n v="-10"/>
    <s v="Activo"/>
    <n v="-10"/>
    <x v="9"/>
  </r>
  <r>
    <n v="2026"/>
    <n v="1"/>
    <s v="27-01-2026"/>
    <n v="10490"/>
    <s v="1104-01"/>
    <n v="0"/>
    <n v="10"/>
    <s v="Exportadores del agro s a"/>
    <n v="-10"/>
    <s v="Activo"/>
    <n v="-10"/>
    <x v="9"/>
  </r>
  <r>
    <n v="2026"/>
    <n v="1"/>
    <s v="27-01-2026"/>
    <n v="10490"/>
    <s v="1104-01"/>
    <n v="0"/>
    <n v="6059"/>
    <s v="Comercializadora de productos de iluminacion ilumina limitada"/>
    <n v="-6059"/>
    <s v="Activo"/>
    <n v="-6059"/>
    <x v="9"/>
  </r>
  <r>
    <n v="2026"/>
    <n v="1"/>
    <s v="27-01-2026"/>
    <n v="10490"/>
    <s v="1104-01"/>
    <n v="0"/>
    <n v="3931"/>
    <s v="Condominio aguas claras laguna del sol lote b uno"/>
    <n v="-3931"/>
    <s v="Activo"/>
    <n v="-3931"/>
    <x v="9"/>
  </r>
  <r>
    <n v="2026"/>
    <n v="1"/>
    <s v="27-01-2026"/>
    <n v="10490"/>
    <s v="1104-01"/>
    <n v="0"/>
    <n v="14990"/>
    <s v="Comercial las coincidencias spa"/>
    <n v="-14990"/>
    <s v="Activo"/>
    <n v="-14990"/>
    <x v="9"/>
  </r>
  <r>
    <n v="2026"/>
    <n v="1"/>
    <s v="27-01-2026"/>
    <n v="10490"/>
    <s v="1104-01"/>
    <n v="0"/>
    <n v="10"/>
    <s v="Ingenieria y servicios computacionales akinet spa"/>
    <n v="-10"/>
    <s v="Activo"/>
    <n v="-10"/>
    <x v="9"/>
  </r>
  <r>
    <n v="2026"/>
    <n v="1"/>
    <s v="28-01-2026"/>
    <n v="10069"/>
    <s v="1104-01"/>
    <n v="0"/>
    <n v="3541987"/>
    <s v="0966893109 abn crd db tran transba"/>
    <n v="-3541987"/>
    <s v="Activo"/>
    <n v="-3541987"/>
    <x v="9"/>
  </r>
  <r>
    <n v="2026"/>
    <n v="1"/>
    <s v="28-01-2026"/>
    <n v="10070"/>
    <s v="1104-01"/>
    <n v="0"/>
    <n v="1389207"/>
    <s v="0761872877 transf. khipu spa"/>
    <n v="-1389207"/>
    <s v="Activo"/>
    <n v="-1389207"/>
    <x v="9"/>
  </r>
  <r>
    <n v="2026"/>
    <n v="1"/>
    <s v="28-01-2026"/>
    <n v="10211"/>
    <s v="1104-01"/>
    <n v="0"/>
    <n v="45000"/>
    <s v="Centralización recaudaciones enero 2026 #2067 - #2067"/>
    <n v="-45000"/>
    <s v="Activo"/>
    <n v="-45000"/>
    <x v="9"/>
  </r>
  <r>
    <n v="2026"/>
    <n v="1"/>
    <s v="28-01-2026"/>
    <n v="10213"/>
    <s v="1104-01"/>
    <n v="0"/>
    <n v="30000"/>
    <s v="Centralización recaudaciones enero 2026 #2069 - #2069"/>
    <n v="-30000"/>
    <s v="Activo"/>
    <n v="-30000"/>
    <x v="9"/>
  </r>
  <r>
    <n v="2026"/>
    <n v="1"/>
    <s v="28-01-2026"/>
    <n v="10217"/>
    <s v="1104-01"/>
    <n v="0"/>
    <n v="90980"/>
    <s v="Centralización recaudaciones enero 2026 #2073 - #2073"/>
    <n v="-90980"/>
    <s v="Activo"/>
    <n v="-90980"/>
    <x v="9"/>
  </r>
  <r>
    <n v="2026"/>
    <n v="1"/>
    <s v="28-01-2026"/>
    <n v="10220"/>
    <s v="1104-01"/>
    <n v="0"/>
    <n v="30000"/>
    <s v="Centralización recaudaciones enero 2026 #2076 - #2076"/>
    <n v="-30000"/>
    <s v="Activo"/>
    <n v="-30000"/>
    <x v="9"/>
  </r>
  <r>
    <n v="2026"/>
    <n v="1"/>
    <s v="28-01-2026"/>
    <n v="10221"/>
    <s v="1104-01"/>
    <n v="0"/>
    <n v="30000"/>
    <s v="Centralización recaudaciones enero 2026 #2077 - #2077"/>
    <n v="-30000"/>
    <s v="Activo"/>
    <n v="-30000"/>
    <x v="9"/>
  </r>
  <r>
    <n v="2026"/>
    <n v="1"/>
    <s v="28-01-2026"/>
    <n v="10227"/>
    <s v="1104-01"/>
    <n v="0"/>
    <n v="30000"/>
    <s v="Centralización recaudaciones enero 2026 #2083 - #2083"/>
    <n v="-30000"/>
    <s v="Activo"/>
    <n v="-30000"/>
    <x v="9"/>
  </r>
  <r>
    <n v="2026"/>
    <n v="1"/>
    <s v="28-01-2026"/>
    <n v="10229"/>
    <s v="1104-01"/>
    <n v="0"/>
    <n v="104000"/>
    <s v="Centralización recaudaciones enero 2026 #2085 - #2085"/>
    <n v="-104000"/>
    <s v="Activo"/>
    <n v="-104000"/>
    <x v="9"/>
  </r>
  <r>
    <n v="2026"/>
    <n v="1"/>
    <s v="28-01-2026"/>
    <n v="10232"/>
    <s v="1104-01"/>
    <n v="0"/>
    <n v="30000"/>
    <s v="Centralización recaudaciones enero 2026 #2088 - #2088"/>
    <n v="-30000"/>
    <s v="Activo"/>
    <n v="-30000"/>
    <x v="9"/>
  </r>
  <r>
    <n v="2026"/>
    <n v="1"/>
    <s v="28-01-2026"/>
    <n v="10233"/>
    <s v="1104-01"/>
    <n v="0"/>
    <n v="30000"/>
    <s v="Centralización recaudaciones enero 2026 #2089 - #2089"/>
    <n v="-30000"/>
    <s v="Activo"/>
    <n v="-30000"/>
    <x v="9"/>
  </r>
  <r>
    <n v="2026"/>
    <n v="1"/>
    <s v="28-01-2026"/>
    <n v="10243"/>
    <s v="1104-01"/>
    <n v="0"/>
    <n v="30000"/>
    <s v="Centralización recaudaciones enero 2026 #2099 - #2099"/>
    <n v="-30000"/>
    <s v="Activo"/>
    <n v="-30000"/>
    <x v="9"/>
  </r>
  <r>
    <n v="2026"/>
    <n v="1"/>
    <s v="28-01-2026"/>
    <n v="10248"/>
    <s v="1104-01"/>
    <n v="0"/>
    <n v="30000"/>
    <s v="Centralización recaudaciones enero 2026 #2104 - #2104"/>
    <n v="-30000"/>
    <s v="Activo"/>
    <n v="-30000"/>
    <x v="9"/>
  </r>
  <r>
    <n v="2026"/>
    <n v="1"/>
    <s v="28-01-2026"/>
    <n v="10249"/>
    <s v="1104-01"/>
    <n v="0"/>
    <n v="33990"/>
    <s v="Centralización recaudaciones enero 2026 #2105 - #2105"/>
    <n v="-33990"/>
    <s v="Activo"/>
    <n v="-33990"/>
    <x v="9"/>
  </r>
  <r>
    <n v="2026"/>
    <n v="1"/>
    <s v="28-01-2026"/>
    <n v="10254"/>
    <s v="1104-01"/>
    <n v="0"/>
    <n v="30000"/>
    <s v="Centralización recaudaciones enero 2026 #2110 - #2110"/>
    <n v="-30000"/>
    <s v="Activo"/>
    <n v="-30000"/>
    <x v="9"/>
  </r>
  <r>
    <n v="2026"/>
    <n v="1"/>
    <s v="28-01-2026"/>
    <n v="10261"/>
    <s v="1104-01"/>
    <n v="0"/>
    <n v="134351"/>
    <s v="Centralización recaudaciones enero 2026 #2117 - #2117"/>
    <n v="-134351"/>
    <s v="Activo"/>
    <n v="-134351"/>
    <x v="9"/>
  </r>
  <r>
    <n v="2026"/>
    <n v="1"/>
    <s v="28-01-2026"/>
    <n v="10273"/>
    <s v="1104-01"/>
    <n v="0"/>
    <n v="30000"/>
    <s v="Centralización recaudaciones enero 2026 #2129 - #2129"/>
    <n v="-30000"/>
    <s v="Activo"/>
    <n v="-30000"/>
    <x v="9"/>
  </r>
  <r>
    <n v="2026"/>
    <n v="1"/>
    <s v="28-01-2026"/>
    <n v="10281"/>
    <s v="1104-01"/>
    <n v="0"/>
    <n v="40000"/>
    <s v="Centralización recaudaciones enero 2026 #2137 - #2137"/>
    <n v="-40000"/>
    <s v="Activo"/>
    <n v="-40000"/>
    <x v="9"/>
  </r>
  <r>
    <n v="2026"/>
    <n v="1"/>
    <s v="28-01-2026"/>
    <n v="10291"/>
    <s v="1104-01"/>
    <n v="0"/>
    <n v="15990"/>
    <s v="Centralización recaudaciones enero 2026 #2147 - #2147"/>
    <n v="-15990"/>
    <s v="Activo"/>
    <n v="-15990"/>
    <x v="9"/>
  </r>
  <r>
    <n v="2026"/>
    <n v="1"/>
    <s v="28-01-2026"/>
    <n v="10296"/>
    <s v="1104-01"/>
    <n v="0"/>
    <n v="30000"/>
    <s v="Centralización recaudaciones enero 2026 #2152 - #2152"/>
    <n v="-30000"/>
    <s v="Activo"/>
    <n v="-30000"/>
    <x v="9"/>
  </r>
  <r>
    <n v="2026"/>
    <n v="1"/>
    <s v="28-01-2026"/>
    <n v="10300"/>
    <s v="1104-01"/>
    <n v="0"/>
    <n v="33990"/>
    <s v="Centralización recaudaciones enero 2026 #2156 - #2156"/>
    <n v="-33990"/>
    <s v="Activo"/>
    <n v="-33990"/>
    <x v="9"/>
  </r>
  <r>
    <n v="2026"/>
    <n v="1"/>
    <s v="28-01-2026"/>
    <n v="10301"/>
    <s v="1104-01"/>
    <n v="0"/>
    <n v="41990"/>
    <s v="Centralización recaudaciones enero 2026 #2157 - #2157"/>
    <n v="-41990"/>
    <s v="Activo"/>
    <n v="-41990"/>
    <x v="9"/>
  </r>
  <r>
    <n v="2026"/>
    <n v="1"/>
    <s v="28-01-2026"/>
    <n v="10333"/>
    <s v="1104-01"/>
    <n v="0"/>
    <n v="169525"/>
    <s v="Centralización recaudaciones enero 2026 #2189 - #2189"/>
    <n v="-169525"/>
    <s v="Activo"/>
    <n v="-169525"/>
    <x v="9"/>
  </r>
  <r>
    <n v="2026"/>
    <n v="1"/>
    <s v="28-01-2026"/>
    <n v="10359"/>
    <s v="1104-01"/>
    <n v="0"/>
    <n v="60000"/>
    <s v="Centralización recaudaciones enero 2026 #2215 - #2215"/>
    <n v="-60000"/>
    <s v="Activo"/>
    <n v="-60000"/>
    <x v="9"/>
  </r>
  <r>
    <n v="2026"/>
    <n v="1"/>
    <s v="28-01-2026"/>
    <n v="10363"/>
    <s v="1104-01"/>
    <n v="0"/>
    <n v="14990"/>
    <s v="Centralización recaudaciones enero 2026 #2219 - #2219"/>
    <n v="-14990"/>
    <s v="Activo"/>
    <n v="-14990"/>
    <x v="9"/>
  </r>
  <r>
    <n v="2026"/>
    <n v="1"/>
    <s v="28-01-2026"/>
    <n v="10376"/>
    <s v="1104-01"/>
    <n v="0"/>
    <n v="28990"/>
    <s v="Centralización recaudaciones enero 2026 #2232 - #2232"/>
    <n v="-28990"/>
    <s v="Activo"/>
    <n v="-28990"/>
    <x v="9"/>
  </r>
  <r>
    <n v="2026"/>
    <n v="1"/>
    <s v="28-01-2026"/>
    <n v="10384"/>
    <s v="1104-01"/>
    <n v="0"/>
    <n v="53990"/>
    <s v="Centralización recaudaciones enero 2026 #2240 - #2240"/>
    <n v="-53990"/>
    <s v="Activo"/>
    <n v="-53990"/>
    <x v="9"/>
  </r>
  <r>
    <n v="2026"/>
    <n v="1"/>
    <s v="28-01-2026"/>
    <n v="10394"/>
    <s v="1104-01"/>
    <n v="0"/>
    <n v="424580"/>
    <s v="Centralización recaudaciones enero 2026 #2250 - #2250"/>
    <n v="-424580"/>
    <s v="Activo"/>
    <n v="-424580"/>
    <x v="9"/>
  </r>
  <r>
    <n v="2026"/>
    <n v="1"/>
    <s v="28-01-2026"/>
    <n v="10397"/>
    <s v="1104-01"/>
    <n v="0"/>
    <n v="24980"/>
    <s v="Centralización recaudaciones enero 2026 #2253 - #2253"/>
    <n v="-24980"/>
    <s v="Activo"/>
    <n v="-24980"/>
    <x v="9"/>
  </r>
  <r>
    <n v="2026"/>
    <n v="1"/>
    <s v="28-01-2026"/>
    <n v="10398"/>
    <s v="1104-01"/>
    <n v="0"/>
    <n v="50000"/>
    <s v="Centralización recaudaciones enero 2026 #2254 - #2254"/>
    <n v="-50000"/>
    <s v="Activo"/>
    <n v="-50000"/>
    <x v="9"/>
  </r>
  <r>
    <n v="2026"/>
    <n v="1"/>
    <s v="28-01-2026"/>
    <n v="10402"/>
    <s v="1104-01"/>
    <n v="0"/>
    <n v="40000"/>
    <s v="Centralización recaudaciones enero 2026 #2258 - #2258"/>
    <n v="-40000"/>
    <s v="Activo"/>
    <n v="-40000"/>
    <x v="9"/>
  </r>
  <r>
    <n v="2026"/>
    <n v="1"/>
    <s v="28-01-2026"/>
    <n v="10405"/>
    <s v="1104-01"/>
    <n v="0"/>
    <n v="21990"/>
    <s v="Centralización recaudaciones enero 2026 #2261 - #2261"/>
    <n v="-21990"/>
    <s v="Activo"/>
    <n v="-21990"/>
    <x v="9"/>
  </r>
  <r>
    <n v="2026"/>
    <n v="1"/>
    <s v="28-01-2026"/>
    <n v="10414"/>
    <s v="1104-01"/>
    <n v="0"/>
    <n v="10000"/>
    <s v="Centralización recaudaciones enero 2026 #2270 - #2270"/>
    <n v="-10000"/>
    <s v="Activo"/>
    <n v="-10000"/>
    <x v="9"/>
  </r>
  <r>
    <n v="2026"/>
    <n v="1"/>
    <s v="28-01-2026"/>
    <n v="10416"/>
    <s v="1104-01"/>
    <n v="0"/>
    <n v="40000"/>
    <s v="Centralización recaudaciones enero 2026 #2272 - #2272"/>
    <n v="-40000"/>
    <s v="Activo"/>
    <n v="-40000"/>
    <x v="9"/>
  </r>
  <r>
    <n v="2026"/>
    <n v="1"/>
    <s v="28-01-2026"/>
    <n v="10419"/>
    <s v="1104-01"/>
    <n v="0"/>
    <n v="30000"/>
    <s v="Centralización recaudaciones enero 2026 #2275 - #2275"/>
    <n v="-30000"/>
    <s v="Activo"/>
    <n v="-30000"/>
    <x v="9"/>
  </r>
  <r>
    <n v="2026"/>
    <n v="1"/>
    <s v="28-01-2026"/>
    <n v="10422"/>
    <s v="1104-01"/>
    <n v="0"/>
    <n v="33990"/>
    <s v="Centralización recaudaciones enero 2026 #2278 - #2278"/>
    <n v="-33990"/>
    <s v="Activo"/>
    <n v="-33990"/>
    <x v="9"/>
  </r>
  <r>
    <n v="2026"/>
    <n v="1"/>
    <s v="28-01-2026"/>
    <n v="10430"/>
    <s v="1104-01"/>
    <n v="0"/>
    <n v="21990"/>
    <s v="Centralización recaudaciones enero 2026 #2286 - #2286"/>
    <n v="-21990"/>
    <s v="Activo"/>
    <n v="-21990"/>
    <x v="9"/>
  </r>
  <r>
    <n v="2026"/>
    <n v="1"/>
    <s v="28-01-2026"/>
    <n v="10431"/>
    <s v="1104-01"/>
    <n v="0"/>
    <n v="33990"/>
    <s v="Centralización recaudaciones enero 2026 #2287 - #2287"/>
    <n v="-33990"/>
    <s v="Activo"/>
    <n v="-33990"/>
    <x v="9"/>
  </r>
  <r>
    <n v="2026"/>
    <n v="1"/>
    <s v="28-01-2026"/>
    <n v="10435"/>
    <s v="1104-01"/>
    <n v="0"/>
    <n v="14990"/>
    <s v="Centralización recaudaciones enero 2026 #2291 - #2291"/>
    <n v="-14990"/>
    <s v="Activo"/>
    <n v="-14990"/>
    <x v="9"/>
  </r>
  <r>
    <n v="2026"/>
    <n v="1"/>
    <s v="28-01-2026"/>
    <n v="10442"/>
    <s v="1104-01"/>
    <n v="0"/>
    <n v="20990"/>
    <s v="Centralización recaudaciones enero 2026 #2298 - #2298"/>
    <n v="-20990"/>
    <s v="Activo"/>
    <n v="-20990"/>
    <x v="9"/>
  </r>
  <r>
    <n v="2026"/>
    <n v="1"/>
    <s v="28-01-2026"/>
    <n v="10449"/>
    <s v="1104-01"/>
    <n v="0"/>
    <n v="17990"/>
    <s v="Centralización recaudaciones enero 2026 #2305 - #2305"/>
    <n v="-17990"/>
    <s v="Activo"/>
    <n v="-17990"/>
    <x v="9"/>
  </r>
  <r>
    <n v="2026"/>
    <n v="1"/>
    <s v="28-01-2026"/>
    <n v="10452"/>
    <s v="1104-01"/>
    <n v="0"/>
    <n v="25000"/>
    <s v="Centralización recaudaciones enero 2026 #2308 - #2308"/>
    <n v="-25000"/>
    <s v="Activo"/>
    <n v="-25000"/>
    <x v="9"/>
  </r>
  <r>
    <n v="2026"/>
    <n v="1"/>
    <s v="28-01-2026"/>
    <n v="10456"/>
    <s v="1104-01"/>
    <n v="0"/>
    <n v="44000"/>
    <s v="Centralización recaudaciones enero 2026 #2312 - #2312"/>
    <n v="-44000"/>
    <s v="Activo"/>
    <n v="-44000"/>
    <x v="9"/>
  </r>
  <r>
    <n v="2026"/>
    <n v="1"/>
    <s v="28-01-2026"/>
    <n v="10466"/>
    <s v="1104-01"/>
    <n v="0"/>
    <n v="1706000"/>
    <s v="Centralización recaudaciones enero 2026 #2322 - #2322"/>
    <n v="-1706000"/>
    <s v="Activo"/>
    <n v="-1706000"/>
    <x v="9"/>
  </r>
  <r>
    <n v="2026"/>
    <n v="1"/>
    <s v="28-01-2026"/>
    <n v="10491"/>
    <s v="1104-01"/>
    <n v="0"/>
    <n v="52980"/>
    <s v="Ingeniería inversa limitada"/>
    <n v="-52980"/>
    <s v="Activo"/>
    <n v="-52980"/>
    <x v="9"/>
  </r>
  <r>
    <n v="2026"/>
    <n v="1"/>
    <s v="28-01-2026"/>
    <n v="10491"/>
    <s v="1104-01"/>
    <n v="0"/>
    <n v="10"/>
    <s v="Comercial clf spa"/>
    <n v="-10"/>
    <s v="Activo"/>
    <n v="-10"/>
    <x v="9"/>
  </r>
  <r>
    <n v="2026"/>
    <n v="1"/>
    <s v="28-01-2026"/>
    <n v="10491"/>
    <s v="1104-01"/>
    <n v="0"/>
    <n v="267"/>
    <s v="Carola angelica silva alvarez"/>
    <n v="-267"/>
    <s v="Activo"/>
    <n v="-267"/>
    <x v="9"/>
  </r>
  <r>
    <n v="2026"/>
    <n v="1"/>
    <s v="28-01-2026"/>
    <n v="10491"/>
    <s v="1104-01"/>
    <n v="0"/>
    <n v="723"/>
    <s v="Bwtech spa"/>
    <n v="-723"/>
    <s v="Activo"/>
    <n v="-723"/>
    <x v="9"/>
  </r>
  <r>
    <n v="2026"/>
    <n v="1"/>
    <s v="28-01-2026"/>
    <n v="10491"/>
    <s v="1104-01"/>
    <n v="0"/>
    <n v="53538"/>
    <s v="Latorre y parodi spa"/>
    <n v="-53538"/>
    <s v="Activo"/>
    <n v="-53538"/>
    <x v="9"/>
  </r>
  <r>
    <n v="2026"/>
    <n v="1"/>
    <s v="28-01-2026"/>
    <n v="10491"/>
    <s v="1104-01"/>
    <n v="0"/>
    <n v="20"/>
    <s v="Elaboraciin de otros productos de alimenticios y sus derivados moiss antonio saavedra valds e"/>
    <n v="-20"/>
    <s v="Activo"/>
    <n v="-20"/>
    <x v="9"/>
  </r>
  <r>
    <n v="2026"/>
    <n v="1"/>
    <s v="28-01-2026"/>
    <n v="10491"/>
    <s v="1104-01"/>
    <n v="0"/>
    <n v="432"/>
    <s v="Boletas"/>
    <n v="-432"/>
    <s v="Activo"/>
    <n v="-432"/>
    <x v="9"/>
  </r>
  <r>
    <n v="2026"/>
    <n v="1"/>
    <s v="28-01-2026"/>
    <n v="10491"/>
    <s v="1104-01"/>
    <n v="0"/>
    <n v="19990"/>
    <s v="Victor jorge sepulveda correa"/>
    <n v="-19990"/>
    <s v="Activo"/>
    <n v="-19990"/>
    <x v="9"/>
  </r>
  <r>
    <n v="2026"/>
    <n v="1"/>
    <s v="28-01-2026"/>
    <n v="10491"/>
    <s v="1104-01"/>
    <n v="0"/>
    <n v="10"/>
    <s v="Comercializadora d z spa"/>
    <n v="-10"/>
    <s v="Activo"/>
    <n v="-10"/>
    <x v="9"/>
  </r>
  <r>
    <n v="2026"/>
    <n v="1"/>
    <s v="29-01-2026"/>
    <n v="10071"/>
    <s v="1104-01"/>
    <n v="0"/>
    <n v="13285131"/>
    <s v="0966893109 abn crd db tran transba"/>
    <n v="-13285131"/>
    <s v="Activo"/>
    <n v="-13285131"/>
    <x v="9"/>
  </r>
  <r>
    <n v="2026"/>
    <n v="1"/>
    <s v="29-01-2026"/>
    <n v="10073"/>
    <s v="1104-01"/>
    <n v="0"/>
    <n v="394607"/>
    <s v="0761831402 transf."/>
    <n v="-394607"/>
    <s v="Activo"/>
    <n v="-394607"/>
    <x v="9"/>
  </r>
  <r>
    <n v="2026"/>
    <n v="1"/>
    <s v="29-01-2026"/>
    <n v="10074"/>
    <s v="1104-01"/>
    <n v="0"/>
    <n v="392149"/>
    <s v="0761872877 transf. khipu spa"/>
    <n v="-392149"/>
    <s v="Activo"/>
    <n v="-392149"/>
    <x v="9"/>
  </r>
  <r>
    <n v="2026"/>
    <n v="1"/>
    <s v="29-01-2026"/>
    <n v="10196"/>
    <s v="1104-01"/>
    <n v="0"/>
    <n v="56980"/>
    <s v="Centralización recaudaciones enero 2026 #2052 - #2052"/>
    <n v="-56980"/>
    <s v="Activo"/>
    <n v="-56980"/>
    <x v="9"/>
  </r>
  <r>
    <n v="2026"/>
    <n v="1"/>
    <s v="29-01-2026"/>
    <n v="10203"/>
    <s v="1104-01"/>
    <n v="0"/>
    <n v="30000"/>
    <s v="Centralización recaudaciones enero 2026 #2059 - #2059"/>
    <n v="-30000"/>
    <s v="Activo"/>
    <n v="-30000"/>
    <x v="9"/>
  </r>
  <r>
    <n v="2026"/>
    <n v="1"/>
    <s v="29-01-2026"/>
    <n v="10214"/>
    <s v="1104-01"/>
    <n v="0"/>
    <n v="30000"/>
    <s v="Centralización recaudaciones enero 2026 #2070 - #2070"/>
    <n v="-30000"/>
    <s v="Activo"/>
    <n v="-30000"/>
    <x v="9"/>
  </r>
  <r>
    <n v="2026"/>
    <n v="1"/>
    <s v="29-01-2026"/>
    <n v="10293"/>
    <s v="1104-01"/>
    <n v="0"/>
    <n v="63980"/>
    <s v="Centralización recaudaciones enero 2026 #2149 - #2149"/>
    <n v="-63980"/>
    <s v="Activo"/>
    <n v="-63980"/>
    <x v="9"/>
  </r>
  <r>
    <n v="2026"/>
    <n v="1"/>
    <s v="29-01-2026"/>
    <n v="10356"/>
    <s v="1104-01"/>
    <n v="0"/>
    <n v="40000"/>
    <s v="Centralización recaudaciones enero 2026 #2212 - #2212"/>
    <n v="-40000"/>
    <s v="Activo"/>
    <n v="-40000"/>
    <x v="9"/>
  </r>
  <r>
    <n v="2026"/>
    <n v="1"/>
    <s v="29-01-2026"/>
    <n v="10361"/>
    <s v="1104-01"/>
    <n v="0"/>
    <n v="36990"/>
    <s v="Centralización recaudaciones enero 2026 #2217 - #2217"/>
    <n v="-36990"/>
    <s v="Activo"/>
    <n v="-36990"/>
    <x v="9"/>
  </r>
  <r>
    <n v="2026"/>
    <n v="1"/>
    <s v="29-01-2026"/>
    <n v="10362"/>
    <s v="1104-01"/>
    <n v="0"/>
    <n v="36990"/>
    <s v="Centralización recaudaciones enero 2026 #2218 - #2218"/>
    <n v="-36990"/>
    <s v="Activo"/>
    <n v="-36990"/>
    <x v="9"/>
  </r>
  <r>
    <n v="2026"/>
    <n v="1"/>
    <s v="29-01-2026"/>
    <n v="10379"/>
    <s v="1104-01"/>
    <n v="0"/>
    <n v="21990"/>
    <s v="Centralización recaudaciones enero 2026 #2235 - #2235"/>
    <n v="-21990"/>
    <s v="Activo"/>
    <n v="-21990"/>
    <x v="9"/>
  </r>
  <r>
    <n v="2026"/>
    <n v="1"/>
    <s v="29-01-2026"/>
    <n v="10385"/>
    <s v="1104-01"/>
    <n v="0"/>
    <n v="28900"/>
    <s v="Centralización recaudaciones enero 2026 #2241 - #2241"/>
    <n v="-28900"/>
    <s v="Activo"/>
    <n v="-28900"/>
    <x v="9"/>
  </r>
  <r>
    <n v="2026"/>
    <n v="1"/>
    <s v="29-01-2026"/>
    <n v="10396"/>
    <s v="1104-01"/>
    <n v="0"/>
    <n v="674102"/>
    <s v="Centralización recaudaciones enero 2026 #2252 - #2252"/>
    <n v="-674102"/>
    <s v="Activo"/>
    <n v="-674102"/>
    <x v="9"/>
  </r>
  <r>
    <n v="2026"/>
    <n v="1"/>
    <s v="29-01-2026"/>
    <n v="10411"/>
    <s v="1104-01"/>
    <n v="0"/>
    <n v="32960"/>
    <s v="Centralización recaudaciones enero 2026 #2267 - #2267"/>
    <n v="-32960"/>
    <s v="Activo"/>
    <n v="-32960"/>
    <x v="9"/>
  </r>
  <r>
    <n v="2026"/>
    <n v="1"/>
    <s v="29-01-2026"/>
    <n v="10441"/>
    <s v="1104-01"/>
    <n v="0"/>
    <n v="30000"/>
    <s v="Centralización recaudaciones enero 2026 #2297 - #2297"/>
    <n v="-30000"/>
    <s v="Activo"/>
    <n v="-30000"/>
    <x v="9"/>
  </r>
  <r>
    <n v="2026"/>
    <n v="1"/>
    <s v="29-01-2026"/>
    <n v="10444"/>
    <s v="1104-01"/>
    <n v="0"/>
    <n v="40000"/>
    <s v="Centralización recaudaciones enero 2026 #2300 - #2300"/>
    <n v="-40000"/>
    <s v="Activo"/>
    <n v="-40000"/>
    <x v="9"/>
  </r>
  <r>
    <n v="2026"/>
    <n v="1"/>
    <s v="29-01-2026"/>
    <n v="10492"/>
    <s v="1104-01"/>
    <n v="0"/>
    <n v="36980"/>
    <s v="Rafael mariano ferreyra espada"/>
    <n v="-36980"/>
    <s v="Activo"/>
    <n v="-36980"/>
    <x v="9"/>
  </r>
  <r>
    <n v="2026"/>
    <n v="1"/>
    <s v="29-01-2026"/>
    <n v="10492"/>
    <s v="1104-01"/>
    <n v="0"/>
    <n v="10"/>
    <s v="Bwtech spa"/>
    <n v="-10"/>
    <s v="Activo"/>
    <n v="-10"/>
    <x v="9"/>
  </r>
  <r>
    <n v="2026"/>
    <n v="1"/>
    <s v="29-01-2026"/>
    <n v="10492"/>
    <s v="1104-01"/>
    <n v="0"/>
    <n v="36954"/>
    <s v="Rc constructora y transportes spa"/>
    <n v="-36954"/>
    <s v="Activo"/>
    <n v="-36954"/>
    <x v="9"/>
  </r>
  <r>
    <n v="2026"/>
    <n v="1"/>
    <s v="29-01-2026"/>
    <n v="10492"/>
    <s v="1104-01"/>
    <n v="0"/>
    <n v="36"/>
    <s v="Servicios de ingenieria y gestión de proyectos adar spa"/>
    <n v="-36"/>
    <s v="Activo"/>
    <n v="-36"/>
    <x v="9"/>
  </r>
  <r>
    <n v="2026"/>
    <n v="1"/>
    <s v="29-01-2026"/>
    <n v="10492"/>
    <s v="1104-01"/>
    <n v="0"/>
    <n v="33980"/>
    <s v="Lustingsons sociedad anonima"/>
    <n v="-33980"/>
    <s v="Activo"/>
    <n v="-33980"/>
    <x v="9"/>
  </r>
  <r>
    <n v="2026"/>
    <n v="1"/>
    <s v="29-01-2026"/>
    <n v="10492"/>
    <s v="1104-01"/>
    <n v="0"/>
    <n v="10"/>
    <s v="Bwtech spa"/>
    <n v="-10"/>
    <s v="Activo"/>
    <n v="-10"/>
    <x v="9"/>
  </r>
  <r>
    <n v="2026"/>
    <n v="1"/>
    <s v="29-01-2026"/>
    <n v="10492"/>
    <s v="1104-01"/>
    <n v="0"/>
    <n v="33490"/>
    <s v="Comercializadora bsa spa"/>
    <n v="-33490"/>
    <s v="Activo"/>
    <n v="-33490"/>
    <x v="9"/>
  </r>
  <r>
    <n v="2026"/>
    <n v="1"/>
    <s v="29-01-2026"/>
    <n v="10492"/>
    <s v="1104-01"/>
    <n v="0"/>
    <n v="20"/>
    <s v="Hernan ulises leiva figueroa"/>
    <n v="-20"/>
    <s v="Activo"/>
    <n v="-20"/>
    <x v="9"/>
  </r>
  <r>
    <n v="2026"/>
    <n v="1"/>
    <s v="29-01-2026"/>
    <n v="10492"/>
    <s v="1104-01"/>
    <n v="0"/>
    <n v="54"/>
    <s v="Servicios de ingenieria y gestión de proyectos adar spa"/>
    <n v="-54"/>
    <s v="Activo"/>
    <n v="-54"/>
    <x v="9"/>
  </r>
  <r>
    <n v="2026"/>
    <n v="1"/>
    <s v="29-01-2026"/>
    <n v="10492"/>
    <s v="1104-01"/>
    <n v="0"/>
    <n v="257"/>
    <s v="Bwtech spa"/>
    <n v="-257"/>
    <s v="Activo"/>
    <n v="-257"/>
    <x v="9"/>
  </r>
  <r>
    <n v="2026"/>
    <n v="1"/>
    <s v="29-01-2026"/>
    <n v="10492"/>
    <s v="1104-01"/>
    <n v="0"/>
    <n v="169"/>
    <s v="Ingenieria y servicios computacionales akinet spa"/>
    <n v="-169"/>
    <s v="Activo"/>
    <n v="-169"/>
    <x v="9"/>
  </r>
  <r>
    <n v="2026"/>
    <n v="1"/>
    <s v="30-01-2026"/>
    <n v="10075"/>
    <s v="1104-01"/>
    <n v="0"/>
    <n v="8237680"/>
    <s v="0966893109 abn crd db tran transba"/>
    <n v="-8237680"/>
    <s v="Activo"/>
    <n v="-8237680"/>
    <x v="9"/>
  </r>
  <r>
    <n v="2026"/>
    <n v="1"/>
    <s v="30-01-2026"/>
    <n v="10076"/>
    <s v="1104-01"/>
    <n v="0"/>
    <n v="556860"/>
    <s v="0761872877 transf. khipu spa"/>
    <n v="-556860"/>
    <s v="Activo"/>
    <n v="-556860"/>
    <x v="9"/>
  </r>
  <r>
    <n v="2026"/>
    <n v="1"/>
    <s v="30-01-2026"/>
    <n v="10206"/>
    <s v="1104-01"/>
    <n v="0"/>
    <n v="30000"/>
    <s v="Centralización recaudaciones enero 2026 #2062 - #2062"/>
    <n v="-30000"/>
    <s v="Activo"/>
    <n v="-30000"/>
    <x v="9"/>
  </r>
  <r>
    <n v="2026"/>
    <n v="1"/>
    <s v="30-01-2026"/>
    <n v="10212"/>
    <s v="1104-01"/>
    <n v="0"/>
    <n v="130100"/>
    <s v="Centralización recaudaciones enero 2026 #2068 - #2068"/>
    <n v="-130100"/>
    <s v="Activo"/>
    <n v="-130100"/>
    <x v="9"/>
  </r>
  <r>
    <n v="2026"/>
    <n v="1"/>
    <s v="30-01-2026"/>
    <n v="10244"/>
    <s v="1104-01"/>
    <n v="0"/>
    <n v="30000"/>
    <s v="Centralización recaudaciones enero 2026 #2100 - #2100"/>
    <n v="-30000"/>
    <s v="Activo"/>
    <n v="-30000"/>
    <x v="9"/>
  </r>
  <r>
    <n v="2026"/>
    <n v="1"/>
    <s v="30-01-2026"/>
    <n v="10247"/>
    <s v="1104-01"/>
    <n v="0"/>
    <n v="30000"/>
    <s v="Centralización recaudaciones enero 2026 #2103 - #2103"/>
    <n v="-30000"/>
    <s v="Activo"/>
    <n v="-30000"/>
    <x v="9"/>
  </r>
  <r>
    <n v="2026"/>
    <n v="1"/>
    <s v="30-01-2026"/>
    <n v="10251"/>
    <s v="1104-01"/>
    <n v="0"/>
    <n v="30000"/>
    <s v="Centralización recaudaciones enero 2026 #2107 - #2107"/>
    <n v="-30000"/>
    <s v="Activo"/>
    <n v="-30000"/>
    <x v="9"/>
  </r>
  <r>
    <n v="2026"/>
    <n v="1"/>
    <s v="30-01-2026"/>
    <n v="10270"/>
    <s v="1104-01"/>
    <n v="0"/>
    <n v="60000"/>
    <s v="Centralización recaudaciones enero 2026 #2126 - #2126"/>
    <n v="-60000"/>
    <s v="Activo"/>
    <n v="-60000"/>
    <x v="9"/>
  </r>
  <r>
    <n v="2026"/>
    <n v="1"/>
    <s v="30-01-2026"/>
    <n v="10276"/>
    <s v="1104-01"/>
    <n v="0"/>
    <n v="30000"/>
    <s v="Centralización recaudaciones enero 2026 #2132 - #2132"/>
    <n v="-30000"/>
    <s v="Activo"/>
    <n v="-30000"/>
    <x v="9"/>
  </r>
  <r>
    <n v="2026"/>
    <n v="1"/>
    <s v="30-01-2026"/>
    <n v="10286"/>
    <s v="1104-01"/>
    <n v="0"/>
    <n v="50000"/>
    <s v="Centralización recaudaciones enero 2026 #2142 - #2142"/>
    <n v="-50000"/>
    <s v="Activo"/>
    <n v="-50000"/>
    <x v="9"/>
  </r>
  <r>
    <n v="2026"/>
    <n v="1"/>
    <s v="30-01-2026"/>
    <n v="10302"/>
    <s v="1104-01"/>
    <n v="0"/>
    <n v="424583"/>
    <s v="Centralización recaudaciones enero 2026 #2158 - #2158"/>
    <n v="-424583"/>
    <s v="Activo"/>
    <n v="-424583"/>
    <x v="9"/>
  </r>
  <r>
    <n v="2026"/>
    <n v="1"/>
    <s v="30-01-2026"/>
    <n v="10304"/>
    <s v="1104-01"/>
    <n v="0"/>
    <n v="30000"/>
    <s v="Centralización recaudaciones enero 2026 #2160 - #2160"/>
    <n v="-30000"/>
    <s v="Activo"/>
    <n v="-30000"/>
    <x v="9"/>
  </r>
  <r>
    <n v="2026"/>
    <n v="1"/>
    <s v="30-01-2026"/>
    <n v="10314"/>
    <s v="1104-01"/>
    <n v="0"/>
    <n v="1448247"/>
    <s v="Centralización recaudaciones enero 2026 #2170 - #2170"/>
    <n v="-1448247"/>
    <s v="Activo"/>
    <n v="-1448247"/>
    <x v="9"/>
  </r>
  <r>
    <n v="2026"/>
    <n v="1"/>
    <s v="30-01-2026"/>
    <n v="10319"/>
    <s v="1104-01"/>
    <n v="0"/>
    <n v="21990"/>
    <s v="Centralización recaudaciones enero 2026 #2175 - #2175"/>
    <n v="-21990"/>
    <s v="Activo"/>
    <n v="-21990"/>
    <x v="9"/>
  </r>
  <r>
    <n v="2026"/>
    <n v="1"/>
    <s v="30-01-2026"/>
    <n v="10335"/>
    <s v="1104-01"/>
    <n v="0"/>
    <n v="22990"/>
    <s v="Centralización recaudaciones enero 2026 #2191 - #2191"/>
    <n v="-22990"/>
    <s v="Activo"/>
    <n v="-22990"/>
    <x v="9"/>
  </r>
  <r>
    <n v="2026"/>
    <n v="1"/>
    <s v="30-01-2026"/>
    <n v="10340"/>
    <s v="1104-01"/>
    <n v="0"/>
    <n v="19990"/>
    <s v="Centralización recaudaciones enero 2026 #2196 - #2196"/>
    <n v="-19990"/>
    <s v="Activo"/>
    <n v="-19990"/>
    <x v="9"/>
  </r>
  <r>
    <n v="2026"/>
    <n v="1"/>
    <s v="30-01-2026"/>
    <n v="10347"/>
    <s v="1104-01"/>
    <n v="0"/>
    <n v="14990"/>
    <s v="Centralización recaudaciones enero 2026 #2203 - #2203"/>
    <n v="-14990"/>
    <s v="Activo"/>
    <n v="-14990"/>
    <x v="9"/>
  </r>
  <r>
    <n v="2026"/>
    <n v="1"/>
    <s v="30-01-2026"/>
    <n v="10352"/>
    <s v="1104-01"/>
    <n v="0"/>
    <n v="19990"/>
    <s v="Centralización recaudaciones enero 2026 #2208 - #2208"/>
    <n v="-19990"/>
    <s v="Activo"/>
    <n v="-19990"/>
    <x v="9"/>
  </r>
  <r>
    <n v="2026"/>
    <n v="1"/>
    <s v="30-01-2026"/>
    <n v="10368"/>
    <s v="1104-01"/>
    <n v="0"/>
    <n v="49990"/>
    <s v="Centralización recaudaciones enero 2026 #2224 - #2224"/>
    <n v="-49990"/>
    <s v="Activo"/>
    <n v="-49990"/>
    <x v="9"/>
  </r>
  <r>
    <n v="2026"/>
    <n v="1"/>
    <s v="30-01-2026"/>
    <n v="10372"/>
    <s v="1104-01"/>
    <n v="0"/>
    <n v="425637"/>
    <s v="Centralización recaudaciones enero 2026 #2228 - #2228"/>
    <n v="-425637"/>
    <s v="Activo"/>
    <n v="-425637"/>
    <x v="9"/>
  </r>
  <r>
    <n v="2026"/>
    <n v="1"/>
    <s v="30-01-2026"/>
    <n v="10378"/>
    <s v="1104-01"/>
    <n v="0"/>
    <n v="51990"/>
    <s v="Centralización recaudaciones enero 2026 #2234 - #2234"/>
    <n v="-51990"/>
    <s v="Activo"/>
    <n v="-51990"/>
    <x v="9"/>
  </r>
  <r>
    <n v="2026"/>
    <n v="1"/>
    <s v="30-01-2026"/>
    <n v="10387"/>
    <s v="1104-01"/>
    <n v="0"/>
    <n v="200789"/>
    <s v="Centralización recaudaciones enero 2026 #2243 - #2243"/>
    <n v="-200789"/>
    <s v="Activo"/>
    <n v="-200789"/>
    <x v="9"/>
  </r>
  <r>
    <n v="2026"/>
    <n v="1"/>
    <s v="30-01-2026"/>
    <n v="10403"/>
    <s v="1104-01"/>
    <n v="0"/>
    <n v="30000"/>
    <s v="Centralización recaudaciones enero 2026 #2259 - #2259"/>
    <n v="-30000"/>
    <s v="Activo"/>
    <n v="-30000"/>
    <x v="9"/>
  </r>
  <r>
    <n v="2026"/>
    <n v="1"/>
    <s v="30-01-2026"/>
    <n v="10404"/>
    <s v="1104-01"/>
    <n v="0"/>
    <n v="14990"/>
    <s v="Centralización recaudaciones enero 2026 #2260 - #2260"/>
    <n v="-14990"/>
    <s v="Activo"/>
    <n v="-14990"/>
    <x v="9"/>
  </r>
  <r>
    <n v="2026"/>
    <n v="1"/>
    <s v="30-01-2026"/>
    <n v="10413"/>
    <s v="1104-01"/>
    <n v="0"/>
    <n v="16990"/>
    <s v="Centralización recaudaciones enero 2026 #2269 - #2269"/>
    <n v="-16990"/>
    <s v="Activo"/>
    <n v="-16990"/>
    <x v="9"/>
  </r>
  <r>
    <n v="2026"/>
    <n v="1"/>
    <s v="30-01-2026"/>
    <n v="10418"/>
    <s v="1104-01"/>
    <n v="0"/>
    <n v="614808"/>
    <s v="Centralización recaudaciones enero 2026 #2274 - #2274"/>
    <n v="-614808"/>
    <s v="Activo"/>
    <n v="-614808"/>
    <x v="9"/>
  </r>
  <r>
    <n v="2026"/>
    <n v="1"/>
    <s v="30-01-2026"/>
    <n v="10421"/>
    <s v="1104-01"/>
    <n v="0"/>
    <n v="30000"/>
    <s v="Centralización recaudaciones enero 2026 #2277 - #2277"/>
    <n v="-30000"/>
    <s v="Activo"/>
    <n v="-30000"/>
    <x v="9"/>
  </r>
  <r>
    <n v="2026"/>
    <n v="1"/>
    <s v="30-01-2026"/>
    <n v="10424"/>
    <s v="1104-01"/>
    <n v="0"/>
    <n v="28990"/>
    <s v="Centralización recaudaciones enero 2026 #2280 - #2280"/>
    <n v="-28990"/>
    <s v="Activo"/>
    <n v="-28990"/>
    <x v="9"/>
  </r>
  <r>
    <n v="2026"/>
    <n v="1"/>
    <s v="30-01-2026"/>
    <n v="10428"/>
    <s v="1104-01"/>
    <n v="0"/>
    <n v="28990"/>
    <s v="Centralización recaudaciones enero 2026 #2284 - #2284"/>
    <n v="-28990"/>
    <s v="Activo"/>
    <n v="-28990"/>
    <x v="9"/>
  </r>
  <r>
    <n v="2026"/>
    <n v="1"/>
    <s v="30-01-2026"/>
    <n v="10439"/>
    <s v="1104-01"/>
    <n v="0"/>
    <n v="30000"/>
    <s v="Centralización recaudaciones enero 2026 #2295 - #2295"/>
    <n v="-30000"/>
    <s v="Activo"/>
    <n v="-30000"/>
    <x v="9"/>
  </r>
  <r>
    <n v="2026"/>
    <n v="1"/>
    <s v="30-01-2026"/>
    <n v="10448"/>
    <s v="1104-01"/>
    <n v="0"/>
    <n v="60000"/>
    <s v="Centralización recaudaciones enero 2026 #2304 - #2304"/>
    <n v="-60000"/>
    <s v="Activo"/>
    <n v="-60000"/>
    <x v="9"/>
  </r>
  <r>
    <n v="2026"/>
    <n v="1"/>
    <s v="30-01-2026"/>
    <n v="10493"/>
    <s v="1104-01"/>
    <n v="0"/>
    <n v="24990"/>
    <s v="Farmacia berlin limitada"/>
    <n v="-24990"/>
    <s v="Activo"/>
    <n v="-24990"/>
    <x v="9"/>
  </r>
  <r>
    <n v="2026"/>
    <n v="1"/>
    <s v="30-01-2026"/>
    <n v="10493"/>
    <s v="1104-01"/>
    <n v="0"/>
    <n v="10"/>
    <s v="Mda arquitectura y construccion compania limitada"/>
    <n v="-10"/>
    <s v="Activo"/>
    <n v="-10"/>
    <x v="9"/>
  </r>
  <r>
    <n v="2026"/>
    <n v="1"/>
    <s v="30-01-2026"/>
    <n v="10493"/>
    <s v="1104-01"/>
    <n v="0"/>
    <n v="119250"/>
    <s v="Magdalena balmaceda ruiz-tagle"/>
    <n v="-119250"/>
    <s v="Activo"/>
    <n v="-119250"/>
    <x v="9"/>
  </r>
  <r>
    <n v="2026"/>
    <n v="1"/>
    <s v="30-01-2026"/>
    <n v="10493"/>
    <s v="1104-01"/>
    <n v="0"/>
    <n v="10"/>
    <s v="Mda arquitectura y construccion compania limitada"/>
    <n v="-10"/>
    <s v="Activo"/>
    <n v="-10"/>
    <x v="9"/>
  </r>
  <r>
    <n v="2026"/>
    <n v="1"/>
    <s v="30-01-2026"/>
    <n v="10493"/>
    <s v="1104-01"/>
    <n v="0"/>
    <n v="710"/>
    <s v="Ingenieria y servicios computacionales akinet spa"/>
    <n v="-710"/>
    <s v="Activo"/>
    <n v="-710"/>
    <x v="9"/>
  </r>
  <r>
    <n v="2026"/>
    <n v="1"/>
    <s v="30-01-2026"/>
    <n v="10493"/>
    <s v="1104-01"/>
    <n v="0"/>
    <n v="33000"/>
    <s v="Maria veronica rosas parraguez"/>
    <n v="-33000"/>
    <s v="Activo"/>
    <n v="-33000"/>
    <x v="9"/>
  </r>
  <r>
    <n v="2026"/>
    <n v="1"/>
    <s v="30-01-2026"/>
    <n v="10493"/>
    <s v="1104-01"/>
    <n v="0"/>
    <n v="21"/>
    <s v="Ingenieria y servicios computacionales akinet spa"/>
    <n v="-21"/>
    <s v="Activo"/>
    <n v="-21"/>
    <x v="9"/>
  </r>
  <r>
    <n v="2026"/>
    <n v="1"/>
    <s v="30-01-2026"/>
    <n v="10493"/>
    <s v="1104-01"/>
    <n v="0"/>
    <n v="969"/>
    <s v="Condominio aguas claras laguna del sol lote b uno"/>
    <n v="-969"/>
    <s v="Activo"/>
    <n v="-969"/>
    <x v="9"/>
  </r>
  <r>
    <n v="2026"/>
    <n v="1"/>
    <s v="30-01-2026"/>
    <n v="10493"/>
    <s v="1104-01"/>
    <n v="0"/>
    <n v="18990"/>
    <s v="Sv ingenieria y automatizacion e.i.r.l."/>
    <n v="-18990"/>
    <s v="Activo"/>
    <n v="-18990"/>
    <x v="9"/>
  </r>
  <r>
    <n v="2026"/>
    <n v="1"/>
    <s v="30-01-2026"/>
    <n v="10493"/>
    <s v="1104-01"/>
    <n v="0"/>
    <n v="10"/>
    <s v="Condominio aguas claras laguna del sol lote b uno"/>
    <n v="-10"/>
    <s v="Activo"/>
    <n v="-10"/>
    <x v="9"/>
  </r>
  <r>
    <n v="2026"/>
    <n v="1"/>
    <s v="30-01-2026"/>
    <n v="10493"/>
    <s v="1104-01"/>
    <n v="0"/>
    <n v="21990"/>
    <s v="Jorge luis ortega carrasco"/>
    <n v="-21990"/>
    <s v="Activo"/>
    <n v="-21990"/>
    <x v="9"/>
  </r>
  <r>
    <n v="2026"/>
    <n v="1"/>
    <s v="30-01-2026"/>
    <n v="10493"/>
    <s v="1104-01"/>
    <n v="0"/>
    <n v="10"/>
    <s v="Condominio aguas claras laguna del sol lote b uno"/>
    <n v="-10"/>
    <s v="Activo"/>
    <n v="-10"/>
    <x v="9"/>
  </r>
  <r>
    <n v="2026"/>
    <n v="1"/>
    <s v="30-01-2026"/>
    <n v="10493"/>
    <s v="1104-01"/>
    <n v="0"/>
    <n v="48970"/>
    <s v="Skam constructora limitada"/>
    <n v="-48970"/>
    <s v="Activo"/>
    <n v="-48970"/>
    <x v="9"/>
  </r>
  <r>
    <n v="2026"/>
    <n v="1"/>
    <s v="30-01-2026"/>
    <n v="10493"/>
    <s v="1104-01"/>
    <n v="0"/>
    <n v="70"/>
    <s v="Condominio aguas claras laguna del sol lote b uno"/>
    <n v="-70"/>
    <s v="Activo"/>
    <n v="-70"/>
    <x v="9"/>
  </r>
  <r>
    <n v="2026"/>
    <n v="1"/>
    <s v="30-01-2026"/>
    <n v="10493"/>
    <s v="1104-01"/>
    <n v="0"/>
    <n v="40"/>
    <s v="Bva spa"/>
    <n v="-40"/>
    <s v="Activo"/>
    <n v="-40"/>
    <x v="9"/>
  </r>
  <r>
    <n v="2026"/>
    <n v="1"/>
    <s v="31-01-2026"/>
    <n v="9817"/>
    <s v="1104-01"/>
    <n v="153290021"/>
    <n v="0"/>
    <s v="Centralización ventas enero 2026  - valor total"/>
    <n v="153290021"/>
    <s v="Activo"/>
    <n v="153290021"/>
    <x v="9"/>
  </r>
  <r>
    <n v="2026"/>
    <n v="1"/>
    <s v="31-01-2026"/>
    <n v="9818"/>
    <s v="1104-01"/>
    <n v="68882569"/>
    <n v="0"/>
    <s v="Centralización ventas enero 2026  - valor total"/>
    <n v="68882569"/>
    <s v="Activo"/>
    <n v="68882569"/>
    <x v="9"/>
  </r>
  <r>
    <n v="2026"/>
    <n v="1"/>
    <s v="31-01-2026"/>
    <n v="9818"/>
    <s v="1104-01"/>
    <n v="0"/>
    <n v="7192106"/>
    <s v="Centralización ventas enero 2026  - valor total"/>
    <n v="-7192106"/>
    <s v="Activo"/>
    <n v="-7192106"/>
    <x v="9"/>
  </r>
  <r>
    <n v="2026"/>
    <n v="2"/>
    <s v="02-02-2026"/>
    <n v="10499"/>
    <s v="1104-01"/>
    <n v="0"/>
    <n v="64980"/>
    <s v="Centralización recaudaciones febrero 2026 #2328 - #2328"/>
    <n v="-64980"/>
    <s v="Activo"/>
    <n v="-64980"/>
    <x v="9"/>
  </r>
  <r>
    <n v="2026"/>
    <n v="2"/>
    <s v="02-02-2026"/>
    <n v="10504"/>
    <s v="1104-01"/>
    <n v="0"/>
    <n v="74990"/>
    <s v="Centralización recaudaciones febrero 2026 #2333 - #2333"/>
    <n v="-74990"/>
    <s v="Activo"/>
    <n v="-74990"/>
    <x v="9"/>
  </r>
  <r>
    <n v="2026"/>
    <n v="2"/>
    <s v="02-02-2026"/>
    <n v="10511"/>
    <s v="1104-01"/>
    <n v="0"/>
    <n v="30000"/>
    <s v="Centralización recaudaciones febrero 2026 #2340 - #2340"/>
    <n v="-30000"/>
    <s v="Activo"/>
    <n v="-30000"/>
    <x v="9"/>
  </r>
  <r>
    <n v="2026"/>
    <n v="2"/>
    <s v="02-02-2026"/>
    <n v="10517"/>
    <s v="1104-01"/>
    <n v="0"/>
    <n v="30000"/>
    <s v="Centralización recaudaciones febrero 2026 #2346 - #2346"/>
    <n v="-30000"/>
    <s v="Activo"/>
    <n v="-30000"/>
    <x v="9"/>
  </r>
  <r>
    <n v="2026"/>
    <n v="2"/>
    <s v="02-02-2026"/>
    <n v="10524"/>
    <s v="1104-01"/>
    <n v="0"/>
    <n v="30000"/>
    <s v="Centralización recaudaciones febrero 2026 #2353 - #2353"/>
    <n v="-30000"/>
    <s v="Activo"/>
    <n v="-30000"/>
    <x v="9"/>
  </r>
  <r>
    <n v="2026"/>
    <n v="2"/>
    <s v="02-02-2026"/>
    <n v="10525"/>
    <s v="1104-01"/>
    <n v="0"/>
    <n v="30000"/>
    <s v="Centralización recaudaciones febrero 2026 #2354 - #2354"/>
    <n v="-30000"/>
    <s v="Activo"/>
    <n v="-30000"/>
    <x v="9"/>
  </r>
  <r>
    <n v="2026"/>
    <n v="2"/>
    <s v="02-02-2026"/>
    <n v="10528"/>
    <s v="1104-01"/>
    <n v="0"/>
    <n v="30000"/>
    <s v="Centralización recaudaciones febrero 2026 #2357 - #2357"/>
    <n v="-30000"/>
    <s v="Activo"/>
    <n v="-30000"/>
    <x v="9"/>
  </r>
  <r>
    <n v="2026"/>
    <n v="2"/>
    <s v="02-02-2026"/>
    <n v="10530"/>
    <s v="1104-01"/>
    <n v="0"/>
    <n v="40000"/>
    <s v="Centralización recaudaciones febrero 2026 #2359 - #2359"/>
    <n v="-40000"/>
    <s v="Activo"/>
    <n v="-40000"/>
    <x v="9"/>
  </r>
  <r>
    <n v="2026"/>
    <n v="2"/>
    <s v="02-02-2026"/>
    <n v="10532"/>
    <s v="1104-01"/>
    <n v="0"/>
    <n v="70000"/>
    <s v="Centralización recaudaciones febrero 2026 #2361 - #2361"/>
    <n v="-70000"/>
    <s v="Activo"/>
    <n v="-70000"/>
    <x v="9"/>
  </r>
  <r>
    <n v="2026"/>
    <n v="2"/>
    <s v="02-02-2026"/>
    <n v="10534"/>
    <s v="1104-01"/>
    <n v="0"/>
    <n v="28990"/>
    <s v="Centralización recaudaciones febrero 2026 #2363 - #2363"/>
    <n v="-28990"/>
    <s v="Activo"/>
    <n v="-28990"/>
    <x v="9"/>
  </r>
  <r>
    <n v="2026"/>
    <n v="2"/>
    <s v="02-02-2026"/>
    <n v="10538"/>
    <s v="1104-01"/>
    <n v="0"/>
    <n v="30000"/>
    <s v="Centralización recaudaciones febrero 2026 #2367 - #2367"/>
    <n v="-30000"/>
    <s v="Activo"/>
    <n v="-30000"/>
    <x v="9"/>
  </r>
  <r>
    <n v="2026"/>
    <n v="2"/>
    <s v="02-02-2026"/>
    <n v="10540"/>
    <s v="1104-01"/>
    <n v="0"/>
    <n v="3618"/>
    <s v="Centralización recaudaciones febrero 2026 #2369 - #2369"/>
    <n v="-3618"/>
    <s v="Activo"/>
    <n v="-3618"/>
    <x v="9"/>
  </r>
  <r>
    <n v="2026"/>
    <n v="2"/>
    <s v="02-02-2026"/>
    <n v="10543"/>
    <s v="1104-01"/>
    <n v="0"/>
    <n v="30000"/>
    <s v="Centralización recaudaciones febrero 2026 #2372 - #2372"/>
    <n v="-30000"/>
    <s v="Activo"/>
    <n v="-30000"/>
    <x v="9"/>
  </r>
  <r>
    <n v="2026"/>
    <n v="2"/>
    <s v="02-02-2026"/>
    <n v="10544"/>
    <s v="1104-01"/>
    <n v="0"/>
    <n v="101989"/>
    <s v="Centralización recaudaciones febrero 2026 #2373 - #2373"/>
    <n v="-101989"/>
    <s v="Activo"/>
    <n v="-101989"/>
    <x v="9"/>
  </r>
  <r>
    <n v="2026"/>
    <n v="2"/>
    <s v="02-02-2026"/>
    <n v="10545"/>
    <s v="1104-01"/>
    <n v="0"/>
    <n v="19990"/>
    <s v="Centralización recaudaciones febrero 2026 #2374 - #2374"/>
    <n v="-19990"/>
    <s v="Activo"/>
    <n v="-19990"/>
    <x v="9"/>
  </r>
  <r>
    <n v="2026"/>
    <n v="2"/>
    <s v="02-02-2026"/>
    <n v="10550"/>
    <s v="1104-01"/>
    <n v="0"/>
    <n v="34990"/>
    <s v="Centralización recaudaciones febrero 2026 #2379 - #2379"/>
    <n v="-34990"/>
    <s v="Activo"/>
    <n v="-34990"/>
    <x v="9"/>
  </r>
  <r>
    <n v="2026"/>
    <n v="2"/>
    <s v="02-02-2026"/>
    <n v="10553"/>
    <s v="1104-01"/>
    <n v="0"/>
    <n v="50000"/>
    <s v="Centralización recaudaciones febrero 2026 #2382 - #2382"/>
    <n v="-50000"/>
    <s v="Activo"/>
    <n v="-50000"/>
    <x v="9"/>
  </r>
  <r>
    <n v="2026"/>
    <n v="2"/>
    <s v="02-02-2026"/>
    <n v="10560"/>
    <s v="1104-01"/>
    <n v="0"/>
    <n v="37990"/>
    <s v="Centralización recaudaciones febrero 2026 #2389 - #2389"/>
    <n v="-37990"/>
    <s v="Activo"/>
    <n v="-37990"/>
    <x v="9"/>
  </r>
  <r>
    <n v="2026"/>
    <n v="2"/>
    <s v="02-02-2026"/>
    <n v="10561"/>
    <s v="1104-01"/>
    <n v="0"/>
    <n v="30000"/>
    <s v="Centralización recaudaciones febrero 2026 #2390 - #2390"/>
    <n v="-30000"/>
    <s v="Activo"/>
    <n v="-30000"/>
    <x v="9"/>
  </r>
  <r>
    <n v="2026"/>
    <n v="2"/>
    <s v="02-02-2026"/>
    <n v="10563"/>
    <s v="1104-01"/>
    <n v="0"/>
    <n v="30000"/>
    <s v="Centralización recaudaciones febrero 2026 #2392 - #2392"/>
    <n v="-30000"/>
    <s v="Activo"/>
    <n v="-30000"/>
    <x v="9"/>
  </r>
  <r>
    <n v="2026"/>
    <n v="2"/>
    <s v="02-02-2026"/>
    <n v="10567"/>
    <s v="1104-01"/>
    <n v="0"/>
    <n v="30000"/>
    <s v="Centralización recaudaciones febrero 2026 #2396 - #2396"/>
    <n v="-30000"/>
    <s v="Activo"/>
    <n v="-30000"/>
    <x v="9"/>
  </r>
  <r>
    <n v="2026"/>
    <n v="2"/>
    <s v="02-02-2026"/>
    <n v="10571"/>
    <s v="1104-01"/>
    <n v="0"/>
    <n v="40000"/>
    <s v="Centralización recaudaciones febrero 2026 #2400 - #2400"/>
    <n v="-40000"/>
    <s v="Activo"/>
    <n v="-40000"/>
    <x v="9"/>
  </r>
  <r>
    <n v="2026"/>
    <n v="2"/>
    <s v="02-02-2026"/>
    <n v="10577"/>
    <s v="1104-01"/>
    <n v="0"/>
    <n v="30000"/>
    <s v="Centralización recaudaciones febrero 2026 #2406 - #2406"/>
    <n v="-30000"/>
    <s v="Activo"/>
    <n v="-30000"/>
    <x v="9"/>
  </r>
  <r>
    <n v="2026"/>
    <n v="2"/>
    <s v="02-02-2026"/>
    <n v="10578"/>
    <s v="1104-01"/>
    <n v="0"/>
    <n v="60000"/>
    <s v="Centralización recaudaciones febrero 2026 #2407 - #2407"/>
    <n v="-60000"/>
    <s v="Activo"/>
    <n v="-60000"/>
    <x v="9"/>
  </r>
  <r>
    <n v="2026"/>
    <n v="2"/>
    <s v="02-02-2026"/>
    <n v="10579"/>
    <s v="1104-01"/>
    <n v="0"/>
    <n v="30000"/>
    <s v="Centralización recaudaciones febrero 2026 #2408 - #2408"/>
    <n v="-30000"/>
    <s v="Activo"/>
    <n v="-30000"/>
    <x v="9"/>
  </r>
  <r>
    <n v="2026"/>
    <n v="2"/>
    <s v="02-02-2026"/>
    <n v="10583"/>
    <s v="1104-01"/>
    <n v="0"/>
    <n v="30000"/>
    <s v="Centralización recaudaciones febrero 2026 #2412 - #2412"/>
    <n v="-30000"/>
    <s v="Activo"/>
    <n v="-30000"/>
    <x v="9"/>
  </r>
  <r>
    <n v="2026"/>
    <n v="2"/>
    <s v="02-02-2026"/>
    <n v="10585"/>
    <s v="1104-01"/>
    <n v="0"/>
    <n v="33000"/>
    <s v="Centralización recaudaciones febrero 2026 #2414 - #2414"/>
    <n v="-33000"/>
    <s v="Activo"/>
    <n v="-33000"/>
    <x v="9"/>
  </r>
  <r>
    <n v="2026"/>
    <n v="2"/>
    <s v="02-02-2026"/>
    <n v="10591"/>
    <s v="1104-01"/>
    <n v="0"/>
    <n v="42000"/>
    <s v="Centralización recaudaciones febrero 2026 #2420 - #2420"/>
    <n v="-42000"/>
    <s v="Activo"/>
    <n v="-42000"/>
    <x v="9"/>
  </r>
  <r>
    <n v="2026"/>
    <n v="2"/>
    <s v="02-02-2026"/>
    <n v="10595"/>
    <s v="1104-01"/>
    <n v="0"/>
    <n v="942212"/>
    <s v="Centralización recaudaciones febrero 2026 #2424 - #2424"/>
    <n v="-942212"/>
    <s v="Activo"/>
    <n v="-942212"/>
    <x v="9"/>
  </r>
  <r>
    <n v="2026"/>
    <n v="2"/>
    <s v="02-02-2026"/>
    <n v="10602"/>
    <s v="1104-01"/>
    <n v="0"/>
    <n v="38000"/>
    <s v="Centralización recaudaciones febrero 2026 #2431 - #2431"/>
    <n v="-38000"/>
    <s v="Activo"/>
    <n v="-38000"/>
    <x v="9"/>
  </r>
  <r>
    <n v="2026"/>
    <n v="2"/>
    <s v="02-02-2026"/>
    <n v="10607"/>
    <s v="1104-01"/>
    <n v="0"/>
    <n v="50000"/>
    <s v="Centralización recaudaciones febrero 2026 #2436 - #2436"/>
    <n v="-50000"/>
    <s v="Activo"/>
    <n v="-50000"/>
    <x v="9"/>
  </r>
  <r>
    <n v="2026"/>
    <n v="2"/>
    <s v="02-02-2026"/>
    <n v="10612"/>
    <s v="1104-01"/>
    <n v="0"/>
    <n v="30000"/>
    <s v="Centralización recaudaciones febrero 2026 #2441 - #2441"/>
    <n v="-30000"/>
    <s v="Activo"/>
    <n v="-30000"/>
    <x v="9"/>
  </r>
  <r>
    <n v="2026"/>
    <n v="2"/>
    <s v="02-02-2026"/>
    <n v="10614"/>
    <s v="1104-01"/>
    <n v="0"/>
    <n v="23990"/>
    <s v="Centralización recaudaciones febrero 2026 #2443 - #2443"/>
    <n v="-23990"/>
    <s v="Activo"/>
    <n v="-23990"/>
    <x v="9"/>
  </r>
  <r>
    <n v="2026"/>
    <n v="2"/>
    <s v="02-02-2026"/>
    <n v="10618"/>
    <s v="1104-01"/>
    <n v="0"/>
    <n v="1040"/>
    <s v="Centralización recaudaciones febrero 2026 #2447 - #2447"/>
    <n v="-1040"/>
    <s v="Activo"/>
    <n v="-1040"/>
    <x v="9"/>
  </r>
  <r>
    <n v="2026"/>
    <n v="2"/>
    <s v="02-02-2026"/>
    <n v="10624"/>
    <s v="1104-01"/>
    <n v="0"/>
    <n v="43980"/>
    <s v="Centralización recaudaciones febrero 2026 #2453 - #2453"/>
    <n v="-43980"/>
    <s v="Activo"/>
    <n v="-43980"/>
    <x v="9"/>
  </r>
  <r>
    <n v="2026"/>
    <n v="2"/>
    <s v="02-02-2026"/>
    <n v="10627"/>
    <s v="1104-01"/>
    <n v="0"/>
    <n v="26392"/>
    <s v="Centralización recaudaciones febrero 2026 #2456 - #2456"/>
    <n v="-26392"/>
    <s v="Activo"/>
    <n v="-26392"/>
    <x v="9"/>
  </r>
  <r>
    <n v="2026"/>
    <n v="2"/>
    <s v="02-02-2026"/>
    <n v="10633"/>
    <s v="1104-01"/>
    <n v="0"/>
    <n v="10"/>
    <s v="Centralización recaudaciones febrero 2026 #2462 - #2462"/>
    <n v="-10"/>
    <s v="Activo"/>
    <n v="-10"/>
    <x v="9"/>
  </r>
  <r>
    <n v="2026"/>
    <n v="2"/>
    <s v="02-02-2026"/>
    <n v="10637"/>
    <s v="1104-01"/>
    <n v="0"/>
    <n v="21990"/>
    <s v="Centralización recaudaciones febrero 2026 #2466 - #2466"/>
    <n v="-21990"/>
    <s v="Activo"/>
    <n v="-21990"/>
    <x v="9"/>
  </r>
  <r>
    <n v="2026"/>
    <n v="2"/>
    <s v="02-02-2026"/>
    <n v="10638"/>
    <s v="1104-01"/>
    <n v="0"/>
    <n v="30000"/>
    <s v="Centralización recaudaciones febrero 2026 #2467 - #2467"/>
    <n v="-30000"/>
    <s v="Activo"/>
    <n v="-30000"/>
    <x v="9"/>
  </r>
  <r>
    <n v="2026"/>
    <n v="2"/>
    <s v="02-02-2026"/>
    <n v="10639"/>
    <s v="1104-01"/>
    <n v="0"/>
    <n v="30000"/>
    <s v="Centralización recaudaciones febrero 2026 #2468 - #2468"/>
    <n v="-30000"/>
    <s v="Activo"/>
    <n v="-30000"/>
    <x v="9"/>
  </r>
  <r>
    <n v="2026"/>
    <n v="2"/>
    <s v="02-02-2026"/>
    <n v="10643"/>
    <s v="1104-01"/>
    <n v="0"/>
    <n v="30000"/>
    <s v="Centralización recaudaciones febrero 2026 #2472 - #2472"/>
    <n v="-30000"/>
    <s v="Activo"/>
    <n v="-30000"/>
    <x v="9"/>
  </r>
  <r>
    <n v="2026"/>
    <n v="2"/>
    <s v="02-02-2026"/>
    <n v="10645"/>
    <s v="1104-01"/>
    <n v="0"/>
    <n v="18000"/>
    <s v="Centralización recaudaciones febrero 2026 #2474 - #2474"/>
    <n v="-18000"/>
    <s v="Activo"/>
    <n v="-18000"/>
    <x v="9"/>
  </r>
  <r>
    <n v="2026"/>
    <n v="2"/>
    <s v="02-02-2026"/>
    <n v="10647"/>
    <s v="1104-01"/>
    <n v="0"/>
    <n v="80000"/>
    <s v="Centralización recaudaciones febrero 2026 #2476 - #2476"/>
    <n v="-80000"/>
    <s v="Activo"/>
    <n v="-80000"/>
    <x v="9"/>
  </r>
  <r>
    <n v="2026"/>
    <n v="2"/>
    <s v="02-02-2026"/>
    <n v="10654"/>
    <s v="1104-01"/>
    <n v="0"/>
    <n v="28990"/>
    <s v="Centralización recaudaciones febrero 2026 #2483 - #2483"/>
    <n v="-28990"/>
    <s v="Activo"/>
    <n v="-28990"/>
    <x v="9"/>
  </r>
  <r>
    <n v="2026"/>
    <n v="2"/>
    <s v="02-02-2026"/>
    <n v="10655"/>
    <s v="1104-01"/>
    <n v="0"/>
    <n v="10"/>
    <s v="Centralización recaudaciones febrero 2026 #2484 - #2484"/>
    <n v="-10"/>
    <s v="Activo"/>
    <n v="-10"/>
    <x v="9"/>
  </r>
  <r>
    <n v="2026"/>
    <n v="2"/>
    <s v="02-02-2026"/>
    <n v="10657"/>
    <s v="1104-01"/>
    <n v="0"/>
    <n v="38000"/>
    <s v="Centralización recaudaciones febrero 2026 #2486 - #2486"/>
    <n v="-38000"/>
    <s v="Activo"/>
    <n v="-38000"/>
    <x v="9"/>
  </r>
  <r>
    <n v="2026"/>
    <n v="2"/>
    <s v="02-02-2026"/>
    <n v="10658"/>
    <s v="1104-01"/>
    <n v="0"/>
    <n v="40000"/>
    <s v="Centralización recaudaciones febrero 2026 #2487 - #2487"/>
    <n v="-40000"/>
    <s v="Activo"/>
    <n v="-40000"/>
    <x v="9"/>
  </r>
  <r>
    <n v="2026"/>
    <n v="2"/>
    <s v="02-02-2026"/>
    <n v="10662"/>
    <s v="1104-01"/>
    <n v="0"/>
    <n v="17990"/>
    <s v="Centralización recaudaciones febrero 2026 #2491 - #2491"/>
    <n v="-17990"/>
    <s v="Activo"/>
    <n v="-17990"/>
    <x v="9"/>
  </r>
  <r>
    <n v="2026"/>
    <n v="2"/>
    <s v="02-02-2026"/>
    <n v="10670"/>
    <s v="1104-01"/>
    <n v="0"/>
    <n v="29990"/>
    <s v="Centralización recaudaciones febrero 2026 #2499 - #2499"/>
    <n v="-29990"/>
    <s v="Activo"/>
    <n v="-29990"/>
    <x v="9"/>
  </r>
  <r>
    <n v="2026"/>
    <n v="2"/>
    <s v="02-02-2026"/>
    <n v="10675"/>
    <s v="1104-01"/>
    <n v="0"/>
    <n v="30000"/>
    <s v="Centralización recaudaciones febrero 2026 #2504 - #2504"/>
    <n v="-30000"/>
    <s v="Activo"/>
    <n v="-30000"/>
    <x v="9"/>
  </r>
  <r>
    <n v="2026"/>
    <n v="2"/>
    <s v="02-02-2026"/>
    <n v="10679"/>
    <s v="1104-01"/>
    <n v="0"/>
    <n v="40000"/>
    <s v="Centralización recaudaciones febrero 2026 #2508 - #2508"/>
    <n v="-40000"/>
    <s v="Activo"/>
    <n v="-40000"/>
    <x v="9"/>
  </r>
  <r>
    <n v="2026"/>
    <n v="2"/>
    <s v="02-02-2026"/>
    <n v="10680"/>
    <s v="1104-01"/>
    <n v="0"/>
    <n v="30000"/>
    <s v="Centralización recaudaciones febrero 2026 #2509 - #2509"/>
    <n v="-30000"/>
    <s v="Activo"/>
    <n v="-30000"/>
    <x v="9"/>
  </r>
  <r>
    <n v="2026"/>
    <n v="2"/>
    <s v="02-02-2026"/>
    <n v="10687"/>
    <s v="1104-01"/>
    <n v="0"/>
    <n v="34990"/>
    <s v="Centralización recaudaciones febrero 2026 #2516 - #2516"/>
    <n v="-34990"/>
    <s v="Activo"/>
    <n v="-34990"/>
    <x v="9"/>
  </r>
  <r>
    <n v="2026"/>
    <n v="2"/>
    <s v="02-02-2026"/>
    <n v="10688"/>
    <s v="1104-01"/>
    <n v="0"/>
    <n v="36990"/>
    <s v="Centralización recaudaciones febrero 2026 #2517 - #2517"/>
    <n v="-36990"/>
    <s v="Activo"/>
    <n v="-36990"/>
    <x v="9"/>
  </r>
  <r>
    <n v="2026"/>
    <n v="2"/>
    <s v="02-02-2026"/>
    <n v="10692"/>
    <s v="1104-01"/>
    <n v="0"/>
    <n v="35970"/>
    <s v="Centralización recaudaciones febrero 2026 #2521 - #2521"/>
    <n v="-35970"/>
    <s v="Activo"/>
    <n v="-35970"/>
    <x v="9"/>
  </r>
  <r>
    <n v="2026"/>
    <n v="2"/>
    <s v="02-02-2026"/>
    <n v="10693"/>
    <s v="1104-01"/>
    <n v="0"/>
    <n v="33490"/>
    <s v="Centralización recaudaciones febrero 2026 #2522 - #2522"/>
    <n v="-33490"/>
    <s v="Activo"/>
    <n v="-33490"/>
    <x v="9"/>
  </r>
  <r>
    <n v="2026"/>
    <n v="2"/>
    <s v="02-02-2026"/>
    <n v="10701"/>
    <s v="1104-01"/>
    <n v="0"/>
    <n v="29990"/>
    <s v="Centralización recaudaciones febrero 2026 #2530 - #2530"/>
    <n v="-29990"/>
    <s v="Activo"/>
    <n v="-29990"/>
    <x v="9"/>
  </r>
  <r>
    <n v="2026"/>
    <n v="2"/>
    <s v="02-02-2026"/>
    <n v="10702"/>
    <s v="1104-01"/>
    <n v="0"/>
    <n v="21990"/>
    <s v="Centralización recaudaciones febrero 2026 #2531 - #2531"/>
    <n v="-21990"/>
    <s v="Activo"/>
    <n v="-21990"/>
    <x v="9"/>
  </r>
  <r>
    <n v="2026"/>
    <n v="2"/>
    <s v="02-02-2026"/>
    <n v="10704"/>
    <s v="1104-01"/>
    <n v="0"/>
    <n v="31990"/>
    <s v="Centralización recaudaciones febrero 2026 #2533 - #2533"/>
    <n v="-31990"/>
    <s v="Activo"/>
    <n v="-31990"/>
    <x v="9"/>
  </r>
  <r>
    <n v="2026"/>
    <n v="2"/>
    <s v="02-02-2026"/>
    <n v="10719"/>
    <s v="1104-01"/>
    <n v="0"/>
    <n v="141879"/>
    <s v="Centralización recaudaciones febrero 2026 #2548 - #2548"/>
    <n v="-141879"/>
    <s v="Activo"/>
    <n v="-141879"/>
    <x v="9"/>
  </r>
  <r>
    <n v="2026"/>
    <n v="2"/>
    <s v="02-02-2026"/>
    <n v="10722"/>
    <s v="1104-01"/>
    <n v="0"/>
    <n v="29990"/>
    <s v="Centralización recaudaciones febrero 2026 #2551 - #2551"/>
    <n v="-29990"/>
    <s v="Activo"/>
    <n v="-29990"/>
    <x v="9"/>
  </r>
  <r>
    <n v="2026"/>
    <n v="2"/>
    <s v="02-02-2026"/>
    <n v="10731"/>
    <s v="1104-01"/>
    <n v="0"/>
    <n v="32990"/>
    <s v="Centralización recaudaciones febrero 2026 #2560 - #2560"/>
    <n v="-32990"/>
    <s v="Activo"/>
    <n v="-32990"/>
    <x v="9"/>
  </r>
  <r>
    <n v="2026"/>
    <n v="2"/>
    <s v="02-02-2026"/>
    <n v="10732"/>
    <s v="1104-01"/>
    <n v="0"/>
    <n v="29990"/>
    <s v="Centralización recaudaciones febrero 2026 #2561 - #2561"/>
    <n v="-29990"/>
    <s v="Activo"/>
    <n v="-29990"/>
    <x v="9"/>
  </r>
  <r>
    <n v="2026"/>
    <n v="2"/>
    <s v="02-02-2026"/>
    <n v="10737"/>
    <s v="1104-01"/>
    <n v="0"/>
    <n v="29990"/>
    <s v="Centralización recaudaciones febrero 2026 #2566 - #2566"/>
    <n v="-29990"/>
    <s v="Activo"/>
    <n v="-29990"/>
    <x v="9"/>
  </r>
  <r>
    <n v="2026"/>
    <n v="2"/>
    <s v="02-02-2026"/>
    <n v="10738"/>
    <s v="1104-01"/>
    <n v="0"/>
    <n v="19990"/>
    <s v="Centralización recaudaciones febrero 2026 #2567 - #2567"/>
    <n v="-19990"/>
    <s v="Activo"/>
    <n v="-19990"/>
    <x v="9"/>
  </r>
  <r>
    <n v="2026"/>
    <n v="2"/>
    <s v="02-02-2026"/>
    <n v="10739"/>
    <s v="1104-01"/>
    <n v="0"/>
    <n v="21052"/>
    <s v="Centralización recaudaciones febrero 2026 #2568 - #2568"/>
    <n v="-21052"/>
    <s v="Activo"/>
    <n v="-21052"/>
    <x v="9"/>
  </r>
  <r>
    <n v="2026"/>
    <n v="2"/>
    <s v="02-02-2026"/>
    <n v="10740"/>
    <s v="1104-01"/>
    <n v="0"/>
    <n v="28990"/>
    <s v="Centralización recaudaciones febrero 2026 #2569 - #2569"/>
    <n v="-28990"/>
    <s v="Activo"/>
    <n v="-28990"/>
    <x v="9"/>
  </r>
  <r>
    <n v="2026"/>
    <n v="2"/>
    <s v="02-02-2026"/>
    <n v="10742"/>
    <s v="1104-01"/>
    <n v="0"/>
    <n v="35990"/>
    <s v="Centralización recaudaciones febrero 2026 #2571 - #2571"/>
    <n v="-35990"/>
    <s v="Activo"/>
    <n v="-35990"/>
    <x v="9"/>
  </r>
  <r>
    <n v="2026"/>
    <n v="2"/>
    <s v="02-02-2026"/>
    <n v="10744"/>
    <s v="1104-01"/>
    <n v="0"/>
    <n v="21990"/>
    <s v="Centralización recaudaciones febrero 2026 #2573 - #2573"/>
    <n v="-21990"/>
    <s v="Activo"/>
    <n v="-21990"/>
    <x v="9"/>
  </r>
  <r>
    <n v="2026"/>
    <n v="2"/>
    <s v="02-02-2026"/>
    <n v="10746"/>
    <s v="1104-01"/>
    <n v="0"/>
    <n v="26990"/>
    <s v="Centralización recaudaciones febrero 2026 #2575 - #2575"/>
    <n v="-26990"/>
    <s v="Activo"/>
    <n v="-26990"/>
    <x v="9"/>
  </r>
  <r>
    <n v="2026"/>
    <n v="2"/>
    <s v="02-02-2026"/>
    <n v="10750"/>
    <s v="1104-01"/>
    <n v="0"/>
    <n v="10"/>
    <s v="Centralización recaudaciones febrero 2026 #2579 - #2579"/>
    <n v="-10"/>
    <s v="Activo"/>
    <n v="-10"/>
    <x v="9"/>
  </r>
  <r>
    <n v="2026"/>
    <n v="2"/>
    <s v="02-02-2026"/>
    <n v="10757"/>
    <s v="1104-01"/>
    <n v="0"/>
    <n v="24990"/>
    <s v="Centralización recaudaciones febrero 2026 #2586 - #2586"/>
    <n v="-24990"/>
    <s v="Activo"/>
    <n v="-24990"/>
    <x v="9"/>
  </r>
  <r>
    <n v="2026"/>
    <n v="2"/>
    <s v="02-02-2026"/>
    <n v="10758"/>
    <s v="1104-01"/>
    <n v="0"/>
    <n v="19990"/>
    <s v="Centralización recaudaciones febrero 2026 #2587 - #2587"/>
    <n v="-19990"/>
    <s v="Activo"/>
    <n v="-19990"/>
    <x v="9"/>
  </r>
  <r>
    <n v="2026"/>
    <n v="2"/>
    <s v="02-02-2026"/>
    <n v="10759"/>
    <s v="1104-01"/>
    <n v="0"/>
    <n v="34990"/>
    <s v="Centralización recaudaciones febrero 2026 #2588 - #2588"/>
    <n v="-34990"/>
    <s v="Activo"/>
    <n v="-34990"/>
    <x v="9"/>
  </r>
  <r>
    <n v="2026"/>
    <n v="2"/>
    <s v="02-02-2026"/>
    <n v="10764"/>
    <s v="1104-01"/>
    <n v="0"/>
    <n v="99991"/>
    <s v="Centralización recaudaciones febrero 2026 #2593 - #2593"/>
    <n v="-99991"/>
    <s v="Activo"/>
    <n v="-99991"/>
    <x v="9"/>
  </r>
  <r>
    <n v="2026"/>
    <n v="2"/>
    <s v="02-02-2026"/>
    <n v="10765"/>
    <s v="1104-01"/>
    <n v="0"/>
    <n v="43980"/>
    <s v="Centralización recaudaciones febrero 2026 #2594 - #2594"/>
    <n v="-43980"/>
    <s v="Activo"/>
    <n v="-43980"/>
    <x v="9"/>
  </r>
  <r>
    <n v="2026"/>
    <n v="2"/>
    <s v="02-02-2026"/>
    <n v="10771"/>
    <s v="1104-01"/>
    <n v="0"/>
    <n v="31990"/>
    <s v="Centralización recaudaciones febrero 2026 #2600 - #2600"/>
    <n v="-31990"/>
    <s v="Activo"/>
    <n v="-31990"/>
    <x v="9"/>
  </r>
  <r>
    <n v="2026"/>
    <n v="2"/>
    <s v="02-02-2026"/>
    <n v="10783"/>
    <s v="1104-01"/>
    <n v="0"/>
    <n v="53333"/>
    <s v="Centralización recaudaciones febrero 2026 #2612 - #2612"/>
    <n v="-53333"/>
    <s v="Activo"/>
    <n v="-53333"/>
    <x v="9"/>
  </r>
  <r>
    <n v="2026"/>
    <n v="2"/>
    <s v="02-02-2026"/>
    <n v="10785"/>
    <s v="1104-01"/>
    <n v="0"/>
    <n v="30000"/>
    <s v="Centralización recaudaciones febrero 2026 #2614 - #2614"/>
    <n v="-30000"/>
    <s v="Activo"/>
    <n v="-30000"/>
    <x v="9"/>
  </r>
  <r>
    <n v="2026"/>
    <n v="2"/>
    <s v="02-02-2026"/>
    <n v="10786"/>
    <s v="1104-01"/>
    <n v="0"/>
    <n v="29990"/>
    <s v="Centralización recaudaciones febrero 2026 #2615 - #2615"/>
    <n v="-29990"/>
    <s v="Activo"/>
    <n v="-29990"/>
    <x v="9"/>
  </r>
  <r>
    <n v="2026"/>
    <n v="2"/>
    <s v="02-02-2026"/>
    <n v="10788"/>
    <s v="1104-01"/>
    <n v="0"/>
    <n v="14990"/>
    <s v="Centralización recaudaciones febrero 2026 #2617 - #2617"/>
    <n v="-14990"/>
    <s v="Activo"/>
    <n v="-14990"/>
    <x v="9"/>
  </r>
  <r>
    <n v="2026"/>
    <n v="2"/>
    <s v="02-02-2026"/>
    <n v="10790"/>
    <s v="1104-01"/>
    <n v="0"/>
    <n v="19990"/>
    <s v="Centralización recaudaciones febrero 2026 #2619 - #2619"/>
    <n v="-19990"/>
    <s v="Activo"/>
    <n v="-19990"/>
    <x v="9"/>
  </r>
  <r>
    <n v="2026"/>
    <n v="2"/>
    <s v="02-02-2026"/>
    <n v="10796"/>
    <s v="1104-01"/>
    <n v="0"/>
    <n v="429427"/>
    <s v="Centralización recaudaciones febrero 2026 #2625 - #2625"/>
    <n v="-429427"/>
    <s v="Activo"/>
    <n v="-429427"/>
    <x v="9"/>
  </r>
  <r>
    <n v="2026"/>
    <n v="2"/>
    <s v="02-02-2026"/>
    <n v="10800"/>
    <s v="1104-01"/>
    <n v="0"/>
    <n v="22990"/>
    <s v="Centralización recaudaciones febrero 2026 #2629 - #2629"/>
    <n v="-22990"/>
    <s v="Activo"/>
    <n v="-22990"/>
    <x v="9"/>
  </r>
  <r>
    <n v="2026"/>
    <n v="2"/>
    <s v="02-02-2026"/>
    <n v="10810"/>
    <s v="1104-01"/>
    <n v="0"/>
    <n v="45335"/>
    <s v="Centralización recaudaciones febrero 2026 #2639 - #2639"/>
    <n v="-45335"/>
    <s v="Activo"/>
    <n v="-45335"/>
    <x v="9"/>
  </r>
  <r>
    <n v="2026"/>
    <n v="2"/>
    <s v="02-02-2026"/>
    <n v="10813"/>
    <s v="1104-01"/>
    <n v="0"/>
    <n v="29990"/>
    <s v="Centralización recaudaciones febrero 2026 #2642 - #2642"/>
    <n v="-29990"/>
    <s v="Activo"/>
    <n v="-29990"/>
    <x v="9"/>
  </r>
  <r>
    <n v="2026"/>
    <n v="2"/>
    <s v="02-02-2026"/>
    <n v="10817"/>
    <s v="1104-01"/>
    <n v="0"/>
    <n v="56762"/>
    <s v="Centralización recaudaciones febrero 2026 #2646 - #2646"/>
    <n v="-56762"/>
    <s v="Activo"/>
    <n v="-56762"/>
    <x v="9"/>
  </r>
  <r>
    <n v="2026"/>
    <n v="2"/>
    <s v="02-02-2026"/>
    <n v="10829"/>
    <s v="1104-01"/>
    <n v="0"/>
    <n v="29990"/>
    <s v="Centralización recaudaciones febrero 2026 #2658 - #2658"/>
    <n v="-29990"/>
    <s v="Activo"/>
    <n v="-29990"/>
    <x v="9"/>
  </r>
  <r>
    <n v="2026"/>
    <n v="2"/>
    <s v="02-02-2026"/>
    <n v="10833"/>
    <s v="1104-01"/>
    <n v="0"/>
    <n v="35000"/>
    <s v="Centralización recaudaciones febrero 2026 #2662 - #2662"/>
    <n v="-35000"/>
    <s v="Activo"/>
    <n v="-35000"/>
    <x v="9"/>
  </r>
  <r>
    <n v="2026"/>
    <n v="2"/>
    <s v="02-02-2026"/>
    <n v="10835"/>
    <s v="1104-01"/>
    <n v="0"/>
    <n v="21990"/>
    <s v="Centralización recaudaciones febrero 2026 #2664 - #2664"/>
    <n v="-21990"/>
    <s v="Activo"/>
    <n v="-21990"/>
    <x v="9"/>
  </r>
  <r>
    <n v="2026"/>
    <n v="2"/>
    <s v="02-02-2026"/>
    <n v="10841"/>
    <s v="1104-01"/>
    <n v="0"/>
    <n v="46990"/>
    <s v="Centralización recaudaciones febrero 2026 #2670 - #2670"/>
    <n v="-46990"/>
    <s v="Activo"/>
    <n v="-46990"/>
    <x v="9"/>
  </r>
  <r>
    <n v="2026"/>
    <n v="2"/>
    <s v="02-02-2026"/>
    <n v="10845"/>
    <s v="1104-01"/>
    <n v="0"/>
    <n v="36990"/>
    <s v="Centralización recaudaciones febrero 2026 #2674 - #2674"/>
    <n v="-36990"/>
    <s v="Activo"/>
    <n v="-36990"/>
    <x v="9"/>
  </r>
  <r>
    <n v="2026"/>
    <n v="2"/>
    <s v="02-02-2026"/>
    <n v="10846"/>
    <s v="1104-01"/>
    <n v="0"/>
    <n v="472930"/>
    <s v="Centralización recaudaciones febrero 2026 #2675 - #2675"/>
    <n v="-472930"/>
    <s v="Activo"/>
    <n v="-472930"/>
    <x v="9"/>
  </r>
  <r>
    <n v="2026"/>
    <n v="2"/>
    <s v="02-02-2026"/>
    <n v="10852"/>
    <s v="1104-01"/>
    <n v="0"/>
    <n v="21990"/>
    <s v="Centralización recaudaciones febrero 2026 #2681 - #2681"/>
    <n v="-21990"/>
    <s v="Activo"/>
    <n v="-21990"/>
    <x v="9"/>
  </r>
  <r>
    <n v="2026"/>
    <n v="2"/>
    <s v="02-02-2026"/>
    <n v="10854"/>
    <s v="1104-01"/>
    <n v="0"/>
    <n v="34990"/>
    <s v="Centralización recaudaciones febrero 2026 #2683 - #2683"/>
    <n v="-34990"/>
    <s v="Activo"/>
    <n v="-34990"/>
    <x v="9"/>
  </r>
  <r>
    <n v="2026"/>
    <n v="2"/>
    <s v="02-02-2026"/>
    <n v="10856"/>
    <s v="1104-01"/>
    <n v="0"/>
    <n v="34990"/>
    <s v="Centralización recaudaciones febrero 2026 #2685 - #2685"/>
    <n v="-34990"/>
    <s v="Activo"/>
    <n v="-34990"/>
    <x v="9"/>
  </r>
  <r>
    <n v="2026"/>
    <n v="2"/>
    <s v="02-02-2026"/>
    <n v="10859"/>
    <s v="1104-01"/>
    <n v="0"/>
    <n v="19990"/>
    <s v="Centralización recaudaciones febrero 2026 #2688 - #2688"/>
    <n v="-19990"/>
    <s v="Activo"/>
    <n v="-19990"/>
    <x v="9"/>
  </r>
  <r>
    <n v="2026"/>
    <n v="2"/>
    <s v="02-02-2026"/>
    <n v="10876"/>
    <s v="1104-01"/>
    <n v="0"/>
    <n v="28990"/>
    <s v="Centralización recaudaciones febrero 2026 #2705 - #2705"/>
    <n v="-28990"/>
    <s v="Activo"/>
    <n v="-28990"/>
    <x v="9"/>
  </r>
  <r>
    <n v="2026"/>
    <n v="2"/>
    <s v="02-02-2026"/>
    <n v="10878"/>
    <s v="1104-01"/>
    <n v="0"/>
    <n v="33490"/>
    <s v="Centralización recaudaciones febrero 2026 #2707 - #2707"/>
    <n v="-33490"/>
    <s v="Activo"/>
    <n v="-33490"/>
    <x v="9"/>
  </r>
  <r>
    <n v="2026"/>
    <n v="2"/>
    <s v="02-02-2026"/>
    <n v="10880"/>
    <s v="1104-01"/>
    <n v="0"/>
    <n v="29990"/>
    <s v="Centralización recaudaciones febrero 2026 #2709 - #2709"/>
    <n v="-29990"/>
    <s v="Activo"/>
    <n v="-29990"/>
    <x v="9"/>
  </r>
  <r>
    <n v="2026"/>
    <n v="2"/>
    <s v="02-02-2026"/>
    <n v="10885"/>
    <s v="1104-01"/>
    <n v="0"/>
    <n v="60000"/>
    <s v="Centralización recaudaciones febrero 2026 #2714 - #2714"/>
    <n v="-60000"/>
    <s v="Activo"/>
    <n v="-60000"/>
    <x v="9"/>
  </r>
  <r>
    <n v="2026"/>
    <n v="2"/>
    <s v="02-02-2026"/>
    <n v="10888"/>
    <s v="1104-01"/>
    <n v="0"/>
    <n v="21990"/>
    <s v="Centralización recaudaciones febrero 2026 #2717 - #2717"/>
    <n v="-21990"/>
    <s v="Activo"/>
    <n v="-21990"/>
    <x v="9"/>
  </r>
  <r>
    <n v="2026"/>
    <n v="2"/>
    <s v="02-02-2026"/>
    <n v="10889"/>
    <s v="1104-01"/>
    <n v="0"/>
    <n v="24990"/>
    <s v="Centralización recaudaciones febrero 2026 #2718 - #2718"/>
    <n v="-24990"/>
    <s v="Activo"/>
    <n v="-24990"/>
    <x v="9"/>
  </r>
  <r>
    <n v="2026"/>
    <n v="2"/>
    <s v="02-02-2026"/>
    <n v="10891"/>
    <s v="1104-01"/>
    <n v="0"/>
    <n v="54990"/>
    <s v="Centralización recaudaciones febrero 2026 #2720 - #2720"/>
    <n v="-54990"/>
    <s v="Activo"/>
    <n v="-54990"/>
    <x v="9"/>
  </r>
  <r>
    <n v="2026"/>
    <n v="2"/>
    <s v="02-02-2026"/>
    <n v="10899"/>
    <s v="1104-01"/>
    <n v="0"/>
    <n v="24990"/>
    <s v="Centralización recaudaciones febrero 2026 #2728 - #2728"/>
    <n v="-24990"/>
    <s v="Activo"/>
    <n v="-24990"/>
    <x v="9"/>
  </r>
  <r>
    <n v="2026"/>
    <n v="2"/>
    <s v="02-02-2026"/>
    <n v="10919"/>
    <s v="1104-01"/>
    <n v="0"/>
    <n v="1735"/>
    <s v="Centralización recaudaciones febrero 2026 #2748 - #2748"/>
    <n v="-1735"/>
    <s v="Activo"/>
    <n v="-1735"/>
    <x v="9"/>
  </r>
  <r>
    <n v="2026"/>
    <n v="2"/>
    <s v="02-02-2026"/>
    <n v="10923"/>
    <s v="1104-01"/>
    <n v="0"/>
    <n v="2960"/>
    <s v="Centralización recaudaciones febrero 2026 #2752 - #2752"/>
    <n v="-2960"/>
    <s v="Activo"/>
    <n v="-2960"/>
    <x v="9"/>
  </r>
  <r>
    <n v="2026"/>
    <n v="2"/>
    <s v="02-02-2026"/>
    <n v="10924"/>
    <s v="1104-01"/>
    <n v="0"/>
    <n v="47960"/>
    <s v="Centralización recaudaciones febrero 2026 #2753 - #2753"/>
    <n v="-47960"/>
    <s v="Activo"/>
    <n v="-47960"/>
    <x v="9"/>
  </r>
  <r>
    <n v="2026"/>
    <n v="2"/>
    <s v="02-02-2026"/>
    <n v="10930"/>
    <s v="1104-01"/>
    <n v="0"/>
    <n v="86052"/>
    <s v="Centralización recaudaciones febrero 2026 #2759 - #2759"/>
    <n v="-86052"/>
    <s v="Activo"/>
    <n v="-86052"/>
    <x v="9"/>
  </r>
  <r>
    <n v="2026"/>
    <n v="2"/>
    <s v="02-02-2026"/>
    <n v="10932"/>
    <s v="1104-01"/>
    <n v="0"/>
    <n v="60000"/>
    <s v="Centralización recaudaciones febrero 2026 #2761 - #2761"/>
    <n v="-60000"/>
    <s v="Activo"/>
    <n v="-60000"/>
    <x v="9"/>
  </r>
  <r>
    <n v="2026"/>
    <n v="2"/>
    <s v="02-02-2026"/>
    <n v="10935"/>
    <s v="1104-01"/>
    <n v="0"/>
    <n v="19990"/>
    <s v="Centralización recaudaciones febrero 2026 #2764 - #2764"/>
    <n v="-19990"/>
    <s v="Activo"/>
    <n v="-19990"/>
    <x v="9"/>
  </r>
  <r>
    <n v="2026"/>
    <n v="2"/>
    <s v="02-02-2026"/>
    <n v="10937"/>
    <s v="1104-01"/>
    <n v="0"/>
    <n v="46990"/>
    <s v="Centralización recaudaciones febrero 2026 #2766 - #2766"/>
    <n v="-46990"/>
    <s v="Activo"/>
    <n v="-46990"/>
    <x v="9"/>
  </r>
  <r>
    <n v="2026"/>
    <n v="2"/>
    <s v="02-02-2026"/>
    <n v="10941"/>
    <s v="1104-01"/>
    <n v="0"/>
    <n v="19990"/>
    <s v="Centralización recaudaciones febrero 2026 #2770 - #2770"/>
    <n v="-19990"/>
    <s v="Activo"/>
    <n v="-19990"/>
    <x v="9"/>
  </r>
  <r>
    <n v="2026"/>
    <n v="2"/>
    <s v="02-02-2026"/>
    <n v="10944"/>
    <s v="1104-01"/>
    <n v="0"/>
    <n v="30000"/>
    <s v="Centralización recaudaciones febrero 2026 #2773 - #2773"/>
    <n v="-30000"/>
    <s v="Activo"/>
    <n v="-30000"/>
    <x v="9"/>
  </r>
  <r>
    <n v="2026"/>
    <n v="2"/>
    <s v="02-02-2026"/>
    <n v="10945"/>
    <s v="1104-01"/>
    <n v="0"/>
    <n v="24990"/>
    <s v="Centralización recaudaciones febrero 2026 #2774 - #2774"/>
    <n v="-24990"/>
    <s v="Activo"/>
    <n v="-24990"/>
    <x v="9"/>
  </r>
  <r>
    <n v="2026"/>
    <n v="2"/>
    <s v="02-02-2026"/>
    <n v="10947"/>
    <s v="1104-01"/>
    <n v="0"/>
    <n v="21990"/>
    <s v="Centralización recaudaciones febrero 2026 #2776 - #2776"/>
    <n v="-21990"/>
    <s v="Activo"/>
    <n v="-21990"/>
    <x v="9"/>
  </r>
  <r>
    <n v="2026"/>
    <n v="2"/>
    <s v="02-02-2026"/>
    <n v="10948"/>
    <s v="1104-01"/>
    <n v="0"/>
    <n v="21900"/>
    <s v="Centralización recaudaciones febrero 2026 #2777 - #2777"/>
    <n v="-21900"/>
    <s v="Activo"/>
    <n v="-21900"/>
    <x v="9"/>
  </r>
  <r>
    <n v="2026"/>
    <n v="2"/>
    <s v="02-02-2026"/>
    <n v="10957"/>
    <s v="1104-01"/>
    <n v="0"/>
    <n v="38980"/>
    <s v="Centralización recaudaciones febrero 2026 #2786 - #2786"/>
    <n v="-38980"/>
    <s v="Activo"/>
    <n v="-38980"/>
    <x v="9"/>
  </r>
  <r>
    <n v="2026"/>
    <n v="2"/>
    <s v="02-02-2026"/>
    <n v="10967"/>
    <s v="1104-01"/>
    <n v="0"/>
    <n v="54990"/>
    <s v="Centralización recaudaciones febrero 2026 #2796 - #2796"/>
    <n v="-54990"/>
    <s v="Activo"/>
    <n v="-54990"/>
    <x v="9"/>
  </r>
  <r>
    <n v="2026"/>
    <n v="2"/>
    <s v="02-02-2026"/>
    <n v="10968"/>
    <s v="1104-01"/>
    <n v="0"/>
    <n v="21990"/>
    <s v="Centralización recaudaciones febrero 2026 #2797 - #2797"/>
    <n v="-21990"/>
    <s v="Activo"/>
    <n v="-21990"/>
    <x v="9"/>
  </r>
  <r>
    <n v="2026"/>
    <n v="2"/>
    <s v="02-02-2026"/>
    <n v="10977"/>
    <s v="1104-01"/>
    <n v="0"/>
    <n v="21990"/>
    <s v="Centralización recaudaciones febrero 2026 #2806 - #2806"/>
    <n v="-21990"/>
    <s v="Activo"/>
    <n v="-21990"/>
    <x v="9"/>
  </r>
  <r>
    <n v="2026"/>
    <n v="2"/>
    <s v="02-02-2026"/>
    <n v="10979"/>
    <s v="1104-01"/>
    <n v="0"/>
    <n v="40000"/>
    <s v="Centralización recaudaciones febrero 2026 #2808 - #2808"/>
    <n v="-40000"/>
    <s v="Activo"/>
    <n v="-40000"/>
    <x v="9"/>
  </r>
  <r>
    <n v="2026"/>
    <n v="2"/>
    <s v="02-02-2026"/>
    <n v="10983"/>
    <s v="1104-01"/>
    <n v="0"/>
    <n v="232730"/>
    <s v="Centralización recaudaciones febrero 2026 #2812 - #2812"/>
    <n v="-232730"/>
    <s v="Activo"/>
    <n v="-232730"/>
    <x v="9"/>
  </r>
  <r>
    <n v="2026"/>
    <n v="2"/>
    <s v="02-02-2026"/>
    <n v="10987"/>
    <s v="1104-01"/>
    <n v="0"/>
    <n v="34990"/>
    <s v="Centralización recaudaciones febrero 2026 #2816 - #2816"/>
    <n v="-34990"/>
    <s v="Activo"/>
    <n v="-34990"/>
    <x v="9"/>
  </r>
  <r>
    <n v="2026"/>
    <n v="2"/>
    <s v="02-02-2026"/>
    <n v="10996"/>
    <s v="1104-01"/>
    <n v="0"/>
    <n v="40000"/>
    <s v="Centralización recaudaciones febrero 2026 #2825 - #2825"/>
    <n v="-40000"/>
    <s v="Activo"/>
    <n v="-40000"/>
    <x v="9"/>
  </r>
  <r>
    <n v="2026"/>
    <n v="2"/>
    <s v="02-02-2026"/>
    <n v="11002"/>
    <s v="1104-01"/>
    <n v="0"/>
    <n v="24990"/>
    <s v="Centralización recaudaciones febrero 2026 #2831 - #2831"/>
    <n v="-24990"/>
    <s v="Activo"/>
    <n v="-24990"/>
    <x v="9"/>
  </r>
  <r>
    <n v="2026"/>
    <n v="2"/>
    <s v="02-02-2026"/>
    <n v="11008"/>
    <s v="1104-01"/>
    <n v="0"/>
    <n v="2192981"/>
    <s v="Centralización recaudaciones febrero 2026 #2837 - #2837"/>
    <n v="-2192981"/>
    <s v="Activo"/>
    <n v="-2192981"/>
    <x v="9"/>
  </r>
  <r>
    <n v="2026"/>
    <n v="2"/>
    <s v="02-02-2026"/>
    <n v="11016"/>
    <s v="1104-01"/>
    <n v="0"/>
    <n v="40000"/>
    <s v="Centralización recaudaciones febrero 2026 #2845 - #2845"/>
    <n v="-40000"/>
    <s v="Activo"/>
    <n v="-40000"/>
    <x v="9"/>
  </r>
  <r>
    <n v="2026"/>
    <n v="2"/>
    <s v="02-02-2026"/>
    <n v="11020"/>
    <s v="1104-01"/>
    <n v="0"/>
    <n v="26000"/>
    <s v="Centralización recaudaciones febrero 2026 #2849 - #2849"/>
    <n v="-26000"/>
    <s v="Activo"/>
    <n v="-26000"/>
    <x v="9"/>
  </r>
  <r>
    <n v="2026"/>
    <n v="2"/>
    <s v="02-02-2026"/>
    <n v="11022"/>
    <s v="1104-01"/>
    <n v="0"/>
    <n v="189172"/>
    <s v="Centralización recaudaciones febrero 2026 #2851 - #2851"/>
    <n v="-189172"/>
    <s v="Activo"/>
    <n v="-189172"/>
    <x v="9"/>
  </r>
  <r>
    <n v="2026"/>
    <n v="2"/>
    <s v="02-02-2026"/>
    <n v="11023"/>
    <s v="1104-01"/>
    <n v="0"/>
    <n v="83200"/>
    <s v="Centralización recaudaciones febrero 2026 #2852 - #2852"/>
    <n v="-83200"/>
    <s v="Activo"/>
    <n v="-83200"/>
    <x v="9"/>
  </r>
  <r>
    <n v="2026"/>
    <n v="2"/>
    <s v="02-02-2026"/>
    <n v="11024"/>
    <s v="1104-01"/>
    <n v="0"/>
    <n v="70710"/>
    <s v="Centralización recaudaciones febrero 2026 #2853 - #2853"/>
    <n v="-70710"/>
    <s v="Activo"/>
    <n v="-70710"/>
    <x v="9"/>
  </r>
  <r>
    <n v="2026"/>
    <n v="2"/>
    <s v="02-02-2026"/>
    <n v="11028"/>
    <s v="1104-01"/>
    <n v="0"/>
    <n v="30000"/>
    <s v="Centralización recaudaciones febrero 2026 #2857 - #2857"/>
    <n v="-30000"/>
    <s v="Activo"/>
    <n v="-30000"/>
    <x v="9"/>
  </r>
  <r>
    <n v="2026"/>
    <n v="2"/>
    <s v="02-02-2026"/>
    <n v="11033"/>
    <s v="1104-01"/>
    <n v="0"/>
    <n v="6482143"/>
    <s v="0966893109 abn crd db tran transba"/>
    <n v="-6482143"/>
    <s v="Activo"/>
    <n v="-6482143"/>
    <x v="9"/>
  </r>
  <r>
    <n v="2026"/>
    <n v="2"/>
    <s v="02-02-2026"/>
    <n v="11036"/>
    <s v="1104-01"/>
    <n v="0"/>
    <n v="3325473"/>
    <s v="0761872877 transf. khipu spa"/>
    <n v="-3325473"/>
    <s v="Activo"/>
    <n v="-3325473"/>
    <x v="9"/>
  </r>
  <r>
    <n v="2026"/>
    <n v="2"/>
    <s v="03-02-2026"/>
    <n v="10501"/>
    <s v="1104-01"/>
    <n v="0"/>
    <n v="15020"/>
    <s v="Centralización recaudaciones febrero 2026 #2330 - #2330"/>
    <n v="-15020"/>
    <s v="Activo"/>
    <n v="-15020"/>
    <x v="9"/>
  </r>
  <r>
    <n v="2026"/>
    <n v="2"/>
    <s v="03-02-2026"/>
    <n v="10518"/>
    <s v="1104-01"/>
    <n v="0"/>
    <n v="386906"/>
    <s v="Centralización recaudaciones febrero 2026 #2347 - #2347"/>
    <n v="-386906"/>
    <s v="Activo"/>
    <n v="-386906"/>
    <x v="9"/>
  </r>
  <r>
    <n v="2026"/>
    <n v="2"/>
    <s v="03-02-2026"/>
    <n v="10556"/>
    <s v="1104-01"/>
    <n v="0"/>
    <n v="25990"/>
    <s v="Centralización recaudaciones febrero 2026 #2385 - #2385"/>
    <n v="-25990"/>
    <s v="Activo"/>
    <n v="-25990"/>
    <x v="9"/>
  </r>
  <r>
    <n v="2026"/>
    <n v="2"/>
    <s v="03-02-2026"/>
    <n v="10559"/>
    <s v="1104-01"/>
    <n v="0"/>
    <n v="296114"/>
    <s v="Centralización recaudaciones febrero 2026 #2388 - #2388"/>
    <n v="-296114"/>
    <s v="Activo"/>
    <n v="-296114"/>
    <x v="9"/>
  </r>
  <r>
    <n v="2026"/>
    <n v="2"/>
    <s v="03-02-2026"/>
    <n v="10587"/>
    <s v="1104-01"/>
    <n v="0"/>
    <n v="21990"/>
    <s v="Centralización recaudaciones febrero 2026 #2416 - #2416"/>
    <n v="-21990"/>
    <s v="Activo"/>
    <n v="-21990"/>
    <x v="9"/>
  </r>
  <r>
    <n v="2026"/>
    <n v="2"/>
    <s v="03-02-2026"/>
    <n v="10592"/>
    <s v="1104-01"/>
    <n v="0"/>
    <n v="10"/>
    <s v="Centralización recaudaciones febrero 2026 #2421 - #2421"/>
    <n v="-10"/>
    <s v="Activo"/>
    <n v="-10"/>
    <x v="9"/>
  </r>
  <r>
    <n v="2026"/>
    <n v="2"/>
    <s v="03-02-2026"/>
    <n v="10596"/>
    <s v="1104-01"/>
    <n v="0"/>
    <n v="9560"/>
    <s v="Centralización recaudaciones febrero 2026 #2425 - #2425"/>
    <n v="-9560"/>
    <s v="Activo"/>
    <n v="-9560"/>
    <x v="9"/>
  </r>
  <r>
    <n v="2026"/>
    <n v="2"/>
    <s v="03-02-2026"/>
    <n v="10599"/>
    <s v="1104-01"/>
    <n v="0"/>
    <n v="21990"/>
    <s v="Centralización recaudaciones febrero 2026 #2428 - #2428"/>
    <n v="-21990"/>
    <s v="Activo"/>
    <n v="-21990"/>
    <x v="9"/>
  </r>
  <r>
    <n v="2026"/>
    <n v="2"/>
    <s v="03-02-2026"/>
    <n v="10619"/>
    <s v="1104-01"/>
    <n v="0"/>
    <n v="93930"/>
    <s v="Centralización recaudaciones febrero 2026 #2448 - #2448"/>
    <n v="-93930"/>
    <s v="Activo"/>
    <n v="-93930"/>
    <x v="9"/>
  </r>
  <r>
    <n v="2026"/>
    <n v="2"/>
    <s v="03-02-2026"/>
    <n v="10634"/>
    <s v="1104-01"/>
    <n v="0"/>
    <n v="29980"/>
    <s v="Centralización recaudaciones febrero 2026 #2463 - #2463"/>
    <n v="-29980"/>
    <s v="Activo"/>
    <n v="-29980"/>
    <x v="9"/>
  </r>
  <r>
    <n v="2026"/>
    <n v="2"/>
    <s v="03-02-2026"/>
    <n v="10668"/>
    <s v="1104-01"/>
    <n v="0"/>
    <n v="27990"/>
    <s v="Centralización recaudaciones febrero 2026 #2497 - #2497"/>
    <n v="-27990"/>
    <s v="Activo"/>
    <n v="-27990"/>
    <x v="9"/>
  </r>
  <r>
    <n v="2026"/>
    <n v="2"/>
    <s v="03-02-2026"/>
    <n v="10671"/>
    <s v="1104-01"/>
    <n v="0"/>
    <n v="374863"/>
    <s v="Centralización recaudaciones febrero 2026 #2500 - #2500"/>
    <n v="-374863"/>
    <s v="Activo"/>
    <n v="-374863"/>
    <x v="9"/>
  </r>
  <r>
    <n v="2026"/>
    <n v="2"/>
    <s v="03-02-2026"/>
    <n v="10681"/>
    <s v="1104-01"/>
    <n v="0"/>
    <n v="9990"/>
    <s v="Centralización recaudaciones febrero 2026 #2510 - #2510"/>
    <n v="-9990"/>
    <s v="Activo"/>
    <n v="-9990"/>
    <x v="9"/>
  </r>
  <r>
    <n v="2026"/>
    <n v="2"/>
    <s v="03-02-2026"/>
    <n v="10689"/>
    <s v="1104-01"/>
    <n v="0"/>
    <n v="21990"/>
    <s v="Centralización recaudaciones febrero 2026 #2518 - #2518"/>
    <n v="-21990"/>
    <s v="Activo"/>
    <n v="-21990"/>
    <x v="9"/>
  </r>
  <r>
    <n v="2026"/>
    <n v="2"/>
    <s v="03-02-2026"/>
    <n v="10700"/>
    <s v="1104-01"/>
    <n v="0"/>
    <n v="28990"/>
    <s v="Centralización recaudaciones febrero 2026 #2529 - #2529"/>
    <n v="-28990"/>
    <s v="Activo"/>
    <n v="-28990"/>
    <x v="9"/>
  </r>
  <r>
    <n v="2026"/>
    <n v="2"/>
    <s v="03-02-2026"/>
    <n v="10707"/>
    <s v="1104-01"/>
    <n v="0"/>
    <n v="14990"/>
    <s v="Centralización recaudaciones febrero 2026 #2536 - #2536"/>
    <n v="-14990"/>
    <s v="Activo"/>
    <n v="-14990"/>
    <x v="9"/>
  </r>
  <r>
    <n v="2026"/>
    <n v="2"/>
    <s v="03-02-2026"/>
    <n v="10718"/>
    <s v="1104-01"/>
    <n v="0"/>
    <n v="40000"/>
    <s v="Centralización recaudaciones febrero 2026 #2547 - #2547"/>
    <n v="-40000"/>
    <s v="Activo"/>
    <n v="-40000"/>
    <x v="9"/>
  </r>
  <r>
    <n v="2026"/>
    <n v="2"/>
    <s v="03-02-2026"/>
    <n v="10751"/>
    <s v="1104-01"/>
    <n v="0"/>
    <n v="24980"/>
    <s v="Centralización recaudaciones febrero 2026 #2580 - #2580"/>
    <n v="-24980"/>
    <s v="Activo"/>
    <n v="-24980"/>
    <x v="9"/>
  </r>
  <r>
    <n v="2026"/>
    <n v="2"/>
    <s v="03-02-2026"/>
    <n v="10753"/>
    <s v="1104-01"/>
    <n v="0"/>
    <n v="31990"/>
    <s v="Centralización recaudaciones febrero 2026 #2582 - #2582"/>
    <n v="-31990"/>
    <s v="Activo"/>
    <n v="-31990"/>
    <x v="9"/>
  </r>
  <r>
    <n v="2026"/>
    <n v="2"/>
    <s v="03-02-2026"/>
    <n v="10761"/>
    <s v="1104-01"/>
    <n v="0"/>
    <n v="38990"/>
    <s v="Centralización recaudaciones febrero 2026 #2590 - #2590"/>
    <n v="-38990"/>
    <s v="Activo"/>
    <n v="-38990"/>
    <x v="9"/>
  </r>
  <r>
    <n v="2026"/>
    <n v="2"/>
    <s v="03-02-2026"/>
    <n v="10779"/>
    <s v="1104-01"/>
    <n v="0"/>
    <n v="21990"/>
    <s v="Centralización recaudaciones febrero 2026 #2608 - #2608"/>
    <n v="-21990"/>
    <s v="Activo"/>
    <n v="-21990"/>
    <x v="9"/>
  </r>
  <r>
    <n v="2026"/>
    <n v="2"/>
    <s v="03-02-2026"/>
    <n v="10787"/>
    <s v="1104-01"/>
    <n v="0"/>
    <n v="35980"/>
    <s v="Centralización recaudaciones febrero 2026 #2616 - #2616"/>
    <n v="-35980"/>
    <s v="Activo"/>
    <n v="-35980"/>
    <x v="9"/>
  </r>
  <r>
    <n v="2026"/>
    <n v="2"/>
    <s v="03-02-2026"/>
    <n v="10793"/>
    <s v="1104-01"/>
    <n v="0"/>
    <n v="29990"/>
    <s v="Centralización recaudaciones febrero 2026 #2622 - #2622"/>
    <n v="-29990"/>
    <s v="Activo"/>
    <n v="-29990"/>
    <x v="9"/>
  </r>
  <r>
    <n v="2026"/>
    <n v="2"/>
    <s v="03-02-2026"/>
    <n v="10801"/>
    <s v="1104-01"/>
    <n v="0"/>
    <n v="2010"/>
    <s v="Centralización recaudaciones febrero 2026 #2630 - #2630"/>
    <n v="-2010"/>
    <s v="Activo"/>
    <n v="-2010"/>
    <x v="9"/>
  </r>
  <r>
    <n v="2026"/>
    <n v="2"/>
    <s v="03-02-2026"/>
    <n v="10803"/>
    <s v="1104-01"/>
    <n v="0"/>
    <n v="10020"/>
    <s v="Centralización recaudaciones febrero 2026 #2632 - #2632"/>
    <n v="-10020"/>
    <s v="Activo"/>
    <n v="-10020"/>
    <x v="9"/>
  </r>
  <r>
    <n v="2026"/>
    <n v="2"/>
    <s v="03-02-2026"/>
    <n v="10819"/>
    <s v="1104-01"/>
    <n v="0"/>
    <n v="15000"/>
    <s v="Centralización recaudaciones febrero 2026 #2648 - #2648"/>
    <n v="-15000"/>
    <s v="Activo"/>
    <n v="-15000"/>
    <x v="9"/>
  </r>
  <r>
    <n v="2026"/>
    <n v="2"/>
    <s v="03-02-2026"/>
    <n v="10827"/>
    <s v="1104-01"/>
    <n v="0"/>
    <n v="4010"/>
    <s v="Centralización recaudaciones febrero 2026 #2656 - #2656"/>
    <n v="-4010"/>
    <s v="Activo"/>
    <n v="-4010"/>
    <x v="9"/>
  </r>
  <r>
    <n v="2026"/>
    <n v="2"/>
    <s v="03-02-2026"/>
    <n v="10842"/>
    <s v="1104-01"/>
    <n v="0"/>
    <n v="39990"/>
    <s v="Centralización recaudaciones febrero 2026 #2671 - #2671"/>
    <n v="-39990"/>
    <s v="Activo"/>
    <n v="-39990"/>
    <x v="9"/>
  </r>
  <r>
    <n v="2026"/>
    <n v="2"/>
    <s v="03-02-2026"/>
    <n v="10850"/>
    <s v="1104-01"/>
    <n v="0"/>
    <n v="24990"/>
    <s v="Centralización recaudaciones febrero 2026 #2679 - #2679"/>
    <n v="-24990"/>
    <s v="Activo"/>
    <n v="-24990"/>
    <x v="9"/>
  </r>
  <r>
    <n v="2026"/>
    <n v="2"/>
    <s v="03-02-2026"/>
    <n v="10861"/>
    <s v="1104-01"/>
    <n v="0"/>
    <n v="30000"/>
    <s v="Centralización recaudaciones febrero 2026 #2690 - #2690"/>
    <n v="-30000"/>
    <s v="Activo"/>
    <n v="-30000"/>
    <x v="9"/>
  </r>
  <r>
    <n v="2026"/>
    <n v="2"/>
    <s v="03-02-2026"/>
    <n v="10872"/>
    <s v="1104-01"/>
    <n v="0"/>
    <n v="24990"/>
    <s v="Centralización recaudaciones febrero 2026 #2701 - #2701"/>
    <n v="-24990"/>
    <s v="Activo"/>
    <n v="-24990"/>
    <x v="9"/>
  </r>
  <r>
    <n v="2026"/>
    <n v="2"/>
    <s v="03-02-2026"/>
    <n v="10874"/>
    <s v="1104-01"/>
    <n v="0"/>
    <n v="29990"/>
    <s v="Centralización recaudaciones febrero 2026 #2703 - #2703"/>
    <n v="-29990"/>
    <s v="Activo"/>
    <n v="-29990"/>
    <x v="9"/>
  </r>
  <r>
    <n v="2026"/>
    <n v="2"/>
    <s v="03-02-2026"/>
    <n v="10883"/>
    <s v="1104-01"/>
    <n v="0"/>
    <n v="84000"/>
    <s v="Centralización recaudaciones febrero 2026 #2712 - #2712"/>
    <n v="-84000"/>
    <s v="Activo"/>
    <n v="-84000"/>
    <x v="9"/>
  </r>
  <r>
    <n v="2026"/>
    <n v="2"/>
    <s v="03-02-2026"/>
    <n v="10990"/>
    <s v="1104-01"/>
    <n v="0"/>
    <n v="1070"/>
    <s v="Centralización recaudaciones febrero 2026 #2819 - #2819"/>
    <n v="-1070"/>
    <s v="Activo"/>
    <n v="-1070"/>
    <x v="9"/>
  </r>
  <r>
    <n v="2026"/>
    <n v="2"/>
    <s v="03-02-2026"/>
    <n v="10994"/>
    <s v="1104-01"/>
    <n v="0"/>
    <n v="34990"/>
    <s v="Centralización recaudaciones febrero 2026 #2823 - #2823"/>
    <n v="-34990"/>
    <s v="Activo"/>
    <n v="-34990"/>
    <x v="9"/>
  </r>
  <r>
    <n v="2026"/>
    <n v="2"/>
    <s v="03-02-2026"/>
    <n v="10997"/>
    <s v="1104-01"/>
    <n v="0"/>
    <n v="7490"/>
    <s v="Centralización recaudaciones febrero 2026 #2826 - #2826"/>
    <n v="-7490"/>
    <s v="Activo"/>
    <n v="-7490"/>
    <x v="9"/>
  </r>
  <r>
    <n v="2026"/>
    <n v="2"/>
    <s v="03-02-2026"/>
    <n v="11003"/>
    <s v="1104-01"/>
    <n v="0"/>
    <n v="24990"/>
    <s v="Centralización recaudaciones febrero 2026 #2832 - #2832"/>
    <n v="-24990"/>
    <s v="Activo"/>
    <n v="-24990"/>
    <x v="9"/>
  </r>
  <r>
    <n v="2026"/>
    <n v="2"/>
    <s v="03-02-2026"/>
    <n v="11017"/>
    <s v="1104-01"/>
    <n v="0"/>
    <n v="21990"/>
    <s v="Centralización recaudaciones febrero 2026 #2846 - #2846"/>
    <n v="-21990"/>
    <s v="Activo"/>
    <n v="-21990"/>
    <x v="9"/>
  </r>
  <r>
    <n v="2026"/>
    <n v="2"/>
    <s v="03-02-2026"/>
    <n v="11038"/>
    <s v="1104-01"/>
    <n v="0"/>
    <n v="27829042"/>
    <s v="0966893109 abn crd db tran transba"/>
    <n v="-27829042"/>
    <s v="Activo"/>
    <n v="-27829042"/>
    <x v="9"/>
  </r>
  <r>
    <n v="2026"/>
    <n v="2"/>
    <s v="03-02-2026"/>
    <n v="11039"/>
    <s v="1104-01"/>
    <n v="0"/>
    <n v="1195822"/>
    <s v="0761872877 transf. khipu spa"/>
    <n v="-1195822"/>
    <s v="Activo"/>
    <n v="-1195822"/>
    <x v="9"/>
  </r>
  <r>
    <n v="2026"/>
    <n v="2"/>
    <s v="04-02-2026"/>
    <n v="10502"/>
    <s v="1104-01"/>
    <n v="0"/>
    <n v="39000"/>
    <s v="Centralización recaudaciones febrero 2026 #2331 - #2331"/>
    <n v="-39000"/>
    <s v="Activo"/>
    <n v="-39000"/>
    <x v="9"/>
  </r>
  <r>
    <n v="2026"/>
    <n v="2"/>
    <s v="04-02-2026"/>
    <n v="10509"/>
    <s v="1104-01"/>
    <n v="0"/>
    <n v="113503"/>
    <s v="Centralización recaudaciones febrero 2026 #2338 - #2338"/>
    <n v="-113503"/>
    <s v="Activo"/>
    <n v="-113503"/>
    <x v="9"/>
  </r>
  <r>
    <n v="2026"/>
    <n v="2"/>
    <s v="04-02-2026"/>
    <n v="10533"/>
    <s v="1104-01"/>
    <n v="0"/>
    <n v="40000"/>
    <s v="Centralización recaudaciones febrero 2026 #2362 - #2362"/>
    <n v="-40000"/>
    <s v="Activo"/>
    <n v="-40000"/>
    <x v="9"/>
  </r>
  <r>
    <n v="2026"/>
    <n v="2"/>
    <s v="04-02-2026"/>
    <n v="10555"/>
    <s v="1104-01"/>
    <n v="0"/>
    <n v="34990"/>
    <s v="Centralización recaudaciones febrero 2026 #2384 - #2384"/>
    <n v="-34990"/>
    <s v="Activo"/>
    <n v="-34990"/>
    <x v="9"/>
  </r>
  <r>
    <n v="2026"/>
    <n v="2"/>
    <s v="04-02-2026"/>
    <n v="10557"/>
    <s v="1104-01"/>
    <n v="0"/>
    <n v="30000"/>
    <s v="Centralización recaudaciones febrero 2026 #2386 - #2386"/>
    <n v="-30000"/>
    <s v="Activo"/>
    <n v="-30000"/>
    <x v="9"/>
  </r>
  <r>
    <n v="2026"/>
    <n v="2"/>
    <s v="04-02-2026"/>
    <n v="10606"/>
    <s v="1104-01"/>
    <n v="0"/>
    <n v="32000"/>
    <s v="Centralización recaudaciones febrero 2026 #2435 - #2435"/>
    <n v="-32000"/>
    <s v="Activo"/>
    <n v="-32000"/>
    <x v="9"/>
  </r>
  <r>
    <n v="2026"/>
    <n v="2"/>
    <s v="04-02-2026"/>
    <n v="10609"/>
    <s v="1104-01"/>
    <n v="0"/>
    <n v="30000"/>
    <s v="Centralización recaudaciones febrero 2026 #2438 - #2438"/>
    <n v="-30000"/>
    <s v="Activo"/>
    <n v="-30000"/>
    <x v="9"/>
  </r>
  <r>
    <n v="2026"/>
    <n v="2"/>
    <s v="04-02-2026"/>
    <n v="10705"/>
    <s v="1104-01"/>
    <n v="0"/>
    <n v="31990"/>
    <s v="Centralización recaudaciones febrero 2026 #2534 - #2534"/>
    <n v="-31990"/>
    <s v="Activo"/>
    <n v="-31990"/>
    <x v="9"/>
  </r>
  <r>
    <n v="2026"/>
    <n v="2"/>
    <s v="04-02-2026"/>
    <n v="10708"/>
    <s v="1104-01"/>
    <n v="0"/>
    <n v="1980"/>
    <s v="Centralización recaudaciones febrero 2026 #2537 - #2537"/>
    <n v="-1980"/>
    <s v="Activo"/>
    <n v="-1980"/>
    <x v="9"/>
  </r>
  <r>
    <n v="2026"/>
    <n v="2"/>
    <s v="04-02-2026"/>
    <n v="10720"/>
    <s v="1104-01"/>
    <n v="0"/>
    <n v="13335"/>
    <s v="Centralización recaudaciones febrero 2026 #2549 - #2549"/>
    <n v="-13335"/>
    <s v="Activo"/>
    <n v="-13335"/>
    <x v="9"/>
  </r>
  <r>
    <n v="2026"/>
    <n v="2"/>
    <s v="04-02-2026"/>
    <n v="10723"/>
    <s v="1104-01"/>
    <n v="0"/>
    <n v="29990"/>
    <s v="Centralización recaudaciones febrero 2026 #2552 - #2552"/>
    <n v="-29990"/>
    <s v="Activo"/>
    <n v="-29990"/>
    <x v="9"/>
  </r>
  <r>
    <n v="2026"/>
    <n v="2"/>
    <s v="04-02-2026"/>
    <n v="10734"/>
    <s v="1104-01"/>
    <n v="0"/>
    <n v="20"/>
    <s v="Centralización recaudaciones febrero 2026 #2563 - #2563"/>
    <n v="-20"/>
    <s v="Activo"/>
    <n v="-20"/>
    <x v="9"/>
  </r>
  <r>
    <n v="2026"/>
    <n v="2"/>
    <s v="04-02-2026"/>
    <n v="10745"/>
    <s v="1104-01"/>
    <n v="0"/>
    <n v="29990"/>
    <s v="Centralización recaudaciones febrero 2026 #2574 - #2574"/>
    <n v="-29990"/>
    <s v="Activo"/>
    <n v="-29990"/>
    <x v="9"/>
  </r>
  <r>
    <n v="2026"/>
    <n v="2"/>
    <s v="04-02-2026"/>
    <n v="10754"/>
    <s v="1104-01"/>
    <n v="0"/>
    <n v="29990"/>
    <s v="Centralización recaudaciones febrero 2026 #2583 - #2583"/>
    <n v="-29990"/>
    <s v="Activo"/>
    <n v="-29990"/>
    <x v="9"/>
  </r>
  <r>
    <n v="2026"/>
    <n v="2"/>
    <s v="04-02-2026"/>
    <n v="10773"/>
    <s v="1104-01"/>
    <n v="0"/>
    <n v="34990"/>
    <s v="Centralización recaudaciones febrero 2026 #2602 - #2602"/>
    <n v="-34990"/>
    <s v="Activo"/>
    <n v="-34990"/>
    <x v="9"/>
  </r>
  <r>
    <n v="2026"/>
    <n v="2"/>
    <s v="04-02-2026"/>
    <n v="10782"/>
    <s v="1104-01"/>
    <n v="0"/>
    <n v="174821"/>
    <s v="Centralización recaudaciones febrero 2026 #2611 - #2611"/>
    <n v="-174821"/>
    <s v="Activo"/>
    <n v="-174821"/>
    <x v="9"/>
  </r>
  <r>
    <n v="2026"/>
    <n v="2"/>
    <s v="04-02-2026"/>
    <n v="10798"/>
    <s v="1104-01"/>
    <n v="0"/>
    <n v="10000"/>
    <s v="Centralización recaudaciones febrero 2026 #2627 - #2627"/>
    <n v="-10000"/>
    <s v="Activo"/>
    <n v="-10000"/>
    <x v="9"/>
  </r>
  <r>
    <n v="2026"/>
    <n v="2"/>
    <s v="04-02-2026"/>
    <n v="10804"/>
    <s v="1104-01"/>
    <n v="0"/>
    <n v="62950"/>
    <s v="Centralización recaudaciones febrero 2026 #2633 - #2633"/>
    <n v="-62950"/>
    <s v="Activo"/>
    <n v="-62950"/>
    <x v="9"/>
  </r>
  <r>
    <n v="2026"/>
    <n v="2"/>
    <s v="04-02-2026"/>
    <n v="10820"/>
    <s v="1104-01"/>
    <n v="0"/>
    <n v="16990"/>
    <s v="Centralización recaudaciones febrero 2026 #2649 - #2649"/>
    <n v="-16990"/>
    <s v="Activo"/>
    <n v="-16990"/>
    <x v="9"/>
  </r>
  <r>
    <n v="2026"/>
    <n v="2"/>
    <s v="04-02-2026"/>
    <n v="10828"/>
    <s v="1104-01"/>
    <n v="0"/>
    <n v="18980"/>
    <s v="Centralización recaudaciones febrero 2026 #2657 - #2657"/>
    <n v="-18980"/>
    <s v="Activo"/>
    <n v="-18980"/>
    <x v="9"/>
  </r>
  <r>
    <n v="2026"/>
    <n v="2"/>
    <s v="04-02-2026"/>
    <n v="10858"/>
    <s v="1104-01"/>
    <n v="0"/>
    <n v="113503"/>
    <s v="Centralización recaudaciones febrero 2026 #2687 - #2687"/>
    <n v="-113503"/>
    <s v="Activo"/>
    <n v="-113503"/>
    <x v="9"/>
  </r>
  <r>
    <n v="2026"/>
    <n v="2"/>
    <s v="04-02-2026"/>
    <n v="10865"/>
    <s v="1104-01"/>
    <n v="0"/>
    <n v="50000"/>
    <s v="Centralización recaudaciones febrero 2026 #2694 - #2694"/>
    <n v="-50000"/>
    <s v="Activo"/>
    <n v="-50000"/>
    <x v="9"/>
  </r>
  <r>
    <n v="2026"/>
    <n v="2"/>
    <s v="04-02-2026"/>
    <n v="10866"/>
    <s v="1104-01"/>
    <n v="0"/>
    <n v="39990"/>
    <s v="Centralización recaudaciones febrero 2026 #2695 - #2695"/>
    <n v="-39990"/>
    <s v="Activo"/>
    <n v="-39990"/>
    <x v="9"/>
  </r>
  <r>
    <n v="2026"/>
    <n v="2"/>
    <s v="04-02-2026"/>
    <n v="10877"/>
    <s v="1104-01"/>
    <n v="0"/>
    <n v="60000"/>
    <s v="Centralización recaudaciones febrero 2026 #2706 - #2706"/>
    <n v="-60000"/>
    <s v="Activo"/>
    <n v="-60000"/>
    <x v="9"/>
  </r>
  <r>
    <n v="2026"/>
    <n v="2"/>
    <s v="04-02-2026"/>
    <n v="10890"/>
    <s v="1104-01"/>
    <n v="0"/>
    <n v="178970"/>
    <s v="Centralización recaudaciones febrero 2026 #2719 - #2719"/>
    <n v="-178970"/>
    <s v="Activo"/>
    <n v="-178970"/>
    <x v="9"/>
  </r>
  <r>
    <n v="2026"/>
    <n v="2"/>
    <s v="04-02-2026"/>
    <n v="10894"/>
    <s v="1104-01"/>
    <n v="0"/>
    <n v="32990"/>
    <s v="Centralización recaudaciones febrero 2026 #2723 - #2723"/>
    <n v="-32990"/>
    <s v="Activo"/>
    <n v="-32990"/>
    <x v="9"/>
  </r>
  <r>
    <n v="2026"/>
    <n v="2"/>
    <s v="04-02-2026"/>
    <n v="10896"/>
    <s v="1104-01"/>
    <n v="0"/>
    <n v="27990"/>
    <s v="Centralización recaudaciones febrero 2026 #2725 - #2725"/>
    <n v="-27990"/>
    <s v="Activo"/>
    <n v="-27990"/>
    <x v="9"/>
  </r>
  <r>
    <n v="2026"/>
    <n v="2"/>
    <s v="04-02-2026"/>
    <n v="10903"/>
    <s v="1104-01"/>
    <n v="0"/>
    <n v="26970"/>
    <s v="Centralización recaudaciones febrero 2026 #2732 - #2732"/>
    <n v="-26970"/>
    <s v="Activo"/>
    <n v="-26970"/>
    <x v="9"/>
  </r>
  <r>
    <n v="2026"/>
    <n v="2"/>
    <s v="04-02-2026"/>
    <n v="10920"/>
    <s v="1104-01"/>
    <n v="0"/>
    <n v="23255"/>
    <s v="Centralización recaudaciones febrero 2026 #2749 - #2749"/>
    <n v="-23255"/>
    <s v="Activo"/>
    <n v="-23255"/>
    <x v="9"/>
  </r>
  <r>
    <n v="2026"/>
    <n v="2"/>
    <s v="04-02-2026"/>
    <n v="10925"/>
    <s v="1104-01"/>
    <n v="0"/>
    <n v="35000"/>
    <s v="Centralización recaudaciones febrero 2026 #2754 - #2754"/>
    <n v="-35000"/>
    <s v="Activo"/>
    <n v="-35000"/>
    <x v="9"/>
  </r>
  <r>
    <n v="2026"/>
    <n v="2"/>
    <s v="04-02-2026"/>
    <n v="11040"/>
    <s v="1104-01"/>
    <n v="0"/>
    <n v="15826548"/>
    <s v="0966893109 abn crd db tran transba"/>
    <n v="-15826548"/>
    <s v="Activo"/>
    <n v="-15826548"/>
    <x v="9"/>
  </r>
  <r>
    <n v="2026"/>
    <n v="2"/>
    <s v="04-02-2026"/>
    <n v="11041"/>
    <s v="1104-01"/>
    <n v="0"/>
    <n v="611479"/>
    <s v="0761872877 transf. khipu spa"/>
    <n v="-611479"/>
    <s v="Activo"/>
    <n v="-611479"/>
    <x v="9"/>
  </r>
  <r>
    <n v="2026"/>
    <n v="2"/>
    <s v="05-02-2026"/>
    <n v="10503"/>
    <s v="1104-01"/>
    <n v="0"/>
    <n v="3970"/>
    <s v="Centralización recaudaciones febrero 2026 #2332 - #2332"/>
    <n v="-3970"/>
    <s v="Activo"/>
    <n v="-3970"/>
    <x v="9"/>
  </r>
  <r>
    <n v="2026"/>
    <n v="2"/>
    <s v="05-02-2026"/>
    <n v="10535"/>
    <s v="1104-01"/>
    <n v="0"/>
    <n v="32990"/>
    <s v="Centralización recaudaciones febrero 2026 #2364 - #2364"/>
    <n v="-32990"/>
    <s v="Activo"/>
    <n v="-32990"/>
    <x v="9"/>
  </r>
  <r>
    <n v="2026"/>
    <n v="2"/>
    <s v="05-02-2026"/>
    <n v="10549"/>
    <s v="1104-01"/>
    <n v="0"/>
    <n v="32990"/>
    <s v="Centralización recaudaciones febrero 2026 #2378 - #2378"/>
    <n v="-32990"/>
    <s v="Activo"/>
    <n v="-32990"/>
    <x v="9"/>
  </r>
  <r>
    <n v="2026"/>
    <n v="2"/>
    <s v="05-02-2026"/>
    <n v="10575"/>
    <s v="1104-01"/>
    <n v="0"/>
    <n v="29990"/>
    <s v="Centralización recaudaciones febrero 2026 #2404 - #2404"/>
    <n v="-29990"/>
    <s v="Activo"/>
    <n v="-29990"/>
    <x v="9"/>
  </r>
  <r>
    <n v="2026"/>
    <n v="2"/>
    <s v="05-02-2026"/>
    <n v="10580"/>
    <s v="1104-01"/>
    <n v="0"/>
    <n v="29990"/>
    <s v="Centralización recaudaciones febrero 2026 #2409 - #2409"/>
    <n v="-29990"/>
    <s v="Activo"/>
    <n v="-29990"/>
    <x v="9"/>
  </r>
  <r>
    <n v="2026"/>
    <n v="2"/>
    <s v="05-02-2026"/>
    <n v="10589"/>
    <s v="1104-01"/>
    <n v="0"/>
    <n v="5425"/>
    <s v="Centralización recaudaciones febrero 2026 #2418 - #2418"/>
    <n v="-5425"/>
    <s v="Activo"/>
    <n v="-5425"/>
    <x v="9"/>
  </r>
  <r>
    <n v="2026"/>
    <n v="2"/>
    <s v="05-02-2026"/>
    <n v="10621"/>
    <s v="1104-01"/>
    <n v="0"/>
    <n v="90000"/>
    <s v="Centralización recaudaciones febrero 2026 #2450 - #2450"/>
    <n v="-90000"/>
    <s v="Activo"/>
    <n v="-90000"/>
    <x v="9"/>
  </r>
  <r>
    <n v="2026"/>
    <n v="2"/>
    <s v="05-02-2026"/>
    <n v="10622"/>
    <s v="1104-01"/>
    <n v="0"/>
    <n v="14029"/>
    <s v="Centralización recaudaciones febrero 2026 #2451 - #2451"/>
    <n v="-14029"/>
    <s v="Activo"/>
    <n v="-14029"/>
    <x v="9"/>
  </r>
  <r>
    <n v="2026"/>
    <n v="2"/>
    <s v="05-02-2026"/>
    <n v="10663"/>
    <s v="1104-01"/>
    <n v="0"/>
    <n v="7000"/>
    <s v="Centralización recaudaciones febrero 2026 #2492 - #2492"/>
    <n v="-7000"/>
    <s v="Activo"/>
    <n v="-7000"/>
    <x v="9"/>
  </r>
  <r>
    <n v="2026"/>
    <n v="2"/>
    <s v="05-02-2026"/>
    <n v="10676"/>
    <s v="1104-01"/>
    <n v="0"/>
    <n v="30000"/>
    <s v="Centralización recaudaciones febrero 2026 #2505 - #2505"/>
    <n v="-30000"/>
    <s v="Activo"/>
    <n v="-30000"/>
    <x v="9"/>
  </r>
  <r>
    <n v="2026"/>
    <n v="2"/>
    <s v="05-02-2026"/>
    <n v="10694"/>
    <s v="1104-01"/>
    <n v="0"/>
    <n v="38990"/>
    <s v="Centralización recaudaciones febrero 2026 #2523 - #2523"/>
    <n v="-38990"/>
    <s v="Activo"/>
    <n v="-38990"/>
    <x v="9"/>
  </r>
  <r>
    <n v="2026"/>
    <n v="2"/>
    <s v="05-02-2026"/>
    <n v="10709"/>
    <s v="1104-01"/>
    <n v="0"/>
    <n v="23020"/>
    <s v="Centralización recaudaciones febrero 2026 #2538 - #2538"/>
    <n v="-23020"/>
    <s v="Activo"/>
    <n v="-23020"/>
    <x v="9"/>
  </r>
  <r>
    <n v="2026"/>
    <n v="2"/>
    <s v="05-02-2026"/>
    <n v="10710"/>
    <s v="1104-01"/>
    <n v="0"/>
    <n v="4000"/>
    <s v="Centralización recaudaciones febrero 2026 #2539 - #2539"/>
    <n v="-4000"/>
    <s v="Activo"/>
    <n v="-4000"/>
    <x v="9"/>
  </r>
  <r>
    <n v="2026"/>
    <n v="2"/>
    <s v="05-02-2026"/>
    <n v="10712"/>
    <s v="1104-01"/>
    <n v="0"/>
    <n v="25990"/>
    <s v="Centralización recaudaciones febrero 2026 #2541 - #2541"/>
    <n v="-25990"/>
    <s v="Activo"/>
    <n v="-25990"/>
    <x v="9"/>
  </r>
  <r>
    <n v="2026"/>
    <n v="2"/>
    <s v="05-02-2026"/>
    <n v="10721"/>
    <s v="1104-01"/>
    <n v="0"/>
    <n v="11655"/>
    <s v="Centralización recaudaciones febrero 2026 #2550 - #2550"/>
    <n v="-11655"/>
    <s v="Activo"/>
    <n v="-11655"/>
    <x v="9"/>
  </r>
  <r>
    <n v="2026"/>
    <n v="2"/>
    <s v="05-02-2026"/>
    <n v="10725"/>
    <s v="1104-01"/>
    <n v="0"/>
    <n v="7010"/>
    <s v="Centralización recaudaciones febrero 2026 #2554 - #2554"/>
    <n v="-7010"/>
    <s v="Activo"/>
    <n v="-7010"/>
    <x v="9"/>
  </r>
  <r>
    <n v="2026"/>
    <n v="2"/>
    <s v="05-02-2026"/>
    <n v="10730"/>
    <s v="1104-01"/>
    <n v="0"/>
    <n v="21990"/>
    <s v="Centralización recaudaciones febrero 2026 #2559 - #2559"/>
    <n v="-21990"/>
    <s v="Activo"/>
    <n v="-21990"/>
    <x v="9"/>
  </r>
  <r>
    <n v="2026"/>
    <n v="2"/>
    <s v="05-02-2026"/>
    <n v="10743"/>
    <s v="1104-01"/>
    <n v="0"/>
    <n v="28000"/>
    <s v="Centralización recaudaciones febrero 2026 #2572 - #2572"/>
    <n v="-28000"/>
    <s v="Activo"/>
    <n v="-28000"/>
    <x v="9"/>
  </r>
  <r>
    <n v="2026"/>
    <n v="2"/>
    <s v="05-02-2026"/>
    <n v="10752"/>
    <s v="1104-01"/>
    <n v="0"/>
    <n v="31990"/>
    <s v="Centralización recaudaciones febrero 2026 #2581 - #2581"/>
    <n v="-31990"/>
    <s v="Activo"/>
    <n v="-31990"/>
    <x v="9"/>
  </r>
  <r>
    <n v="2026"/>
    <n v="2"/>
    <s v="05-02-2026"/>
    <n v="10755"/>
    <s v="1104-01"/>
    <n v="0"/>
    <n v="35981"/>
    <s v="Centralización recaudaciones febrero 2026 #2584 - #2584"/>
    <n v="-35981"/>
    <s v="Activo"/>
    <n v="-35981"/>
    <x v="9"/>
  </r>
  <r>
    <n v="2026"/>
    <n v="2"/>
    <s v="05-02-2026"/>
    <n v="10760"/>
    <s v="1104-01"/>
    <n v="0"/>
    <n v="24990"/>
    <s v="Centralización recaudaciones febrero 2026 #2589 - #2589"/>
    <n v="-24990"/>
    <s v="Activo"/>
    <n v="-24990"/>
    <x v="9"/>
  </r>
  <r>
    <n v="2026"/>
    <n v="2"/>
    <s v="05-02-2026"/>
    <n v="10762"/>
    <s v="1104-01"/>
    <n v="0"/>
    <n v="52990"/>
    <s v="Centralización recaudaciones febrero 2026 #2591 - #2591"/>
    <n v="-52990"/>
    <s v="Activo"/>
    <n v="-52990"/>
    <x v="9"/>
  </r>
  <r>
    <n v="2026"/>
    <n v="2"/>
    <s v="05-02-2026"/>
    <n v="10763"/>
    <s v="1104-01"/>
    <n v="0"/>
    <n v="29990"/>
    <s v="Centralización recaudaciones febrero 2026 #2592 - #2592"/>
    <n v="-29990"/>
    <s v="Activo"/>
    <n v="-29990"/>
    <x v="9"/>
  </r>
  <r>
    <n v="2026"/>
    <n v="2"/>
    <s v="05-02-2026"/>
    <n v="10778"/>
    <s v="1104-01"/>
    <n v="0"/>
    <n v="24990"/>
    <s v="Centralización recaudaciones febrero 2026 #2607 - #2607"/>
    <n v="-24990"/>
    <s v="Activo"/>
    <n v="-24990"/>
    <x v="9"/>
  </r>
  <r>
    <n v="2026"/>
    <n v="2"/>
    <s v="05-02-2026"/>
    <n v="10781"/>
    <s v="1104-01"/>
    <n v="0"/>
    <n v="21990"/>
    <s v="Centralización recaudaciones febrero 2026 #2610 - #2610"/>
    <n v="-21990"/>
    <s v="Activo"/>
    <n v="-21990"/>
    <x v="9"/>
  </r>
  <r>
    <n v="2026"/>
    <n v="2"/>
    <s v="05-02-2026"/>
    <n v="10789"/>
    <s v="1104-01"/>
    <n v="0"/>
    <n v="57990"/>
    <s v="Centralización recaudaciones febrero 2026 #2618 - #2618"/>
    <n v="-57990"/>
    <s v="Activo"/>
    <n v="-57990"/>
    <x v="9"/>
  </r>
  <r>
    <n v="2026"/>
    <n v="2"/>
    <s v="05-02-2026"/>
    <n v="10802"/>
    <s v="1104-01"/>
    <n v="0"/>
    <n v="22980"/>
    <s v="Centralización recaudaciones febrero 2026 #2631 - #2631"/>
    <n v="-22980"/>
    <s v="Activo"/>
    <n v="-22980"/>
    <x v="9"/>
  </r>
  <r>
    <n v="2026"/>
    <n v="2"/>
    <s v="05-02-2026"/>
    <n v="10805"/>
    <s v="1104-01"/>
    <n v="0"/>
    <n v="9300"/>
    <s v="Centralización recaudaciones febrero 2026 #2634 - #2634"/>
    <n v="-9300"/>
    <s v="Activo"/>
    <n v="-9300"/>
    <x v="9"/>
  </r>
  <r>
    <n v="2026"/>
    <n v="2"/>
    <s v="05-02-2026"/>
    <n v="10818"/>
    <s v="1104-01"/>
    <n v="0"/>
    <n v="24990"/>
    <s v="Centralización recaudaciones febrero 2026 #2647 - #2647"/>
    <n v="-24990"/>
    <s v="Activo"/>
    <n v="-24990"/>
    <x v="9"/>
  </r>
  <r>
    <n v="2026"/>
    <n v="2"/>
    <s v="05-02-2026"/>
    <n v="10825"/>
    <s v="1104-01"/>
    <n v="0"/>
    <n v="42990"/>
    <s v="Centralización recaudaciones febrero 2026 #2654 - #2654"/>
    <n v="-42990"/>
    <s v="Activo"/>
    <n v="-42990"/>
    <x v="9"/>
  </r>
  <r>
    <n v="2026"/>
    <n v="2"/>
    <s v="05-02-2026"/>
    <n v="10834"/>
    <s v="1104-01"/>
    <n v="0"/>
    <n v="24990"/>
    <s v="Centralización recaudaciones febrero 2026 #2663 - #2663"/>
    <n v="-24990"/>
    <s v="Activo"/>
    <n v="-24990"/>
    <x v="9"/>
  </r>
  <r>
    <n v="2026"/>
    <n v="2"/>
    <s v="05-02-2026"/>
    <n v="10855"/>
    <s v="1104-01"/>
    <n v="0"/>
    <n v="44990"/>
    <s v="Centralización recaudaciones febrero 2026 #2684 - #2684"/>
    <n v="-44990"/>
    <s v="Activo"/>
    <n v="-44990"/>
    <x v="9"/>
  </r>
  <r>
    <n v="2026"/>
    <n v="2"/>
    <s v="05-02-2026"/>
    <n v="10862"/>
    <s v="1104-01"/>
    <n v="0"/>
    <n v="30000"/>
    <s v="Centralización recaudaciones febrero 2026 #2691 - #2691"/>
    <n v="-30000"/>
    <s v="Activo"/>
    <n v="-30000"/>
    <x v="9"/>
  </r>
  <r>
    <n v="2026"/>
    <n v="2"/>
    <s v="05-02-2026"/>
    <n v="10875"/>
    <s v="1104-01"/>
    <n v="0"/>
    <n v="24990"/>
    <s v="Centralización recaudaciones febrero 2026 #2704 - #2704"/>
    <n v="-24990"/>
    <s v="Activo"/>
    <n v="-24990"/>
    <x v="9"/>
  </r>
  <r>
    <n v="2026"/>
    <n v="2"/>
    <s v="05-02-2026"/>
    <n v="10881"/>
    <s v="1104-01"/>
    <n v="0"/>
    <n v="28990"/>
    <s v="Centralización recaudaciones febrero 2026 #2710 - #2710"/>
    <n v="-28990"/>
    <s v="Activo"/>
    <n v="-28990"/>
    <x v="9"/>
  </r>
  <r>
    <n v="2026"/>
    <n v="2"/>
    <s v="05-02-2026"/>
    <n v="10882"/>
    <s v="1104-01"/>
    <n v="0"/>
    <n v="803980"/>
    <s v="Centralización recaudaciones febrero 2026 #2711 - #2711"/>
    <n v="-803980"/>
    <s v="Activo"/>
    <n v="-803980"/>
    <x v="9"/>
  </r>
  <r>
    <n v="2026"/>
    <n v="2"/>
    <s v="05-02-2026"/>
    <n v="10907"/>
    <s v="1104-01"/>
    <n v="0"/>
    <n v="10"/>
    <s v="Centralización recaudaciones febrero 2026 #2736 - #2736"/>
    <n v="-10"/>
    <s v="Activo"/>
    <n v="-10"/>
    <x v="9"/>
  </r>
  <r>
    <n v="2026"/>
    <n v="2"/>
    <s v="05-02-2026"/>
    <n v="10940"/>
    <s v="1104-01"/>
    <n v="0"/>
    <n v="24990"/>
    <s v="Centralización recaudaciones febrero 2026 #2769 - #2769"/>
    <n v="-24990"/>
    <s v="Activo"/>
    <n v="-24990"/>
    <x v="9"/>
  </r>
  <r>
    <n v="2026"/>
    <n v="2"/>
    <s v="05-02-2026"/>
    <n v="10982"/>
    <s v="1104-01"/>
    <n v="0"/>
    <n v="21990"/>
    <s v="Centralización recaudaciones febrero 2026 #2811 - #2811"/>
    <n v="-21990"/>
    <s v="Activo"/>
    <n v="-21990"/>
    <x v="9"/>
  </r>
  <r>
    <n v="2026"/>
    <n v="2"/>
    <s v="05-02-2026"/>
    <n v="11009"/>
    <s v="1104-01"/>
    <n v="0"/>
    <n v="28990"/>
    <s v="Centralización recaudaciones febrero 2026 #2838 - #2838"/>
    <n v="-28990"/>
    <s v="Activo"/>
    <n v="-28990"/>
    <x v="9"/>
  </r>
  <r>
    <n v="2026"/>
    <n v="2"/>
    <s v="05-02-2026"/>
    <n v="11021"/>
    <s v="1104-01"/>
    <n v="0"/>
    <n v="35700"/>
    <s v="Centralización recaudaciones febrero 2026 #2850 - #2850"/>
    <n v="-35700"/>
    <s v="Activo"/>
    <n v="-35700"/>
    <x v="9"/>
  </r>
  <r>
    <n v="2026"/>
    <n v="2"/>
    <s v="05-02-2026"/>
    <n v="11042"/>
    <s v="1104-01"/>
    <n v="0"/>
    <n v="7277272"/>
    <s v="0966893109 abn crd db tran transba"/>
    <n v="-7277272"/>
    <s v="Activo"/>
    <n v="-7277272"/>
    <x v="9"/>
  </r>
  <r>
    <n v="2026"/>
    <n v="2"/>
    <s v="05-02-2026"/>
    <n v="11044"/>
    <s v="1104-01"/>
    <n v="0"/>
    <n v="466209"/>
    <s v="0761872877 transf. khipu spa"/>
    <n v="-466209"/>
    <s v="Activo"/>
    <n v="-466209"/>
    <x v="9"/>
  </r>
  <r>
    <n v="2026"/>
    <n v="2"/>
    <s v="06-02-2026"/>
    <n v="10522"/>
    <s v="1104-01"/>
    <n v="0"/>
    <n v="29990"/>
    <s v="Centralización recaudaciones febrero 2026 #2351 - #2351"/>
    <n v="-29990"/>
    <s v="Activo"/>
    <n v="-29990"/>
    <x v="9"/>
  </r>
  <r>
    <n v="2026"/>
    <n v="2"/>
    <s v="06-02-2026"/>
    <n v="10537"/>
    <s v="1104-01"/>
    <n v="0"/>
    <n v="40000"/>
    <s v="Centralización recaudaciones febrero 2026 #2366 - #2366"/>
    <n v="-40000"/>
    <s v="Activo"/>
    <n v="-40000"/>
    <x v="9"/>
  </r>
  <r>
    <n v="2026"/>
    <n v="2"/>
    <s v="06-02-2026"/>
    <n v="10630"/>
    <s v="1104-01"/>
    <n v="0"/>
    <n v="30000"/>
    <s v="Centralización recaudaciones febrero 2026 #2459 - #2459"/>
    <n v="-30000"/>
    <s v="Activo"/>
    <n v="-30000"/>
    <x v="9"/>
  </r>
  <r>
    <n v="2026"/>
    <n v="2"/>
    <s v="06-02-2026"/>
    <n v="10641"/>
    <s v="1104-01"/>
    <n v="0"/>
    <n v="59990"/>
    <s v="Centralización recaudaciones febrero 2026 #2470 - #2470"/>
    <n v="-59990"/>
    <s v="Activo"/>
    <n v="-59990"/>
    <x v="9"/>
  </r>
  <r>
    <n v="2026"/>
    <n v="2"/>
    <s v="06-02-2026"/>
    <n v="10664"/>
    <s v="1104-01"/>
    <n v="0"/>
    <n v="8490"/>
    <s v="Centralización recaudaciones febrero 2026 #2493 - #2493"/>
    <n v="-8490"/>
    <s v="Activo"/>
    <n v="-8490"/>
    <x v="9"/>
  </r>
  <r>
    <n v="2026"/>
    <n v="2"/>
    <s v="06-02-2026"/>
    <n v="10666"/>
    <s v="1104-01"/>
    <n v="0"/>
    <n v="2028337"/>
    <s v="Centralización recaudaciones febrero 2026 #2495 - #2495"/>
    <n v="-2028337"/>
    <s v="Activo"/>
    <n v="-2028337"/>
    <x v="9"/>
  </r>
  <r>
    <n v="2026"/>
    <n v="2"/>
    <s v="06-02-2026"/>
    <n v="10677"/>
    <s v="1104-01"/>
    <n v="0"/>
    <n v="6990"/>
    <s v="Centralización recaudaciones febrero 2026 #2506 - #2506"/>
    <n v="-6990"/>
    <s v="Activo"/>
    <n v="-6990"/>
    <x v="9"/>
  </r>
  <r>
    <n v="2026"/>
    <n v="2"/>
    <s v="06-02-2026"/>
    <n v="10784"/>
    <s v="1104-01"/>
    <n v="0"/>
    <n v="28990"/>
    <s v="Centralización recaudaciones febrero 2026 #2613 - #2613"/>
    <n v="-28990"/>
    <s v="Activo"/>
    <n v="-28990"/>
    <x v="9"/>
  </r>
  <r>
    <n v="2026"/>
    <n v="2"/>
    <s v="06-02-2026"/>
    <n v="10807"/>
    <s v="1104-01"/>
    <n v="0"/>
    <n v="40000"/>
    <s v="Centralización recaudaciones febrero 2026 #2636 - #2636"/>
    <n v="-40000"/>
    <s v="Activo"/>
    <n v="-40000"/>
    <x v="9"/>
  </r>
  <r>
    <n v="2026"/>
    <n v="2"/>
    <s v="06-02-2026"/>
    <n v="10811"/>
    <s v="1104-01"/>
    <n v="0"/>
    <n v="112729"/>
    <s v="Centralización recaudaciones febrero 2026 #2640 - #2640"/>
    <n v="-112729"/>
    <s v="Activo"/>
    <n v="-112729"/>
    <x v="9"/>
  </r>
  <r>
    <n v="2026"/>
    <n v="2"/>
    <s v="06-02-2026"/>
    <n v="10863"/>
    <s v="1104-01"/>
    <n v="0"/>
    <n v="940"/>
    <s v="Centralización recaudaciones febrero 2026 #2692 - #2692"/>
    <n v="-940"/>
    <s v="Activo"/>
    <n v="-940"/>
    <x v="9"/>
  </r>
  <r>
    <n v="2026"/>
    <n v="2"/>
    <s v="06-02-2026"/>
    <n v="10886"/>
    <s v="1104-01"/>
    <n v="0"/>
    <n v="51000"/>
    <s v="Centralización recaudaciones febrero 2026 #2715 - #2715"/>
    <n v="-51000"/>
    <s v="Activo"/>
    <n v="-51000"/>
    <x v="9"/>
  </r>
  <r>
    <n v="2026"/>
    <n v="2"/>
    <s v="06-02-2026"/>
    <n v="10892"/>
    <s v="1104-01"/>
    <n v="0"/>
    <n v="4010"/>
    <s v="Centralización recaudaciones febrero 2026 #2721 - #2721"/>
    <n v="-4010"/>
    <s v="Activo"/>
    <n v="-4010"/>
    <x v="9"/>
  </r>
  <r>
    <n v="2026"/>
    <n v="2"/>
    <s v="06-02-2026"/>
    <n v="10901"/>
    <s v="1104-01"/>
    <n v="0"/>
    <n v="29990"/>
    <s v="Centralización recaudaciones febrero 2026 #2730 - #2730"/>
    <n v="-29990"/>
    <s v="Activo"/>
    <n v="-29990"/>
    <x v="9"/>
  </r>
  <r>
    <n v="2026"/>
    <n v="2"/>
    <s v="06-02-2026"/>
    <n v="10970"/>
    <s v="1104-01"/>
    <n v="0"/>
    <n v="28990"/>
    <s v="Centralización recaudaciones febrero 2026 #2799 - #2799"/>
    <n v="-28990"/>
    <s v="Activo"/>
    <n v="-28990"/>
    <x v="9"/>
  </r>
  <r>
    <n v="2026"/>
    <n v="2"/>
    <s v="06-02-2026"/>
    <n v="10974"/>
    <s v="1104-01"/>
    <n v="0"/>
    <n v="31010"/>
    <s v="Centralización recaudaciones febrero 2026 #2803 - #2803"/>
    <n v="-31010"/>
    <s v="Activo"/>
    <n v="-31010"/>
    <x v="9"/>
  </r>
  <r>
    <n v="2026"/>
    <n v="2"/>
    <s v="06-02-2026"/>
    <n v="11012"/>
    <s v="1104-01"/>
    <n v="0"/>
    <n v="30000"/>
    <s v="Centralización recaudaciones febrero 2026 #2841 - #2841"/>
    <n v="-30000"/>
    <s v="Activo"/>
    <n v="-30000"/>
    <x v="9"/>
  </r>
  <r>
    <n v="2026"/>
    <n v="2"/>
    <s v="06-02-2026"/>
    <n v="11045"/>
    <s v="1104-01"/>
    <n v="0"/>
    <n v="6850500"/>
    <s v="0966893109 abn crd db tran transba"/>
    <n v="-6850500"/>
    <s v="Activo"/>
    <n v="-6850500"/>
    <x v="9"/>
  </r>
  <r>
    <n v="2026"/>
    <n v="2"/>
    <s v="06-02-2026"/>
    <n v="11046"/>
    <s v="1104-01"/>
    <n v="0"/>
    <n v="524660"/>
    <s v="0761872877 transf. khipu spa"/>
    <n v="-524660"/>
    <s v="Activo"/>
    <n v="-524660"/>
    <x v="9"/>
  </r>
  <r>
    <n v="2026"/>
    <n v="2"/>
    <s v="09-02-2026"/>
    <n v="10496"/>
    <s v="1104-01"/>
    <n v="0"/>
    <n v="24990"/>
    <s v="Centralización recaudaciones febrero 2026 #2325 - #2325"/>
    <n v="-24990"/>
    <s v="Activo"/>
    <n v="-24990"/>
    <x v="9"/>
  </r>
  <r>
    <n v="2026"/>
    <n v="2"/>
    <s v="09-02-2026"/>
    <n v="10505"/>
    <s v="1104-01"/>
    <n v="0"/>
    <n v="244900"/>
    <s v="Centralización recaudaciones febrero 2026 #2334 - #2334"/>
    <n v="-244900"/>
    <s v="Activo"/>
    <n v="-244900"/>
    <x v="9"/>
  </r>
  <r>
    <n v="2026"/>
    <n v="2"/>
    <s v="09-02-2026"/>
    <n v="10548"/>
    <s v="1104-01"/>
    <n v="0"/>
    <n v="28990"/>
    <s v="Centralización recaudaciones febrero 2026 #2377 - #2377"/>
    <n v="-28990"/>
    <s v="Activo"/>
    <n v="-28990"/>
    <x v="9"/>
  </r>
  <r>
    <n v="2026"/>
    <n v="2"/>
    <s v="09-02-2026"/>
    <n v="10564"/>
    <s v="1104-01"/>
    <n v="0"/>
    <n v="6020"/>
    <s v="Centralización recaudaciones febrero 2026 #2393 - #2393"/>
    <n v="-6020"/>
    <s v="Activo"/>
    <n v="-6020"/>
    <x v="9"/>
  </r>
  <r>
    <n v="2026"/>
    <n v="2"/>
    <s v="09-02-2026"/>
    <n v="10576"/>
    <s v="1104-01"/>
    <n v="0"/>
    <n v="497196"/>
    <s v="Centralización recaudaciones febrero 2026 #2405 - #2405"/>
    <n v="-497196"/>
    <s v="Activo"/>
    <n v="-497196"/>
    <x v="9"/>
  </r>
  <r>
    <n v="2026"/>
    <n v="2"/>
    <s v="09-02-2026"/>
    <n v="10590"/>
    <s v="1104-01"/>
    <n v="0"/>
    <n v="26565"/>
    <s v="Centralización recaudaciones febrero 2026 #2419 - #2419"/>
    <n v="-26565"/>
    <s v="Activo"/>
    <n v="-26565"/>
    <x v="9"/>
  </r>
  <r>
    <n v="2026"/>
    <n v="2"/>
    <s v="09-02-2026"/>
    <n v="10597"/>
    <s v="1104-01"/>
    <n v="0"/>
    <n v="5010"/>
    <s v="Centralización recaudaciones febrero 2026 #2426 - #2426"/>
    <n v="-5010"/>
    <s v="Activo"/>
    <n v="-5010"/>
    <x v="9"/>
  </r>
  <r>
    <n v="2026"/>
    <n v="2"/>
    <s v="09-02-2026"/>
    <n v="10631"/>
    <s v="1104-01"/>
    <n v="0"/>
    <n v="34000"/>
    <s v="Centralización recaudaciones febrero 2026 #2460 - #2460"/>
    <n v="-34000"/>
    <s v="Activo"/>
    <n v="-34000"/>
    <x v="9"/>
  </r>
  <r>
    <n v="2026"/>
    <n v="2"/>
    <s v="09-02-2026"/>
    <n v="10665"/>
    <s v="1104-01"/>
    <n v="0"/>
    <n v="8520"/>
    <s v="Centralización recaudaciones febrero 2026 #2494 - #2494"/>
    <n v="-8520"/>
    <s v="Activo"/>
    <n v="-8520"/>
    <x v="9"/>
  </r>
  <r>
    <n v="2026"/>
    <n v="2"/>
    <s v="09-02-2026"/>
    <n v="10684"/>
    <s v="1104-01"/>
    <n v="0"/>
    <n v="11010"/>
    <s v="Centralización recaudaciones febrero 2026 #2513 - #2513"/>
    <n v="-11010"/>
    <s v="Activo"/>
    <n v="-11010"/>
    <x v="9"/>
  </r>
  <r>
    <n v="2026"/>
    <n v="2"/>
    <s v="09-02-2026"/>
    <n v="10711"/>
    <s v="1104-01"/>
    <n v="0"/>
    <n v="21990"/>
    <s v="Centralización recaudaciones febrero 2026 #2540 - #2540"/>
    <n v="-21990"/>
    <s v="Activo"/>
    <n v="-21990"/>
    <x v="9"/>
  </r>
  <r>
    <n v="2026"/>
    <n v="2"/>
    <s v="09-02-2026"/>
    <n v="10748"/>
    <s v="1104-01"/>
    <n v="0"/>
    <n v="40958"/>
    <s v="Centralización recaudaciones febrero 2026 #2577 - #2577"/>
    <n v="-40958"/>
    <s v="Activo"/>
    <n v="-40958"/>
    <x v="9"/>
  </r>
  <r>
    <n v="2026"/>
    <n v="2"/>
    <s v="09-02-2026"/>
    <n v="10749"/>
    <s v="1104-01"/>
    <n v="0"/>
    <n v="29980"/>
    <s v="Centralización recaudaciones febrero 2026 #2578 - #2578"/>
    <n v="-29980"/>
    <s v="Activo"/>
    <n v="-29980"/>
    <x v="9"/>
  </r>
  <r>
    <n v="2026"/>
    <n v="2"/>
    <s v="09-02-2026"/>
    <n v="10799"/>
    <s v="1104-01"/>
    <n v="0"/>
    <n v="30000"/>
    <s v="Centralización recaudaciones febrero 2026 #2628 - #2628"/>
    <n v="-30000"/>
    <s v="Activo"/>
    <n v="-30000"/>
    <x v="9"/>
  </r>
  <r>
    <n v="2026"/>
    <n v="2"/>
    <s v="09-02-2026"/>
    <n v="10808"/>
    <s v="1104-01"/>
    <n v="0"/>
    <n v="3970"/>
    <s v="Centralización recaudaciones febrero 2026 #2637 - #2637"/>
    <n v="-3970"/>
    <s v="Activo"/>
    <n v="-3970"/>
    <x v="9"/>
  </r>
  <r>
    <n v="2026"/>
    <n v="2"/>
    <s v="09-02-2026"/>
    <n v="10812"/>
    <s v="1104-01"/>
    <n v="0"/>
    <n v="774"/>
    <s v="Centralización recaudaciones febrero 2026 #2641 - #2641"/>
    <n v="-774"/>
    <s v="Activo"/>
    <n v="-774"/>
    <x v="9"/>
  </r>
  <r>
    <n v="2026"/>
    <n v="2"/>
    <s v="09-02-2026"/>
    <n v="10814"/>
    <s v="1104-01"/>
    <n v="0"/>
    <n v="3263"/>
    <s v="Centralización recaudaciones febrero 2026 #2643 - #2643"/>
    <n v="-3263"/>
    <s v="Activo"/>
    <n v="-3263"/>
    <x v="9"/>
  </r>
  <r>
    <n v="2026"/>
    <n v="2"/>
    <s v="09-02-2026"/>
    <n v="10887"/>
    <s v="1104-01"/>
    <n v="0"/>
    <n v="19970"/>
    <s v="Centralización recaudaciones febrero 2026 #2716 - #2716"/>
    <n v="-19970"/>
    <s v="Activo"/>
    <n v="-19970"/>
    <x v="9"/>
  </r>
  <r>
    <n v="2026"/>
    <n v="2"/>
    <s v="09-02-2026"/>
    <n v="10946"/>
    <s v="1104-01"/>
    <n v="0"/>
    <n v="32990"/>
    <s v="Centralización recaudaciones febrero 2026 #2775 - #2775"/>
    <n v="-32990"/>
    <s v="Activo"/>
    <n v="-32990"/>
    <x v="9"/>
  </r>
  <r>
    <n v="2026"/>
    <n v="2"/>
    <s v="09-02-2026"/>
    <n v="10955"/>
    <s v="1104-01"/>
    <n v="0"/>
    <n v="39990"/>
    <s v="Centralización recaudaciones febrero 2026 #2784 - #2784"/>
    <n v="-39990"/>
    <s v="Activo"/>
    <n v="-39990"/>
    <x v="9"/>
  </r>
  <r>
    <n v="2026"/>
    <n v="2"/>
    <s v="09-02-2026"/>
    <n v="10972"/>
    <s v="1104-01"/>
    <n v="0"/>
    <n v="49960"/>
    <s v="Centralización recaudaciones febrero 2026 #2801 - #2801"/>
    <n v="-49960"/>
    <s v="Activo"/>
    <n v="-49960"/>
    <x v="9"/>
  </r>
  <r>
    <n v="2026"/>
    <n v="2"/>
    <s v="09-02-2026"/>
    <n v="10975"/>
    <s v="1104-01"/>
    <n v="0"/>
    <n v="1970"/>
    <s v="Centralización recaudaciones febrero 2026 #2804 - #2804"/>
    <n v="-1970"/>
    <s v="Activo"/>
    <n v="-1970"/>
    <x v="9"/>
  </r>
  <r>
    <n v="2026"/>
    <n v="2"/>
    <s v="09-02-2026"/>
    <n v="10984"/>
    <s v="1104-01"/>
    <n v="0"/>
    <n v="51980"/>
    <s v="Centralización recaudaciones febrero 2026 #2813 - #2813"/>
    <n v="-51980"/>
    <s v="Activo"/>
    <n v="-51980"/>
    <x v="9"/>
  </r>
  <r>
    <n v="2026"/>
    <n v="2"/>
    <s v="09-02-2026"/>
    <n v="11013"/>
    <s v="1104-01"/>
    <n v="0"/>
    <n v="1970"/>
    <s v="Centralización recaudaciones febrero 2026 #2842 - #2842"/>
    <n v="-1970"/>
    <s v="Activo"/>
    <n v="-1970"/>
    <x v="9"/>
  </r>
  <r>
    <n v="2026"/>
    <n v="2"/>
    <s v="09-02-2026"/>
    <n v="11019"/>
    <s v="1104-01"/>
    <n v="0"/>
    <n v="24990"/>
    <s v="Centralización recaudaciones febrero 2026 #2848 - #2848"/>
    <n v="-24990"/>
    <s v="Activo"/>
    <n v="-24990"/>
    <x v="9"/>
  </r>
  <r>
    <n v="2026"/>
    <n v="2"/>
    <s v="09-02-2026"/>
    <n v="11047"/>
    <s v="1104-01"/>
    <n v="0"/>
    <n v="5902653"/>
    <s v="0966893109 abn crd db tran transba"/>
    <n v="-5902653"/>
    <s v="Activo"/>
    <n v="-5902653"/>
    <x v="9"/>
  </r>
  <r>
    <n v="2026"/>
    <n v="2"/>
    <s v="09-02-2026"/>
    <n v="11048"/>
    <s v="1104-01"/>
    <n v="0"/>
    <n v="642605"/>
    <s v="0761872877 transf. khipu spa"/>
    <n v="-642605"/>
    <s v="Activo"/>
    <n v="-642605"/>
    <x v="9"/>
  </r>
  <r>
    <n v="2026"/>
    <n v="2"/>
    <s v="10-02-2026"/>
    <n v="10526"/>
    <s v="1104-01"/>
    <n v="0"/>
    <n v="3590"/>
    <s v="Centralización recaudaciones febrero 2026 #2355 - #2355"/>
    <n v="-3590"/>
    <s v="Activo"/>
    <n v="-3590"/>
    <x v="9"/>
  </r>
  <r>
    <n v="2026"/>
    <n v="2"/>
    <s v="10-02-2026"/>
    <n v="10584"/>
    <s v="1104-01"/>
    <n v="0"/>
    <n v="21990"/>
    <s v="Centralización recaudaciones febrero 2026 #2413 - #2413"/>
    <n v="-21990"/>
    <s v="Activo"/>
    <n v="-21990"/>
    <x v="9"/>
  </r>
  <r>
    <n v="2026"/>
    <n v="2"/>
    <s v="10-02-2026"/>
    <n v="10598"/>
    <s v="1104-01"/>
    <n v="0"/>
    <n v="14420"/>
    <s v="Centralización recaudaciones febrero 2026 #2427 - #2427"/>
    <n v="-14420"/>
    <s v="Activo"/>
    <n v="-14420"/>
    <x v="9"/>
  </r>
  <r>
    <n v="2026"/>
    <n v="2"/>
    <s v="10-02-2026"/>
    <n v="10823"/>
    <s v="1104-01"/>
    <n v="0"/>
    <n v="24990"/>
    <s v="Centralización recaudaciones febrero 2026 #2652 - #2652"/>
    <n v="-24990"/>
    <s v="Activo"/>
    <n v="-24990"/>
    <x v="9"/>
  </r>
  <r>
    <n v="2026"/>
    <n v="2"/>
    <s v="10-02-2026"/>
    <n v="10904"/>
    <s v="1104-01"/>
    <n v="0"/>
    <n v="14990"/>
    <s v="Centralización recaudaciones febrero 2026 #2733 - #2733"/>
    <n v="-14990"/>
    <s v="Activo"/>
    <n v="-14990"/>
    <x v="9"/>
  </r>
  <r>
    <n v="2026"/>
    <n v="2"/>
    <s v="10-02-2026"/>
    <n v="10954"/>
    <s v="1104-01"/>
    <n v="0"/>
    <n v="89990"/>
    <s v="Centralización recaudaciones febrero 2026 #2783 - #2783"/>
    <n v="-89990"/>
    <s v="Activo"/>
    <n v="-89990"/>
    <x v="9"/>
  </r>
  <r>
    <n v="2026"/>
    <n v="2"/>
    <s v="10-02-2026"/>
    <n v="11049"/>
    <s v="1104-01"/>
    <n v="0"/>
    <n v="5628097"/>
    <s v="0966893109 abn crd db tran transba"/>
    <n v="-5628097"/>
    <s v="Activo"/>
    <n v="-5628097"/>
    <x v="9"/>
  </r>
  <r>
    <n v="2026"/>
    <n v="2"/>
    <s v="10-02-2026"/>
    <n v="11050"/>
    <s v="1104-01"/>
    <n v="0"/>
    <n v="279563"/>
    <s v="0761872877 transf. khipu spa"/>
    <n v="-279563"/>
    <s v="Activo"/>
    <n v="-279563"/>
    <x v="9"/>
  </r>
  <r>
    <n v="2026"/>
    <n v="2"/>
    <s v="11-02-2026"/>
    <n v="10497"/>
    <s v="1104-01"/>
    <n v="0"/>
    <n v="2000"/>
    <s v="Centralización recaudaciones febrero 2026 #2326 - #2326"/>
    <n v="-2000"/>
    <s v="Activo"/>
    <n v="-2000"/>
    <x v="9"/>
  </r>
  <r>
    <n v="2026"/>
    <n v="2"/>
    <s v="11-02-2026"/>
    <n v="10514"/>
    <s v="1104-01"/>
    <n v="0"/>
    <n v="29990"/>
    <s v="Centralización recaudaciones febrero 2026 #2343 - #2343"/>
    <n v="-29990"/>
    <s v="Activo"/>
    <n v="-29990"/>
    <x v="9"/>
  </r>
  <r>
    <n v="2026"/>
    <n v="2"/>
    <s v="11-02-2026"/>
    <n v="10527"/>
    <s v="1104-01"/>
    <n v="0"/>
    <n v="31410"/>
    <s v="Centralización recaudaciones febrero 2026 #2356 - #2356"/>
    <n v="-31410"/>
    <s v="Activo"/>
    <n v="-31410"/>
    <x v="9"/>
  </r>
  <r>
    <n v="2026"/>
    <n v="2"/>
    <s v="11-02-2026"/>
    <n v="10546"/>
    <s v="1104-01"/>
    <n v="0"/>
    <n v="5010"/>
    <s v="Centralización recaudaciones febrero 2026 #2375 - #2375"/>
    <n v="-5010"/>
    <s v="Activo"/>
    <n v="-5010"/>
    <x v="9"/>
  </r>
  <r>
    <n v="2026"/>
    <n v="2"/>
    <s v="11-02-2026"/>
    <n v="10558"/>
    <s v="1104-01"/>
    <n v="0"/>
    <n v="28000"/>
    <s v="Centralización recaudaciones febrero 2026 #2387 - #2387"/>
    <n v="-28000"/>
    <s v="Activo"/>
    <n v="-28000"/>
    <x v="9"/>
  </r>
  <r>
    <n v="2026"/>
    <n v="2"/>
    <s v="11-02-2026"/>
    <n v="10565"/>
    <s v="1104-01"/>
    <n v="0"/>
    <n v="1000"/>
    <s v="Centralización recaudaciones febrero 2026 #2394 - #2394"/>
    <n v="-1000"/>
    <s v="Activo"/>
    <n v="-1000"/>
    <x v="9"/>
  </r>
  <r>
    <n v="2026"/>
    <n v="2"/>
    <s v="11-02-2026"/>
    <n v="10573"/>
    <s v="1104-01"/>
    <n v="0"/>
    <n v="29990"/>
    <s v="Centralización recaudaciones febrero 2026 #2402 - #2402"/>
    <n v="-29990"/>
    <s v="Activo"/>
    <n v="-29990"/>
    <x v="9"/>
  </r>
  <r>
    <n v="2026"/>
    <n v="2"/>
    <s v="11-02-2026"/>
    <n v="10594"/>
    <s v="1104-01"/>
    <n v="0"/>
    <n v="35000"/>
    <s v="Centralización recaudaciones febrero 2026 #2423 - #2423"/>
    <n v="-35000"/>
    <s v="Activo"/>
    <n v="-35000"/>
    <x v="9"/>
  </r>
  <r>
    <n v="2026"/>
    <n v="2"/>
    <s v="11-02-2026"/>
    <n v="10605"/>
    <s v="1104-01"/>
    <n v="0"/>
    <n v="43980"/>
    <s v="Centralización recaudaciones febrero 2026 #2434 - #2434"/>
    <n v="-43980"/>
    <s v="Activo"/>
    <n v="-43980"/>
    <x v="9"/>
  </r>
  <r>
    <n v="2026"/>
    <n v="2"/>
    <s v="11-02-2026"/>
    <n v="10617"/>
    <s v="1104-01"/>
    <n v="0"/>
    <n v="29990"/>
    <s v="Centralización recaudaciones febrero 2026 #2446 - #2446"/>
    <n v="-29990"/>
    <s v="Activo"/>
    <n v="-29990"/>
    <x v="9"/>
  </r>
  <r>
    <n v="2026"/>
    <n v="2"/>
    <s v="11-02-2026"/>
    <n v="10623"/>
    <s v="1104-01"/>
    <n v="0"/>
    <n v="25951"/>
    <s v="Centralización recaudaciones febrero 2026 #2452 - #2452"/>
    <n v="-25951"/>
    <s v="Activo"/>
    <n v="-25951"/>
    <x v="9"/>
  </r>
  <r>
    <n v="2026"/>
    <n v="2"/>
    <s v="11-02-2026"/>
    <n v="10625"/>
    <s v="1104-01"/>
    <n v="0"/>
    <n v="30"/>
    <s v="Centralización recaudaciones febrero 2026 #2454 - #2454"/>
    <n v="-30"/>
    <s v="Activo"/>
    <n v="-30"/>
    <x v="9"/>
  </r>
  <r>
    <n v="2026"/>
    <n v="2"/>
    <s v="11-02-2026"/>
    <n v="10635"/>
    <s v="1104-01"/>
    <n v="0"/>
    <n v="59990"/>
    <s v="Centralización recaudaciones febrero 2026 #2464 - #2464"/>
    <n v="-59990"/>
    <s v="Activo"/>
    <n v="-59990"/>
    <x v="9"/>
  </r>
  <r>
    <n v="2026"/>
    <n v="2"/>
    <s v="11-02-2026"/>
    <n v="10651"/>
    <s v="1104-01"/>
    <n v="0"/>
    <n v="44970"/>
    <s v="Centralización recaudaciones febrero 2026 #2480 - #2480"/>
    <n v="-44970"/>
    <s v="Activo"/>
    <n v="-44970"/>
    <x v="9"/>
  </r>
  <r>
    <n v="2026"/>
    <n v="2"/>
    <s v="11-02-2026"/>
    <n v="10674"/>
    <s v="1104-01"/>
    <n v="0"/>
    <n v="39960"/>
    <s v="Centralización recaudaciones febrero 2026 #2503 - #2503"/>
    <n v="-39960"/>
    <s v="Activo"/>
    <n v="-39960"/>
    <x v="9"/>
  </r>
  <r>
    <n v="2026"/>
    <n v="2"/>
    <s v="11-02-2026"/>
    <n v="10686"/>
    <s v="1104-01"/>
    <n v="0"/>
    <n v="28990"/>
    <s v="Centralización recaudaciones febrero 2026 #2515 - #2515"/>
    <n v="-28990"/>
    <s v="Activo"/>
    <n v="-28990"/>
    <x v="9"/>
  </r>
  <r>
    <n v="2026"/>
    <n v="2"/>
    <s v="11-02-2026"/>
    <n v="10696"/>
    <s v="1104-01"/>
    <n v="0"/>
    <n v="30010"/>
    <s v="Centralización recaudaciones febrero 2026 #2525 - #2525"/>
    <n v="-30010"/>
    <s v="Activo"/>
    <n v="-30010"/>
    <x v="9"/>
  </r>
  <r>
    <n v="2026"/>
    <n v="2"/>
    <s v="11-02-2026"/>
    <n v="10706"/>
    <s v="1104-01"/>
    <n v="0"/>
    <n v="49970"/>
    <s v="Centralización recaudaciones febrero 2026 #2535 - #2535"/>
    <n v="-49970"/>
    <s v="Activo"/>
    <n v="-49970"/>
    <x v="9"/>
  </r>
  <r>
    <n v="2026"/>
    <n v="2"/>
    <s v="11-02-2026"/>
    <n v="10728"/>
    <s v="1104-01"/>
    <n v="0"/>
    <n v="10000"/>
    <s v="Centralización recaudaciones febrero 2026 #2557 - #2557"/>
    <n v="-10000"/>
    <s v="Activo"/>
    <n v="-10000"/>
    <x v="9"/>
  </r>
  <r>
    <n v="2026"/>
    <n v="2"/>
    <s v="11-02-2026"/>
    <n v="10769"/>
    <s v="1104-01"/>
    <n v="0"/>
    <n v="3039"/>
    <s v="Centralización recaudaciones febrero 2026 #2598 - #2598"/>
    <n v="-3039"/>
    <s v="Activo"/>
    <n v="-3039"/>
    <x v="9"/>
  </r>
  <r>
    <n v="2026"/>
    <n v="2"/>
    <s v="11-02-2026"/>
    <n v="10772"/>
    <s v="1104-01"/>
    <n v="0"/>
    <n v="29990"/>
    <s v="Centralización recaudaciones febrero 2026 #2601 - #2601"/>
    <n v="-29990"/>
    <s v="Activo"/>
    <n v="-29990"/>
    <x v="9"/>
  </r>
  <r>
    <n v="2026"/>
    <n v="2"/>
    <s v="11-02-2026"/>
    <n v="10774"/>
    <s v="1104-01"/>
    <n v="0"/>
    <n v="37990"/>
    <s v="Centralización recaudaciones febrero 2026 #2603 - #2603"/>
    <n v="-37990"/>
    <s v="Activo"/>
    <n v="-37990"/>
    <x v="9"/>
  </r>
  <r>
    <n v="2026"/>
    <n v="2"/>
    <s v="11-02-2026"/>
    <n v="10815"/>
    <s v="1104-01"/>
    <n v="0"/>
    <n v="21727"/>
    <s v="Centralización recaudaciones febrero 2026 #2644 - #2644"/>
    <n v="-21727"/>
    <s v="Activo"/>
    <n v="-21727"/>
    <x v="9"/>
  </r>
  <r>
    <n v="2026"/>
    <n v="2"/>
    <s v="11-02-2026"/>
    <n v="10824"/>
    <s v="1104-01"/>
    <n v="0"/>
    <n v="24990"/>
    <s v="Centralización recaudaciones febrero 2026 #2653 - #2653"/>
    <n v="-24990"/>
    <s v="Activo"/>
    <n v="-24990"/>
    <x v="9"/>
  </r>
  <r>
    <n v="2026"/>
    <n v="2"/>
    <s v="11-02-2026"/>
    <n v="10826"/>
    <s v="1104-01"/>
    <n v="0"/>
    <n v="32989"/>
    <s v="Centralización recaudaciones febrero 2026 #2655 - #2655"/>
    <n v="-32989"/>
    <s v="Activo"/>
    <n v="-32989"/>
    <x v="9"/>
  </r>
  <r>
    <n v="2026"/>
    <n v="2"/>
    <s v="11-02-2026"/>
    <n v="10830"/>
    <s v="1104-01"/>
    <n v="0"/>
    <n v="21990"/>
    <s v="Centralización recaudaciones febrero 2026 #2659 - #2659"/>
    <n v="-21990"/>
    <s v="Activo"/>
    <n v="-21990"/>
    <x v="9"/>
  </r>
  <r>
    <n v="2026"/>
    <n v="2"/>
    <s v="11-02-2026"/>
    <n v="10831"/>
    <s v="1104-01"/>
    <n v="0"/>
    <n v="3283"/>
    <s v="Centralización recaudaciones febrero 2026 #2660 - #2660"/>
    <n v="-3283"/>
    <s v="Activo"/>
    <n v="-3283"/>
    <x v="9"/>
  </r>
  <r>
    <n v="2026"/>
    <n v="2"/>
    <s v="11-02-2026"/>
    <n v="10836"/>
    <s v="1104-01"/>
    <n v="0"/>
    <n v="22990"/>
    <s v="Centralización recaudaciones febrero 2026 #2665 - #2665"/>
    <n v="-22990"/>
    <s v="Activo"/>
    <n v="-22990"/>
    <x v="9"/>
  </r>
  <r>
    <n v="2026"/>
    <n v="2"/>
    <s v="11-02-2026"/>
    <n v="10839"/>
    <s v="1104-01"/>
    <n v="0"/>
    <n v="9990"/>
    <s v="Centralización recaudaciones febrero 2026 #2668 - #2668"/>
    <n v="-9990"/>
    <s v="Activo"/>
    <n v="-9990"/>
    <x v="9"/>
  </r>
  <r>
    <n v="2026"/>
    <n v="2"/>
    <s v="11-02-2026"/>
    <n v="10884"/>
    <s v="1104-01"/>
    <n v="0"/>
    <n v="1554071"/>
    <s v="Centralización recaudaciones febrero 2026 #2713 - #2713"/>
    <n v="-1554071"/>
    <s v="Activo"/>
    <n v="-1554071"/>
    <x v="9"/>
  </r>
  <r>
    <n v="2026"/>
    <n v="2"/>
    <s v="11-02-2026"/>
    <n v="10893"/>
    <s v="1104-01"/>
    <n v="0"/>
    <n v="20980"/>
    <s v="Centralización recaudaciones febrero 2026 #2722 - #2722"/>
    <n v="-20980"/>
    <s v="Activo"/>
    <n v="-20980"/>
    <x v="9"/>
  </r>
  <r>
    <n v="2026"/>
    <n v="2"/>
    <s v="11-02-2026"/>
    <n v="10897"/>
    <s v="1104-01"/>
    <n v="0"/>
    <n v="3040"/>
    <s v="Centralización recaudaciones febrero 2026 #2726 - #2726"/>
    <n v="-3040"/>
    <s v="Activo"/>
    <n v="-3040"/>
    <x v="9"/>
  </r>
  <r>
    <n v="2026"/>
    <n v="2"/>
    <s v="11-02-2026"/>
    <n v="10900"/>
    <s v="1104-01"/>
    <n v="0"/>
    <n v="50000"/>
    <s v="Centralización recaudaciones febrero 2026 #2729 - #2729"/>
    <n v="-50000"/>
    <s v="Activo"/>
    <n v="-50000"/>
    <x v="9"/>
  </r>
  <r>
    <n v="2026"/>
    <n v="2"/>
    <s v="11-02-2026"/>
    <n v="10905"/>
    <s v="1104-01"/>
    <n v="0"/>
    <n v="4678"/>
    <s v="Centralización recaudaciones febrero 2026 #2734 - #2734"/>
    <n v="-4678"/>
    <s v="Activo"/>
    <n v="-4678"/>
    <x v="9"/>
  </r>
  <r>
    <n v="2026"/>
    <n v="2"/>
    <s v="11-02-2026"/>
    <n v="10908"/>
    <s v="1104-01"/>
    <n v="0"/>
    <n v="2010"/>
    <s v="Centralización recaudaciones febrero 2026 #2737 - #2737"/>
    <n v="-2010"/>
    <s v="Activo"/>
    <n v="-2010"/>
    <x v="9"/>
  </r>
  <r>
    <n v="2026"/>
    <n v="2"/>
    <s v="11-02-2026"/>
    <n v="10911"/>
    <s v="1104-01"/>
    <n v="0"/>
    <n v="10"/>
    <s v="Centralización recaudaciones febrero 2026 #2740 - #2740"/>
    <n v="-10"/>
    <s v="Activo"/>
    <n v="-10"/>
    <x v="9"/>
  </r>
  <r>
    <n v="2026"/>
    <n v="2"/>
    <s v="11-02-2026"/>
    <n v="10915"/>
    <s v="1104-01"/>
    <n v="0"/>
    <n v="3124"/>
    <s v="Centralización recaudaciones febrero 2026 #2744 - #2744"/>
    <n v="-3124"/>
    <s v="Activo"/>
    <n v="-3124"/>
    <x v="9"/>
  </r>
  <r>
    <n v="2026"/>
    <n v="2"/>
    <s v="11-02-2026"/>
    <n v="10926"/>
    <s v="1104-01"/>
    <n v="0"/>
    <n v="32990"/>
    <s v="Centralización recaudaciones febrero 2026 #2755 - #2755"/>
    <n v="-32990"/>
    <s v="Activo"/>
    <n v="-32990"/>
    <x v="9"/>
  </r>
  <r>
    <n v="2026"/>
    <n v="2"/>
    <s v="11-02-2026"/>
    <n v="10939"/>
    <s v="1104-01"/>
    <n v="0"/>
    <n v="24990"/>
    <s v="Centralización recaudaciones febrero 2026 #2768 - #2768"/>
    <n v="-24990"/>
    <s v="Activo"/>
    <n v="-24990"/>
    <x v="9"/>
  </r>
  <r>
    <n v="2026"/>
    <n v="2"/>
    <s v="11-02-2026"/>
    <n v="10942"/>
    <s v="1104-01"/>
    <n v="0"/>
    <n v="30000"/>
    <s v="Centralización recaudaciones febrero 2026 #2771 - #2771"/>
    <n v="-30000"/>
    <s v="Activo"/>
    <n v="-30000"/>
    <x v="9"/>
  </r>
  <r>
    <n v="2026"/>
    <n v="2"/>
    <s v="11-02-2026"/>
    <n v="10962"/>
    <s v="1104-01"/>
    <n v="0"/>
    <n v="25490"/>
    <s v="Centralización recaudaciones febrero 2026 #2791 - #2791"/>
    <n v="-25490"/>
    <s v="Activo"/>
    <n v="-25490"/>
    <x v="9"/>
  </r>
  <r>
    <n v="2026"/>
    <n v="2"/>
    <s v="11-02-2026"/>
    <n v="10965"/>
    <s v="1104-01"/>
    <n v="0"/>
    <n v="29738"/>
    <s v="Centralización recaudaciones febrero 2026 #2794 - #2794"/>
    <n v="-29738"/>
    <s v="Activo"/>
    <n v="-29738"/>
    <x v="9"/>
  </r>
  <r>
    <n v="2026"/>
    <n v="2"/>
    <s v="11-02-2026"/>
    <n v="10980"/>
    <s v="1104-01"/>
    <n v="0"/>
    <n v="4960"/>
    <s v="Centralización recaudaciones febrero 2026 #2809 - #2809"/>
    <n v="-4960"/>
    <s v="Activo"/>
    <n v="-4960"/>
    <x v="9"/>
  </r>
  <r>
    <n v="2026"/>
    <n v="2"/>
    <s v="11-02-2026"/>
    <n v="10985"/>
    <s v="1104-01"/>
    <n v="0"/>
    <n v="24990"/>
    <s v="Centralización recaudaciones febrero 2026 #2814 - #2814"/>
    <n v="-24990"/>
    <s v="Activo"/>
    <n v="-24990"/>
    <x v="9"/>
  </r>
  <r>
    <n v="2026"/>
    <n v="2"/>
    <s v="11-02-2026"/>
    <n v="10995"/>
    <s v="1104-01"/>
    <n v="0"/>
    <n v="20000"/>
    <s v="Centralización recaudaciones febrero 2026 #2824 - #2824"/>
    <n v="-20000"/>
    <s v="Activo"/>
    <n v="-20000"/>
    <x v="9"/>
  </r>
  <r>
    <n v="2026"/>
    <n v="2"/>
    <s v="11-02-2026"/>
    <n v="11004"/>
    <s v="1104-01"/>
    <n v="0"/>
    <n v="1990"/>
    <s v="Centralización recaudaciones febrero 2026 #2833 - #2833"/>
    <n v="-1990"/>
    <s v="Activo"/>
    <n v="-1990"/>
    <x v="9"/>
  </r>
  <r>
    <n v="2026"/>
    <n v="2"/>
    <s v="11-02-2026"/>
    <n v="11010"/>
    <s v="1104-01"/>
    <n v="0"/>
    <n v="24990"/>
    <s v="Centralización recaudaciones febrero 2026 #2839 - #2839"/>
    <n v="-24990"/>
    <s v="Activo"/>
    <n v="-24990"/>
    <x v="9"/>
  </r>
  <r>
    <n v="2026"/>
    <n v="2"/>
    <s v="11-02-2026"/>
    <n v="11052"/>
    <s v="1104-01"/>
    <n v="0"/>
    <n v="1852299"/>
    <s v="0966893109 abn crd db tran transba"/>
    <n v="-1852299"/>
    <s v="Activo"/>
    <n v="-1852299"/>
    <x v="9"/>
  </r>
  <r>
    <n v="2026"/>
    <n v="2"/>
    <s v="11-02-2026"/>
    <n v="11054"/>
    <s v="1104-01"/>
    <n v="0"/>
    <n v="178758"/>
    <s v="0761872877 transf. khipu spa"/>
    <n v="-178758"/>
    <s v="Activo"/>
    <n v="-178758"/>
    <x v="9"/>
  </r>
  <r>
    <n v="2026"/>
    <n v="2"/>
    <s v="12-02-2026"/>
    <n v="10568"/>
    <s v="1104-01"/>
    <n v="0"/>
    <n v="21990"/>
    <s v="Centralización recaudaciones febrero 2026 #2397 - #2397"/>
    <n v="-21990"/>
    <s v="Activo"/>
    <n v="-21990"/>
    <x v="9"/>
  </r>
  <r>
    <n v="2026"/>
    <n v="2"/>
    <s v="12-02-2026"/>
    <n v="10613"/>
    <s v="1104-01"/>
    <n v="0"/>
    <n v="38068"/>
    <s v="Centralización recaudaciones febrero 2026 #2442 - #2442"/>
    <n v="-38068"/>
    <s v="Activo"/>
    <n v="-38068"/>
    <x v="9"/>
  </r>
  <r>
    <n v="2026"/>
    <n v="2"/>
    <s v="12-02-2026"/>
    <n v="10650"/>
    <s v="1104-01"/>
    <n v="0"/>
    <n v="21990"/>
    <s v="Centralización recaudaciones febrero 2026 #2479 - #2479"/>
    <n v="-21990"/>
    <s v="Activo"/>
    <n v="-21990"/>
    <x v="9"/>
  </r>
  <r>
    <n v="2026"/>
    <n v="2"/>
    <s v="12-02-2026"/>
    <n v="10652"/>
    <s v="1104-01"/>
    <n v="0"/>
    <n v="23010"/>
    <s v="Centralización recaudaciones febrero 2026 #2481 - #2481"/>
    <n v="-23010"/>
    <s v="Activo"/>
    <n v="-23010"/>
    <x v="9"/>
  </r>
  <r>
    <n v="2026"/>
    <n v="2"/>
    <s v="12-02-2026"/>
    <n v="10690"/>
    <s v="1104-01"/>
    <n v="0"/>
    <n v="8010"/>
    <s v="Centralización recaudaciones febrero 2026 #2519 - #2519"/>
    <n v="-8010"/>
    <s v="Activo"/>
    <n v="-8010"/>
    <x v="9"/>
  </r>
  <r>
    <n v="2026"/>
    <n v="2"/>
    <s v="12-02-2026"/>
    <n v="10697"/>
    <s v="1104-01"/>
    <n v="0"/>
    <n v="6980"/>
    <s v="Centralización recaudaciones febrero 2026 #2526 - #2526"/>
    <n v="-6980"/>
    <s v="Activo"/>
    <n v="-6980"/>
    <x v="9"/>
  </r>
  <r>
    <n v="2026"/>
    <n v="2"/>
    <s v="12-02-2026"/>
    <n v="10703"/>
    <s v="1104-01"/>
    <n v="0"/>
    <n v="21990"/>
    <s v="Centralización recaudaciones febrero 2026 #2532 - #2532"/>
    <n v="-21990"/>
    <s v="Activo"/>
    <n v="-21990"/>
    <x v="9"/>
  </r>
  <r>
    <n v="2026"/>
    <n v="2"/>
    <s v="12-02-2026"/>
    <n v="10714"/>
    <s v="1104-01"/>
    <n v="0"/>
    <n v="21990"/>
    <s v="Centralización recaudaciones febrero 2026 #2543 - #2543"/>
    <n v="-21990"/>
    <s v="Activo"/>
    <n v="-21990"/>
    <x v="9"/>
  </r>
  <r>
    <n v="2026"/>
    <n v="2"/>
    <s v="12-02-2026"/>
    <n v="10724"/>
    <s v="1104-01"/>
    <n v="0"/>
    <n v="35980"/>
    <s v="Centralización recaudaciones febrero 2026 #2553 - #2553"/>
    <n v="-35980"/>
    <s v="Activo"/>
    <n v="-35980"/>
    <x v="9"/>
  </r>
  <r>
    <n v="2026"/>
    <n v="2"/>
    <s v="12-02-2026"/>
    <n v="10726"/>
    <s v="1104-01"/>
    <n v="0"/>
    <n v="36310"/>
    <s v="Centralización recaudaciones febrero 2026 #2555 - #2555"/>
    <n v="-36310"/>
    <s v="Activo"/>
    <n v="-36310"/>
    <x v="9"/>
  </r>
  <r>
    <n v="2026"/>
    <n v="2"/>
    <s v="12-02-2026"/>
    <n v="10791"/>
    <s v="1104-01"/>
    <n v="0"/>
    <n v="6263"/>
    <s v="Centralización recaudaciones febrero 2026 #2620 - #2620"/>
    <n v="-6263"/>
    <s v="Activo"/>
    <n v="-6263"/>
    <x v="9"/>
  </r>
  <r>
    <n v="2026"/>
    <n v="2"/>
    <s v="12-02-2026"/>
    <n v="10794"/>
    <s v="1104-01"/>
    <n v="0"/>
    <n v="28154"/>
    <s v="Centralización recaudaciones febrero 2026 #2623 - #2623"/>
    <n v="-28154"/>
    <s v="Activo"/>
    <n v="-28154"/>
    <x v="9"/>
  </r>
  <r>
    <n v="2026"/>
    <n v="2"/>
    <s v="12-02-2026"/>
    <n v="10806"/>
    <s v="1104-01"/>
    <n v="0"/>
    <n v="20690"/>
    <s v="Centralización recaudaciones febrero 2026 #2635 - #2635"/>
    <n v="-20690"/>
    <s v="Activo"/>
    <n v="-20690"/>
    <x v="9"/>
  </r>
  <r>
    <n v="2026"/>
    <n v="2"/>
    <s v="12-02-2026"/>
    <n v="10816"/>
    <s v="1104-01"/>
    <n v="0"/>
    <n v="21990"/>
    <s v="Centralización recaudaciones febrero 2026 #2645 - #2645"/>
    <n v="-21990"/>
    <s v="Activo"/>
    <n v="-21990"/>
    <x v="9"/>
  </r>
  <r>
    <n v="2026"/>
    <n v="2"/>
    <s v="12-02-2026"/>
    <n v="10832"/>
    <s v="1104-01"/>
    <n v="0"/>
    <n v="21707"/>
    <s v="Centralización recaudaciones febrero 2026 #2661 - #2661"/>
    <n v="-21707"/>
    <s v="Activo"/>
    <n v="-21707"/>
    <x v="9"/>
  </r>
  <r>
    <n v="2026"/>
    <n v="2"/>
    <s v="12-02-2026"/>
    <n v="10909"/>
    <s v="1104-01"/>
    <n v="0"/>
    <n v="27718"/>
    <s v="Centralización recaudaciones febrero 2026 #2738 - #2738"/>
    <n v="-27718"/>
    <s v="Activo"/>
    <n v="-27718"/>
    <x v="9"/>
  </r>
  <r>
    <n v="2026"/>
    <n v="2"/>
    <s v="12-02-2026"/>
    <n v="10912"/>
    <s v="1104-01"/>
    <n v="0"/>
    <n v="7877"/>
    <s v="Centralización recaudaciones febrero 2026 #2741 - #2741"/>
    <n v="-7877"/>
    <s v="Activo"/>
    <n v="-7877"/>
    <x v="9"/>
  </r>
  <r>
    <n v="2026"/>
    <n v="2"/>
    <s v="12-02-2026"/>
    <n v="10943"/>
    <s v="1104-01"/>
    <n v="0"/>
    <n v="9980"/>
    <s v="Centralización recaudaciones febrero 2026 #2772 - #2772"/>
    <n v="-9980"/>
    <s v="Activo"/>
    <n v="-9980"/>
    <x v="9"/>
  </r>
  <r>
    <n v="2026"/>
    <n v="2"/>
    <s v="12-02-2026"/>
    <n v="10963"/>
    <s v="1104-01"/>
    <n v="0"/>
    <n v="3500"/>
    <s v="Centralización recaudaciones febrero 2026 #2792 - #2792"/>
    <n v="-3500"/>
    <s v="Activo"/>
    <n v="-3500"/>
    <x v="9"/>
  </r>
  <r>
    <n v="2026"/>
    <n v="2"/>
    <s v="12-02-2026"/>
    <n v="10971"/>
    <s v="1104-01"/>
    <n v="0"/>
    <n v="59980"/>
    <s v="Centralización recaudaciones febrero 2026 #2800 - #2800"/>
    <n v="-59980"/>
    <s v="Activo"/>
    <n v="-59980"/>
    <x v="9"/>
  </r>
  <r>
    <n v="2026"/>
    <n v="2"/>
    <s v="12-02-2026"/>
    <n v="10976"/>
    <s v="1104-01"/>
    <n v="0"/>
    <n v="24990"/>
    <s v="Centralización recaudaciones febrero 2026 #2805 - #2805"/>
    <n v="-24990"/>
    <s v="Activo"/>
    <n v="-24990"/>
    <x v="9"/>
  </r>
  <r>
    <n v="2026"/>
    <n v="2"/>
    <s v="12-02-2026"/>
    <n v="10981"/>
    <s v="1104-01"/>
    <n v="0"/>
    <n v="17030"/>
    <s v="Centralización recaudaciones febrero 2026 #2810 - #2810"/>
    <n v="-17030"/>
    <s v="Activo"/>
    <n v="-17030"/>
    <x v="9"/>
  </r>
  <r>
    <n v="2026"/>
    <n v="2"/>
    <s v="12-02-2026"/>
    <n v="11005"/>
    <s v="1104-01"/>
    <n v="0"/>
    <n v="975"/>
    <s v="Centralización recaudaciones febrero 2026 #2834 - #2834"/>
    <n v="-975"/>
    <s v="Activo"/>
    <n v="-975"/>
    <x v="9"/>
  </r>
  <r>
    <n v="2026"/>
    <n v="2"/>
    <s v="12-02-2026"/>
    <n v="11025"/>
    <s v="1104-01"/>
    <n v="0"/>
    <n v="201663"/>
    <s v="Centralización recaudaciones febrero 2026 #2854 - #2854"/>
    <n v="-201663"/>
    <s v="Activo"/>
    <n v="-201663"/>
    <x v="9"/>
  </r>
  <r>
    <n v="2026"/>
    <n v="2"/>
    <s v="12-02-2026"/>
    <n v="11055"/>
    <s v="1104-01"/>
    <n v="0"/>
    <n v="9753043"/>
    <s v="0966893109 abn crd db tran transba"/>
    <n v="-9753043"/>
    <s v="Activo"/>
    <n v="-9753043"/>
    <x v="9"/>
  </r>
  <r>
    <n v="2026"/>
    <n v="2"/>
    <s v="12-02-2026"/>
    <n v="11056"/>
    <s v="1104-01"/>
    <n v="0"/>
    <n v="1532136"/>
    <s v="0761872877 transf. khipu spa"/>
    <n v="-1532136"/>
    <s v="Activo"/>
    <n v="-1532136"/>
    <x v="9"/>
  </r>
  <r>
    <n v="2026"/>
    <n v="2"/>
    <s v="13-02-2026"/>
    <n v="10547"/>
    <s v="1104-01"/>
    <n v="0"/>
    <n v="34990"/>
    <s v="Centralización recaudaciones febrero 2026 #2376 - #2376"/>
    <n v="-34990"/>
    <s v="Activo"/>
    <n v="-34990"/>
    <x v="9"/>
  </r>
  <r>
    <n v="2026"/>
    <n v="2"/>
    <s v="13-02-2026"/>
    <n v="10603"/>
    <s v="1104-01"/>
    <n v="0"/>
    <n v="38990"/>
    <s v="Centralización recaudaciones febrero 2026 #2432 - #2432"/>
    <n v="-38990"/>
    <s v="Activo"/>
    <n v="-38990"/>
    <x v="9"/>
  </r>
  <r>
    <n v="2026"/>
    <n v="2"/>
    <s v="13-02-2026"/>
    <n v="10610"/>
    <s v="1104-01"/>
    <n v="0"/>
    <n v="25000"/>
    <s v="Centralización recaudaciones febrero 2026 #2439 - #2439"/>
    <n v="-25000"/>
    <s v="Activo"/>
    <n v="-25000"/>
    <x v="9"/>
  </r>
  <r>
    <n v="2026"/>
    <n v="2"/>
    <s v="13-02-2026"/>
    <n v="10682"/>
    <s v="1104-01"/>
    <n v="0"/>
    <n v="5010"/>
    <s v="Centralización recaudaciones febrero 2026 #2511 - #2511"/>
    <n v="-5010"/>
    <s v="Activo"/>
    <n v="-5010"/>
    <x v="9"/>
  </r>
  <r>
    <n v="2026"/>
    <n v="2"/>
    <s v="13-02-2026"/>
    <n v="10988"/>
    <s v="1104-01"/>
    <n v="0"/>
    <n v="520000"/>
    <s v="Centralización recaudaciones febrero 2026 #2817 - #2817"/>
    <n v="-520000"/>
    <s v="Activo"/>
    <n v="-520000"/>
    <x v="9"/>
  </r>
  <r>
    <n v="2026"/>
    <n v="2"/>
    <s v="13-02-2026"/>
    <n v="10989"/>
    <s v="1104-01"/>
    <n v="0"/>
    <n v="520000"/>
    <s v="Centralización recaudaciones febrero 2026 #2818 - #2818"/>
    <n v="-520000"/>
    <s v="Activo"/>
    <n v="-520000"/>
    <x v="9"/>
  </r>
  <r>
    <n v="2026"/>
    <n v="2"/>
    <s v="13-02-2026"/>
    <n v="10998"/>
    <s v="1104-01"/>
    <n v="0"/>
    <n v="520000"/>
    <s v="Centralización recaudaciones febrero 2026 #2827 - #2827"/>
    <n v="-520000"/>
    <s v="Activo"/>
    <n v="-520000"/>
    <x v="9"/>
  </r>
  <r>
    <n v="2026"/>
    <n v="2"/>
    <s v="13-02-2026"/>
    <n v="11058"/>
    <s v="1104-01"/>
    <n v="0"/>
    <n v="8862918"/>
    <s v="0966893109 abn crd db tran transba"/>
    <n v="-8862918"/>
    <s v="Activo"/>
    <n v="-8862918"/>
    <x v="9"/>
  </r>
  <r>
    <n v="2026"/>
    <n v="2"/>
    <s v="13-02-2026"/>
    <n v="11060"/>
    <s v="1104-01"/>
    <n v="0"/>
    <n v="71105"/>
    <s v="0761872877 transf. khipu spa"/>
    <n v="-71105"/>
    <s v="Activo"/>
    <n v="-71105"/>
    <x v="9"/>
  </r>
  <r>
    <n v="2026"/>
    <n v="2"/>
    <s v="16-02-2026"/>
    <n v="10498"/>
    <s v="1104-01"/>
    <n v="0"/>
    <n v="27990"/>
    <s v="Centralización recaudaciones febrero 2026 #2327 - #2327"/>
    <n v="-27990"/>
    <s v="Activo"/>
    <n v="-27990"/>
    <x v="9"/>
  </r>
  <r>
    <n v="2026"/>
    <n v="2"/>
    <s v="16-02-2026"/>
    <n v="10508"/>
    <s v="1104-01"/>
    <n v="0"/>
    <n v="39990"/>
    <s v="Centralización recaudaciones febrero 2026 #2337 - #2337"/>
    <n v="-39990"/>
    <s v="Activo"/>
    <n v="-39990"/>
    <x v="9"/>
  </r>
  <r>
    <n v="2026"/>
    <n v="2"/>
    <s v="16-02-2026"/>
    <n v="10562"/>
    <s v="1104-01"/>
    <n v="0"/>
    <n v="72000"/>
    <s v="Centralización recaudaciones febrero 2026 #2391 - #2391"/>
    <n v="-72000"/>
    <s v="Activo"/>
    <n v="-72000"/>
    <x v="9"/>
  </r>
  <r>
    <n v="2026"/>
    <n v="2"/>
    <s v="16-02-2026"/>
    <n v="10600"/>
    <s v="1104-01"/>
    <n v="0"/>
    <n v="134351"/>
    <s v="Centralización recaudaciones febrero 2026 #2429 - #2429"/>
    <n v="-134351"/>
    <s v="Activo"/>
    <n v="-134351"/>
    <x v="9"/>
  </r>
  <r>
    <n v="2026"/>
    <n v="2"/>
    <s v="16-02-2026"/>
    <n v="10632"/>
    <s v="1104-01"/>
    <n v="0"/>
    <n v="30586"/>
    <s v="Centralización recaudaciones febrero 2026 #2461 - #2461"/>
    <n v="-30586"/>
    <s v="Activo"/>
    <n v="-30586"/>
    <x v="9"/>
  </r>
  <r>
    <n v="2026"/>
    <n v="2"/>
    <s v="16-02-2026"/>
    <n v="10642"/>
    <s v="1104-01"/>
    <n v="0"/>
    <n v="31000"/>
    <s v="Centralización recaudaciones febrero 2026 #2471 - #2471"/>
    <n v="-31000"/>
    <s v="Activo"/>
    <n v="-31000"/>
    <x v="9"/>
  </r>
  <r>
    <n v="2026"/>
    <n v="2"/>
    <s v="16-02-2026"/>
    <n v="10661"/>
    <s v="1104-01"/>
    <n v="0"/>
    <n v="143000"/>
    <s v="Centralización recaudaciones febrero 2026 #2490 - #2490"/>
    <n v="-143000"/>
    <s v="Activo"/>
    <n v="-143000"/>
    <x v="9"/>
  </r>
  <r>
    <n v="2026"/>
    <n v="2"/>
    <s v="16-02-2026"/>
    <n v="10683"/>
    <s v="1104-01"/>
    <n v="0"/>
    <n v="16980"/>
    <s v="Centralización recaudaciones febrero 2026 #2512 - #2512"/>
    <n v="-16980"/>
    <s v="Activo"/>
    <n v="-16980"/>
    <x v="9"/>
  </r>
  <r>
    <n v="2026"/>
    <n v="2"/>
    <s v="16-02-2026"/>
    <n v="10695"/>
    <s v="1104-01"/>
    <n v="0"/>
    <n v="17990"/>
    <s v="Centralización recaudaciones febrero 2026 #2524 - #2524"/>
    <n v="-17990"/>
    <s v="Activo"/>
    <n v="-17990"/>
    <x v="9"/>
  </r>
  <r>
    <n v="2026"/>
    <n v="2"/>
    <s v="16-02-2026"/>
    <n v="10727"/>
    <s v="1104-01"/>
    <n v="0"/>
    <n v="660"/>
    <s v="Centralización recaudaciones febrero 2026 #2556 - #2556"/>
    <n v="-660"/>
    <s v="Activo"/>
    <n v="-660"/>
    <x v="9"/>
  </r>
  <r>
    <n v="2026"/>
    <n v="2"/>
    <s v="16-02-2026"/>
    <n v="10729"/>
    <s v="1104-01"/>
    <n v="0"/>
    <n v="18990"/>
    <s v="Centralización recaudaciones febrero 2026 #2558 - #2558"/>
    <n v="-18990"/>
    <s v="Activo"/>
    <n v="-18990"/>
    <x v="9"/>
  </r>
  <r>
    <n v="2026"/>
    <n v="2"/>
    <s v="16-02-2026"/>
    <n v="10735"/>
    <s v="1104-01"/>
    <n v="0"/>
    <n v="21970"/>
    <s v="Centralización recaudaciones febrero 2026 #2564 - #2564"/>
    <n v="-21970"/>
    <s v="Activo"/>
    <n v="-21970"/>
    <x v="9"/>
  </r>
  <r>
    <n v="2026"/>
    <n v="2"/>
    <s v="16-02-2026"/>
    <n v="10747"/>
    <s v="1104-01"/>
    <n v="0"/>
    <n v="29990"/>
    <s v="Centralización recaudaciones febrero 2026 #2576 - #2576"/>
    <n v="-29990"/>
    <s v="Activo"/>
    <n v="-29990"/>
    <x v="9"/>
  </r>
  <r>
    <n v="2026"/>
    <n v="2"/>
    <s v="16-02-2026"/>
    <n v="10792"/>
    <s v="1104-01"/>
    <n v="0"/>
    <n v="18727"/>
    <s v="Centralización recaudaciones febrero 2026 #2621 - #2621"/>
    <n v="-18727"/>
    <s v="Activo"/>
    <n v="-18727"/>
    <x v="9"/>
  </r>
  <r>
    <n v="2026"/>
    <n v="2"/>
    <s v="16-02-2026"/>
    <n v="10795"/>
    <s v="1104-01"/>
    <n v="0"/>
    <n v="6836"/>
    <s v="Centralización recaudaciones febrero 2026 #2624 - #2624"/>
    <n v="-6836"/>
    <s v="Activo"/>
    <n v="-6836"/>
    <x v="9"/>
  </r>
  <r>
    <n v="2026"/>
    <n v="2"/>
    <s v="16-02-2026"/>
    <n v="10840"/>
    <s v="1104-01"/>
    <n v="0"/>
    <n v="18981"/>
    <s v="Centralización recaudaciones febrero 2026 #2669 - #2669"/>
    <n v="-18981"/>
    <s v="Activo"/>
    <n v="-18981"/>
    <x v="9"/>
  </r>
  <r>
    <n v="2026"/>
    <n v="2"/>
    <s v="16-02-2026"/>
    <n v="10843"/>
    <s v="1104-01"/>
    <n v="0"/>
    <n v="34990"/>
    <s v="Centralización recaudaciones febrero 2026 #2672 - #2672"/>
    <n v="-34990"/>
    <s v="Activo"/>
    <n v="-34990"/>
    <x v="9"/>
  </r>
  <r>
    <n v="2026"/>
    <n v="2"/>
    <s v="16-02-2026"/>
    <n v="10853"/>
    <s v="1104-01"/>
    <n v="0"/>
    <n v="874631"/>
    <s v="Centralización recaudaciones febrero 2026 #2682 - #2682"/>
    <n v="-874631"/>
    <s v="Activo"/>
    <n v="-874631"/>
    <x v="9"/>
  </r>
  <r>
    <n v="2026"/>
    <n v="2"/>
    <s v="16-02-2026"/>
    <n v="10860"/>
    <s v="1104-01"/>
    <n v="0"/>
    <n v="69590"/>
    <s v="Centralización recaudaciones febrero 2026 #2689 - #2689"/>
    <n v="-69590"/>
    <s v="Activo"/>
    <n v="-69590"/>
    <x v="9"/>
  </r>
  <r>
    <n v="2026"/>
    <n v="2"/>
    <s v="16-02-2026"/>
    <n v="10864"/>
    <s v="1104-01"/>
    <n v="0"/>
    <n v="50000"/>
    <s v="Centralización recaudaciones febrero 2026 #2693 - #2693"/>
    <n v="-50000"/>
    <s v="Activo"/>
    <n v="-50000"/>
    <x v="9"/>
  </r>
  <r>
    <n v="2026"/>
    <n v="2"/>
    <s v="16-02-2026"/>
    <n v="10921"/>
    <s v="1104-01"/>
    <n v="0"/>
    <n v="21990"/>
    <s v="Centralización recaudaciones febrero 2026 #2750 - #2750"/>
    <n v="-21990"/>
    <s v="Activo"/>
    <n v="-21990"/>
    <x v="9"/>
  </r>
  <r>
    <n v="2026"/>
    <n v="2"/>
    <s v="16-02-2026"/>
    <n v="10928"/>
    <s v="1104-01"/>
    <n v="0"/>
    <n v="11050"/>
    <s v="Centralización recaudaciones febrero 2026 #2757 - #2757"/>
    <n v="-11050"/>
    <s v="Activo"/>
    <n v="-11050"/>
    <x v="9"/>
  </r>
  <r>
    <n v="2026"/>
    <n v="2"/>
    <s v="16-02-2026"/>
    <n v="10956"/>
    <s v="1104-01"/>
    <n v="0"/>
    <n v="26170"/>
    <s v="Centralización recaudaciones febrero 2026 #2785 - #2785"/>
    <n v="-26170"/>
    <s v="Activo"/>
    <n v="-26170"/>
    <x v="9"/>
  </r>
  <r>
    <n v="2026"/>
    <n v="2"/>
    <s v="16-02-2026"/>
    <n v="11006"/>
    <s v="1104-01"/>
    <n v="0"/>
    <n v="17990"/>
    <s v="Centralización recaudaciones febrero 2026 #2835 - #2835"/>
    <n v="-17990"/>
    <s v="Activo"/>
    <n v="-17990"/>
    <x v="9"/>
  </r>
  <r>
    <n v="2026"/>
    <n v="2"/>
    <s v="16-02-2026"/>
    <n v="11014"/>
    <s v="1104-01"/>
    <n v="0"/>
    <n v="25000"/>
    <s v="Centralización recaudaciones febrero 2026 #2843 - #2843"/>
    <n v="-25000"/>
    <s v="Activo"/>
    <n v="-25000"/>
    <x v="9"/>
  </r>
  <r>
    <n v="2026"/>
    <n v="2"/>
    <s v="16-02-2026"/>
    <n v="11062"/>
    <s v="1104-01"/>
    <n v="0"/>
    <n v="2846777"/>
    <s v="0966893109 abn crd db tran transba"/>
    <n v="-2846777"/>
    <s v="Activo"/>
    <n v="-2846777"/>
    <x v="9"/>
  </r>
  <r>
    <n v="2026"/>
    <n v="2"/>
    <s v="16-02-2026"/>
    <n v="11063"/>
    <s v="1104-01"/>
    <n v="0"/>
    <n v="529485"/>
    <s v="0761872877 transf. khipu spa"/>
    <n v="-529485"/>
    <s v="Activo"/>
    <n v="-529485"/>
    <x v="9"/>
  </r>
  <r>
    <n v="2026"/>
    <n v="2"/>
    <s v="17-02-2026"/>
    <n v="10566"/>
    <s v="1104-01"/>
    <n v="0"/>
    <n v="22970"/>
    <s v="Centralización recaudaciones febrero 2026 #2395 - #2395"/>
    <n v="-22970"/>
    <s v="Activo"/>
    <n v="-22970"/>
    <x v="9"/>
  </r>
  <r>
    <n v="2026"/>
    <n v="2"/>
    <s v="17-02-2026"/>
    <n v="10646"/>
    <s v="1104-01"/>
    <n v="0"/>
    <n v="24980"/>
    <s v="Centralización recaudaciones febrero 2026 #2475 - #2475"/>
    <n v="-24980"/>
    <s v="Activo"/>
    <n v="-24980"/>
    <x v="9"/>
  </r>
  <r>
    <n v="2026"/>
    <n v="2"/>
    <s v="17-02-2026"/>
    <n v="10649"/>
    <s v="1104-01"/>
    <n v="0"/>
    <n v="271337"/>
    <s v="Centralización recaudaciones febrero 2026 #2478 - #2478"/>
    <n v="-271337"/>
    <s v="Activo"/>
    <n v="-271337"/>
    <x v="9"/>
  </r>
  <r>
    <n v="2026"/>
    <n v="2"/>
    <s v="17-02-2026"/>
    <n v="10691"/>
    <s v="1104-01"/>
    <n v="0"/>
    <n v="22980"/>
    <s v="Centralización recaudaciones febrero 2026 #2520 - #2520"/>
    <n v="-22980"/>
    <s v="Activo"/>
    <n v="-22980"/>
    <x v="9"/>
  </r>
  <r>
    <n v="2026"/>
    <n v="2"/>
    <s v="17-02-2026"/>
    <n v="10713"/>
    <s v="1104-01"/>
    <n v="0"/>
    <n v="38990"/>
    <s v="Centralización recaudaciones febrero 2026 #2542 - #2542"/>
    <n v="-38990"/>
    <s v="Activo"/>
    <n v="-38990"/>
    <x v="9"/>
  </r>
  <r>
    <n v="2026"/>
    <n v="2"/>
    <s v="17-02-2026"/>
    <n v="10768"/>
    <s v="1104-01"/>
    <n v="0"/>
    <n v="54990"/>
    <s v="Centralización recaudaciones febrero 2026 #2597 - #2597"/>
    <n v="-54990"/>
    <s v="Activo"/>
    <n v="-54990"/>
    <x v="9"/>
  </r>
  <r>
    <n v="2026"/>
    <n v="2"/>
    <s v="17-02-2026"/>
    <n v="10913"/>
    <s v="1104-01"/>
    <n v="0"/>
    <n v="32103"/>
    <s v="Centralización recaudaciones febrero 2026 #2742 - #2742"/>
    <n v="-32103"/>
    <s v="Activo"/>
    <n v="-32103"/>
    <x v="9"/>
  </r>
  <r>
    <n v="2026"/>
    <n v="2"/>
    <s v="17-02-2026"/>
    <n v="10929"/>
    <s v="1104-01"/>
    <n v="0"/>
    <n v="10940"/>
    <s v="Centralización recaudaciones febrero 2026 #2758 - #2758"/>
    <n v="-10940"/>
    <s v="Activo"/>
    <n v="-10940"/>
    <x v="9"/>
  </r>
  <r>
    <n v="2026"/>
    <n v="2"/>
    <s v="17-02-2026"/>
    <n v="10936"/>
    <s v="1104-01"/>
    <n v="0"/>
    <n v="23790"/>
    <s v="Centralización recaudaciones febrero 2026 #2765 - #2765"/>
    <n v="-23790"/>
    <s v="Activo"/>
    <n v="-23790"/>
    <x v="9"/>
  </r>
  <r>
    <n v="2026"/>
    <n v="2"/>
    <s v="17-02-2026"/>
    <n v="10964"/>
    <s v="1104-01"/>
    <n v="0"/>
    <n v="160967"/>
    <s v="Centralización recaudaciones febrero 2026 #2793 - #2793"/>
    <n v="-160967"/>
    <s v="Activo"/>
    <n v="-160967"/>
    <x v="9"/>
  </r>
  <r>
    <n v="2026"/>
    <n v="2"/>
    <s v="17-02-2026"/>
    <n v="11007"/>
    <s v="1104-01"/>
    <n v="0"/>
    <n v="4036"/>
    <s v="Centralización recaudaciones febrero 2026 #2836 - #2836"/>
    <n v="-4036"/>
    <s v="Activo"/>
    <n v="-4036"/>
    <x v="9"/>
  </r>
  <r>
    <n v="2026"/>
    <n v="2"/>
    <s v="17-02-2026"/>
    <n v="11032"/>
    <s v="1104-01"/>
    <n v="0"/>
    <n v="134"/>
    <s v="Centralización recaudaciones febrero 2026 #2861 - #2861"/>
    <n v="-134"/>
    <s v="Activo"/>
    <n v="-134"/>
    <x v="9"/>
  </r>
  <r>
    <n v="2026"/>
    <n v="2"/>
    <s v="17-02-2026"/>
    <n v="11064"/>
    <s v="1104-01"/>
    <n v="0"/>
    <n v="6939358"/>
    <s v="0966893109 abn crd db tran transba"/>
    <n v="-6939358"/>
    <s v="Activo"/>
    <n v="-6939358"/>
    <x v="9"/>
  </r>
  <r>
    <n v="2026"/>
    <n v="2"/>
    <s v="17-02-2026"/>
    <n v="11065"/>
    <s v="1104-01"/>
    <n v="0"/>
    <n v="551752"/>
    <s v="0761872877 transf. khipu spa"/>
    <n v="-551752"/>
    <s v="Activo"/>
    <n v="-551752"/>
    <x v="9"/>
  </r>
  <r>
    <n v="2026"/>
    <n v="2"/>
    <s v="18-02-2026"/>
    <n v="10516"/>
    <s v="1104-01"/>
    <n v="0"/>
    <n v="120000"/>
    <s v="Centralización recaudaciones febrero 2026 #2345 - #2345"/>
    <n v="-120000"/>
    <s v="Activo"/>
    <n v="-120000"/>
    <x v="9"/>
  </r>
  <r>
    <n v="2026"/>
    <n v="2"/>
    <s v="18-02-2026"/>
    <n v="10541"/>
    <s v="1104-01"/>
    <n v="0"/>
    <n v="26372"/>
    <s v="Centralización recaudaciones febrero 2026 #2370 - #2370"/>
    <n v="-26372"/>
    <s v="Activo"/>
    <n v="-26372"/>
    <x v="9"/>
  </r>
  <r>
    <n v="2026"/>
    <n v="2"/>
    <s v="18-02-2026"/>
    <n v="10581"/>
    <s v="1104-01"/>
    <n v="0"/>
    <n v="6990"/>
    <s v="Centralización recaudaciones febrero 2026 #2410 - #2410"/>
    <n v="-6990"/>
    <s v="Activo"/>
    <n v="-6990"/>
    <x v="9"/>
  </r>
  <r>
    <n v="2026"/>
    <n v="2"/>
    <s v="18-02-2026"/>
    <n v="10611"/>
    <s v="1104-01"/>
    <n v="0"/>
    <n v="31928"/>
    <s v="Centralización recaudaciones febrero 2026 #2440 - #2440"/>
    <n v="-31928"/>
    <s v="Activo"/>
    <n v="-31928"/>
    <x v="9"/>
  </r>
  <r>
    <n v="2026"/>
    <n v="2"/>
    <s v="18-02-2026"/>
    <n v="10656"/>
    <s v="1104-01"/>
    <n v="0"/>
    <n v="5000"/>
    <s v="Centralización recaudaciones febrero 2026 #2485 - #2485"/>
    <n v="-5000"/>
    <s v="Activo"/>
    <n v="-5000"/>
    <x v="9"/>
  </r>
  <r>
    <n v="2026"/>
    <n v="2"/>
    <s v="18-02-2026"/>
    <n v="10797"/>
    <s v="1104-01"/>
    <n v="0"/>
    <n v="24990"/>
    <s v="Centralización recaudaciones febrero 2026 #2626 - #2626"/>
    <n v="-24990"/>
    <s v="Activo"/>
    <n v="-24990"/>
    <x v="9"/>
  </r>
  <r>
    <n v="2026"/>
    <n v="2"/>
    <s v="18-02-2026"/>
    <n v="10847"/>
    <s v="1104-01"/>
    <n v="0"/>
    <n v="472930"/>
    <s v="Centralización recaudaciones febrero 2026 #2676 - #2676"/>
    <n v="-472930"/>
    <s v="Activo"/>
    <n v="-472930"/>
    <x v="9"/>
  </r>
  <r>
    <n v="2026"/>
    <n v="2"/>
    <s v="18-02-2026"/>
    <n v="10895"/>
    <s v="1104-01"/>
    <n v="0"/>
    <n v="674102"/>
    <s v="Centralización recaudaciones febrero 2026 #2724 - #2724"/>
    <n v="-674102"/>
    <s v="Activo"/>
    <n v="-674102"/>
    <x v="9"/>
  </r>
  <r>
    <n v="2026"/>
    <n v="2"/>
    <s v="18-02-2026"/>
    <n v="10898"/>
    <s v="1104-01"/>
    <n v="0"/>
    <n v="28458"/>
    <s v="Centralización recaudaciones febrero 2026 #2727 - #2727"/>
    <n v="-28458"/>
    <s v="Activo"/>
    <n v="-28458"/>
    <x v="9"/>
  </r>
  <r>
    <n v="2026"/>
    <n v="2"/>
    <s v="18-02-2026"/>
    <n v="10918"/>
    <s v="1104-01"/>
    <n v="0"/>
    <n v="65438"/>
    <s v="Centralización recaudaciones febrero 2026 #2747 - #2747"/>
    <n v="-65438"/>
    <s v="Activo"/>
    <n v="-65438"/>
    <x v="9"/>
  </r>
  <r>
    <n v="2026"/>
    <n v="2"/>
    <s v="18-02-2026"/>
    <n v="10933"/>
    <s v="1104-01"/>
    <n v="0"/>
    <n v="24990"/>
    <s v="Centralización recaudaciones febrero 2026 #2762 - #2762"/>
    <n v="-24990"/>
    <s v="Activo"/>
    <n v="-24990"/>
    <x v="9"/>
  </r>
  <r>
    <n v="2026"/>
    <n v="2"/>
    <s v="18-02-2026"/>
    <n v="10934"/>
    <s v="1104-01"/>
    <n v="0"/>
    <n v="94000"/>
    <s v="Centralización recaudaciones febrero 2026 #2763 - #2763"/>
    <n v="-94000"/>
    <s v="Activo"/>
    <n v="-94000"/>
    <x v="9"/>
  </r>
  <r>
    <n v="2026"/>
    <n v="2"/>
    <s v="18-02-2026"/>
    <n v="10950"/>
    <s v="1104-01"/>
    <n v="0"/>
    <n v="9160"/>
    <s v="Centralización recaudaciones febrero 2026 #2779 - #2779"/>
    <n v="-9160"/>
    <s v="Activo"/>
    <n v="-9160"/>
    <x v="9"/>
  </r>
  <r>
    <n v="2026"/>
    <n v="2"/>
    <s v="18-02-2026"/>
    <n v="10966"/>
    <s v="1104-01"/>
    <n v="0"/>
    <n v="24990"/>
    <s v="Centralización recaudaciones febrero 2026 #2795 - #2795"/>
    <n v="-24990"/>
    <s v="Activo"/>
    <n v="-24990"/>
    <x v="9"/>
  </r>
  <r>
    <n v="2026"/>
    <n v="2"/>
    <s v="18-02-2026"/>
    <n v="10991"/>
    <s v="1104-01"/>
    <n v="0"/>
    <n v="8072"/>
    <s v="Centralización recaudaciones febrero 2026 #2820 - #2820"/>
    <n v="-8072"/>
    <s v="Activo"/>
    <n v="-8072"/>
    <x v="9"/>
  </r>
  <r>
    <n v="2026"/>
    <n v="2"/>
    <s v="18-02-2026"/>
    <n v="11026"/>
    <s v="1104-01"/>
    <n v="0"/>
    <n v="567630"/>
    <s v="Centralización recaudaciones febrero 2026 #2855 - #2855"/>
    <n v="-567630"/>
    <s v="Activo"/>
    <n v="-567630"/>
    <x v="9"/>
  </r>
  <r>
    <n v="2026"/>
    <n v="2"/>
    <s v="18-02-2026"/>
    <n v="11066"/>
    <s v="1104-01"/>
    <n v="0"/>
    <n v="6284324"/>
    <s v="0966893109 abn crd db tran transba"/>
    <n v="-6284324"/>
    <s v="Activo"/>
    <n v="-6284324"/>
    <x v="9"/>
  </r>
  <r>
    <n v="2026"/>
    <n v="2"/>
    <s v="18-02-2026"/>
    <n v="11067"/>
    <s v="1104-01"/>
    <n v="0"/>
    <n v="325027"/>
    <s v="0761872877 transf. khipu spa"/>
    <n v="-325027"/>
    <s v="Activo"/>
    <n v="-325027"/>
    <x v="9"/>
  </r>
  <r>
    <n v="2026"/>
    <n v="2"/>
    <s v="19-02-2026"/>
    <n v="10608"/>
    <s v="1104-01"/>
    <n v="0"/>
    <n v="118232"/>
    <s v="Centralización recaudaciones febrero 2026 #2437 - #2437"/>
    <n v="-118232"/>
    <s v="Activo"/>
    <n v="-118232"/>
    <x v="9"/>
  </r>
  <r>
    <n v="2026"/>
    <n v="2"/>
    <s v="19-02-2026"/>
    <n v="10698"/>
    <s v="1104-01"/>
    <n v="0"/>
    <n v="31990"/>
    <s v="Centralización recaudaciones febrero 2026 #2527 - #2527"/>
    <n v="-31990"/>
    <s v="Activo"/>
    <n v="-31990"/>
    <x v="9"/>
  </r>
  <r>
    <n v="2026"/>
    <n v="2"/>
    <s v="19-02-2026"/>
    <n v="10906"/>
    <s v="1104-01"/>
    <n v="0"/>
    <n v="27360"/>
    <s v="Centralización recaudaciones febrero 2026 #2735 - #2735"/>
    <n v="-27360"/>
    <s v="Activo"/>
    <n v="-27360"/>
    <x v="9"/>
  </r>
  <r>
    <n v="2026"/>
    <n v="2"/>
    <s v="19-02-2026"/>
    <n v="10951"/>
    <s v="1104-01"/>
    <n v="0"/>
    <n v="650"/>
    <s v="Centralización recaudaciones febrero 2026 #2780 - #2780"/>
    <n v="-650"/>
    <s v="Activo"/>
    <n v="-650"/>
    <x v="9"/>
  </r>
  <r>
    <n v="2026"/>
    <n v="2"/>
    <s v="19-02-2026"/>
    <n v="11070"/>
    <s v="1104-01"/>
    <n v="0"/>
    <n v="4934090"/>
    <s v="0966893109 abn crd db tran transba"/>
    <n v="-4934090"/>
    <s v="Activo"/>
    <n v="-4934090"/>
    <x v="9"/>
  </r>
  <r>
    <n v="2026"/>
    <n v="2"/>
    <s v="19-02-2026"/>
    <n v="11072"/>
    <s v="1104-01"/>
    <n v="0"/>
    <n v="191662"/>
    <s v="0761872877 transf. khipu spa"/>
    <n v="-191662"/>
    <s v="Activo"/>
    <n v="-191662"/>
    <x v="9"/>
  </r>
  <r>
    <n v="2026"/>
    <n v="2"/>
    <s v="20-02-2026"/>
    <n v="10506"/>
    <s v="1104-01"/>
    <n v="0"/>
    <n v="153747"/>
    <s v="Centralización recaudaciones febrero 2026 #2335 - #2335"/>
    <n v="-153747"/>
    <s v="Activo"/>
    <n v="-153747"/>
    <x v="9"/>
  </r>
  <r>
    <n v="2026"/>
    <n v="2"/>
    <s v="20-02-2026"/>
    <n v="10531"/>
    <s v="1104-01"/>
    <n v="0"/>
    <n v="70052"/>
    <s v="Centralización recaudaciones febrero 2026 #2360 - #2360"/>
    <n v="-70052"/>
    <s v="Activo"/>
    <n v="-70052"/>
    <x v="9"/>
  </r>
  <r>
    <n v="2026"/>
    <n v="2"/>
    <s v="20-02-2026"/>
    <n v="10615"/>
    <s v="1104-01"/>
    <n v="0"/>
    <n v="30000"/>
    <s v="Centralización recaudaciones febrero 2026 #2444 - #2444"/>
    <n v="-30000"/>
    <s v="Activo"/>
    <n v="-30000"/>
    <x v="9"/>
  </r>
  <r>
    <n v="2026"/>
    <n v="2"/>
    <s v="20-02-2026"/>
    <n v="10672"/>
    <s v="1104-01"/>
    <n v="0"/>
    <n v="2670865"/>
    <s v="Centralización recaudaciones febrero 2026 #2501 - #2501"/>
    <n v="-2670865"/>
    <s v="Activo"/>
    <n v="-2670865"/>
    <x v="9"/>
  </r>
  <r>
    <n v="2026"/>
    <n v="2"/>
    <s v="20-02-2026"/>
    <n v="10869"/>
    <s v="1104-01"/>
    <n v="0"/>
    <n v="21990"/>
    <s v="Centralización recaudaciones febrero 2026 #2698 - #2698"/>
    <n v="-21990"/>
    <s v="Activo"/>
    <n v="-21990"/>
    <x v="9"/>
  </r>
  <r>
    <n v="2026"/>
    <n v="2"/>
    <s v="20-02-2026"/>
    <n v="10952"/>
    <s v="1104-01"/>
    <n v="0"/>
    <n v="14990"/>
    <s v="Centralización recaudaciones febrero 2026 #2781 - #2781"/>
    <n v="-14990"/>
    <s v="Activo"/>
    <n v="-14990"/>
    <x v="9"/>
  </r>
  <r>
    <n v="2026"/>
    <n v="2"/>
    <s v="20-02-2026"/>
    <n v="11001"/>
    <s v="1104-01"/>
    <n v="0"/>
    <n v="331051"/>
    <s v="Centralización recaudaciones febrero 2026 #2830 - #2830"/>
    <n v="-331051"/>
    <s v="Activo"/>
    <n v="-331051"/>
    <x v="9"/>
  </r>
  <r>
    <n v="2026"/>
    <n v="2"/>
    <s v="20-02-2026"/>
    <n v="11015"/>
    <s v="1104-01"/>
    <n v="0"/>
    <n v="89250"/>
    <s v="Centralización recaudaciones febrero 2026 #2844 - #2844"/>
    <n v="-89250"/>
    <s v="Activo"/>
    <n v="-89250"/>
    <x v="9"/>
  </r>
  <r>
    <n v="2026"/>
    <n v="2"/>
    <s v="20-02-2026"/>
    <n v="11073"/>
    <s v="1104-01"/>
    <n v="0"/>
    <n v="3171945"/>
    <s v="0966893109 abn crd db tran transba"/>
    <n v="-3171945"/>
    <s v="Activo"/>
    <n v="-3171945"/>
    <x v="9"/>
  </r>
  <r>
    <n v="2026"/>
    <n v="2"/>
    <s v="20-02-2026"/>
    <n v="11074"/>
    <s v="1104-01"/>
    <n v="0"/>
    <n v="73080"/>
    <s v="0761872877 transf. khipu spa"/>
    <n v="-73080"/>
    <s v="Activo"/>
    <n v="-73080"/>
    <x v="9"/>
  </r>
  <r>
    <n v="2026"/>
    <n v="2"/>
    <s v="23-02-2026"/>
    <n v="10500"/>
    <s v="1104-01"/>
    <n v="0"/>
    <n v="59990"/>
    <s v="Centralización recaudaciones febrero 2026 #2329 - #2329"/>
    <n v="-59990"/>
    <s v="Activo"/>
    <n v="-59990"/>
    <x v="9"/>
  </r>
  <r>
    <n v="2026"/>
    <n v="2"/>
    <s v="23-02-2026"/>
    <n v="10554"/>
    <s v="1104-01"/>
    <n v="0"/>
    <n v="32000"/>
    <s v="Centralización recaudaciones febrero 2026 #2383 - #2383"/>
    <n v="-32000"/>
    <s v="Activo"/>
    <n v="-32000"/>
    <x v="9"/>
  </r>
  <r>
    <n v="2026"/>
    <n v="2"/>
    <s v="23-02-2026"/>
    <n v="10582"/>
    <s v="1104-01"/>
    <n v="0"/>
    <n v="33010"/>
    <s v="Centralización recaudaciones febrero 2026 #2411 - #2411"/>
    <n v="-33010"/>
    <s v="Activo"/>
    <n v="-33010"/>
    <x v="9"/>
  </r>
  <r>
    <n v="2026"/>
    <n v="2"/>
    <s v="23-02-2026"/>
    <n v="10616"/>
    <s v="1104-01"/>
    <n v="0"/>
    <n v="10000"/>
    <s v="Centralización recaudaciones febrero 2026 #2445 - #2445"/>
    <n v="-10000"/>
    <s v="Activo"/>
    <n v="-10000"/>
    <x v="9"/>
  </r>
  <r>
    <n v="2026"/>
    <n v="2"/>
    <s v="23-02-2026"/>
    <n v="10667"/>
    <s v="1104-01"/>
    <n v="0"/>
    <n v="1546887"/>
    <s v="Centralización recaudaciones febrero 2026 #2496 - #2496"/>
    <n v="-1546887"/>
    <s v="Activo"/>
    <n v="-1546887"/>
    <x v="9"/>
  </r>
  <r>
    <n v="2026"/>
    <n v="2"/>
    <s v="23-02-2026"/>
    <n v="10673"/>
    <s v="1104-01"/>
    <n v="0"/>
    <n v="449282"/>
    <s v="Centralización recaudaciones febrero 2026 #2502 - #2502"/>
    <n v="-449282"/>
    <s v="Activo"/>
    <n v="-449282"/>
    <x v="9"/>
  </r>
  <r>
    <n v="2026"/>
    <n v="2"/>
    <s v="23-02-2026"/>
    <n v="10716"/>
    <s v="1104-01"/>
    <n v="0"/>
    <n v="30000"/>
    <s v="Centralización recaudaciones febrero 2026 #2545 - #2545"/>
    <n v="-30000"/>
    <s v="Activo"/>
    <n v="-30000"/>
    <x v="9"/>
  </r>
  <r>
    <n v="2026"/>
    <n v="2"/>
    <s v="23-02-2026"/>
    <n v="10777"/>
    <s v="1104-01"/>
    <n v="0"/>
    <n v="40960"/>
    <s v="Centralización recaudaciones febrero 2026 #2606 - #2606"/>
    <n v="-40960"/>
    <s v="Activo"/>
    <n v="-40960"/>
    <x v="9"/>
  </r>
  <r>
    <n v="2026"/>
    <n v="2"/>
    <s v="23-02-2026"/>
    <n v="10809"/>
    <s v="1104-01"/>
    <n v="0"/>
    <n v="32990"/>
    <s v="Centralización recaudaciones febrero 2026 #2638 - #2638"/>
    <n v="-32990"/>
    <s v="Activo"/>
    <n v="-32990"/>
    <x v="9"/>
  </r>
  <r>
    <n v="2026"/>
    <n v="2"/>
    <s v="23-02-2026"/>
    <n v="10851"/>
    <s v="1104-01"/>
    <n v="0"/>
    <n v="32990"/>
    <s v="Centralización recaudaciones febrero 2026 #2680 - #2680"/>
    <n v="-32990"/>
    <s v="Activo"/>
    <n v="-32990"/>
    <x v="9"/>
  </r>
  <r>
    <n v="2026"/>
    <n v="2"/>
    <s v="23-02-2026"/>
    <n v="10870"/>
    <s v="1104-01"/>
    <n v="0"/>
    <n v="18000"/>
    <s v="Centralización recaudaciones febrero 2026 #2699 - #2699"/>
    <n v="-18000"/>
    <s v="Activo"/>
    <n v="-18000"/>
    <x v="9"/>
  </r>
  <r>
    <n v="2026"/>
    <n v="2"/>
    <s v="23-02-2026"/>
    <n v="10871"/>
    <s v="1104-01"/>
    <n v="0"/>
    <n v="32980"/>
    <s v="Centralización recaudaciones febrero 2026 #2700 - #2700"/>
    <n v="-32980"/>
    <s v="Activo"/>
    <n v="-32980"/>
    <x v="9"/>
  </r>
  <r>
    <n v="2026"/>
    <n v="2"/>
    <s v="23-02-2026"/>
    <n v="10931"/>
    <s v="1104-01"/>
    <n v="0"/>
    <n v="86052"/>
    <s v="Centralización recaudaciones febrero 2026 #2760 - #2760"/>
    <n v="-86052"/>
    <s v="Activo"/>
    <n v="-86052"/>
    <x v="9"/>
  </r>
  <r>
    <n v="2026"/>
    <n v="2"/>
    <s v="23-02-2026"/>
    <n v="10953"/>
    <s v="1104-01"/>
    <n v="0"/>
    <n v="190"/>
    <s v="Centralización recaudaciones febrero 2026 #2782 - #2782"/>
    <n v="-190"/>
    <s v="Activo"/>
    <n v="-190"/>
    <x v="9"/>
  </r>
  <r>
    <n v="2026"/>
    <n v="2"/>
    <s v="23-02-2026"/>
    <n v="10993"/>
    <s v="1104-01"/>
    <n v="0"/>
    <n v="31813"/>
    <s v="Centralización recaudaciones febrero 2026 #2822 - #2822"/>
    <n v="-31813"/>
    <s v="Activo"/>
    <n v="-31813"/>
    <x v="9"/>
  </r>
  <r>
    <n v="2026"/>
    <n v="2"/>
    <s v="23-02-2026"/>
    <n v="11000"/>
    <s v="1104-01"/>
    <n v="0"/>
    <n v="24980"/>
    <s v="Centralización recaudaciones febrero 2026 #2829 - #2829"/>
    <n v="-24980"/>
    <s v="Activo"/>
    <n v="-24980"/>
    <x v="9"/>
  </r>
  <r>
    <n v="2026"/>
    <n v="2"/>
    <s v="23-02-2026"/>
    <n v="11095"/>
    <s v="1104-01"/>
    <n v="0"/>
    <n v="1317469"/>
    <s v="0966893109 abn crd db tran transba"/>
    <n v="-1317469"/>
    <s v="Activo"/>
    <n v="-1317469"/>
    <x v="9"/>
  </r>
  <r>
    <n v="2026"/>
    <n v="2"/>
    <s v="23-02-2026"/>
    <n v="11096"/>
    <s v="1104-01"/>
    <n v="0"/>
    <n v="67151"/>
    <s v="0761872877 transf. khipu spa"/>
    <n v="-67151"/>
    <s v="Activo"/>
    <n v="-67151"/>
    <x v="9"/>
  </r>
  <r>
    <n v="2026"/>
    <n v="2"/>
    <s v="24-02-2026"/>
    <n v="10494"/>
    <s v="1104-01"/>
    <n v="0"/>
    <n v="32990"/>
    <s v="Centralización recaudaciones febrero 2026 #2323 - #2323"/>
    <n v="-32990"/>
    <s v="Activo"/>
    <n v="-32990"/>
    <x v="9"/>
  </r>
  <r>
    <n v="2026"/>
    <n v="2"/>
    <s v="24-02-2026"/>
    <n v="10519"/>
    <s v="1104-01"/>
    <n v="0"/>
    <n v="59990"/>
    <s v="Centralización recaudaciones febrero 2026 #2348 - #2348"/>
    <n v="-59990"/>
    <s v="Activo"/>
    <n v="-59990"/>
    <x v="9"/>
  </r>
  <r>
    <n v="2026"/>
    <n v="2"/>
    <s v="24-02-2026"/>
    <n v="10570"/>
    <s v="1104-01"/>
    <n v="0"/>
    <n v="30032"/>
    <s v="Centralización recaudaciones febrero 2026 #2399 - #2399"/>
    <n v="-30032"/>
    <s v="Activo"/>
    <n v="-30032"/>
    <x v="9"/>
  </r>
  <r>
    <n v="2026"/>
    <n v="2"/>
    <s v="24-02-2026"/>
    <n v="10588"/>
    <s v="1104-01"/>
    <n v="0"/>
    <n v="53980"/>
    <s v="Centralización recaudaciones febrero 2026 #2417 - #2417"/>
    <n v="-53980"/>
    <s v="Activo"/>
    <n v="-53980"/>
    <x v="9"/>
  </r>
  <r>
    <n v="2026"/>
    <n v="2"/>
    <s v="24-02-2026"/>
    <n v="10620"/>
    <s v="1104-01"/>
    <n v="0"/>
    <n v="130400"/>
    <s v="Centralización recaudaciones febrero 2026 #2449 - #2449"/>
    <n v="-130400"/>
    <s v="Activo"/>
    <n v="-130400"/>
    <x v="9"/>
  </r>
  <r>
    <n v="2026"/>
    <n v="2"/>
    <s v="24-02-2026"/>
    <n v="10629"/>
    <s v="1104-01"/>
    <n v="0"/>
    <n v="33990"/>
    <s v="Centralización recaudaciones febrero 2026 #2458 - #2458"/>
    <n v="-33990"/>
    <s v="Activo"/>
    <n v="-33990"/>
    <x v="9"/>
  </r>
  <r>
    <n v="2026"/>
    <n v="2"/>
    <s v="24-02-2026"/>
    <n v="10715"/>
    <s v="1104-01"/>
    <n v="0"/>
    <n v="8990"/>
    <s v="Centralización recaudaciones febrero 2026 #2544 - #2544"/>
    <n v="-8990"/>
    <s v="Activo"/>
    <n v="-8990"/>
    <x v="9"/>
  </r>
  <r>
    <n v="2026"/>
    <n v="2"/>
    <s v="24-02-2026"/>
    <n v="10766"/>
    <s v="1104-01"/>
    <n v="0"/>
    <n v="11510"/>
    <s v="Centralización recaudaciones febrero 2026 #2595 - #2595"/>
    <n v="-11510"/>
    <s v="Activo"/>
    <n v="-11510"/>
    <x v="9"/>
  </r>
  <r>
    <n v="2026"/>
    <n v="2"/>
    <s v="24-02-2026"/>
    <n v="10917"/>
    <s v="1104-01"/>
    <n v="0"/>
    <n v="33990"/>
    <s v="Centralización recaudaciones febrero 2026 #2746 - #2746"/>
    <n v="-33990"/>
    <s v="Activo"/>
    <n v="-33990"/>
    <x v="9"/>
  </r>
  <r>
    <n v="2026"/>
    <n v="2"/>
    <s v="24-02-2026"/>
    <n v="10949"/>
    <s v="1104-01"/>
    <n v="0"/>
    <n v="118964"/>
    <s v="Centralización recaudaciones febrero 2026 #2778 - #2778"/>
    <n v="-118964"/>
    <s v="Activo"/>
    <n v="-118964"/>
    <x v="9"/>
  </r>
  <r>
    <n v="2026"/>
    <n v="2"/>
    <s v="24-02-2026"/>
    <n v="10960"/>
    <s v="1104-01"/>
    <n v="0"/>
    <n v="13500"/>
    <s v="Centralización recaudaciones febrero 2026 #2789 - #2789"/>
    <n v="-13500"/>
    <s v="Activo"/>
    <n v="-13500"/>
    <x v="9"/>
  </r>
  <r>
    <n v="2026"/>
    <n v="2"/>
    <s v="24-02-2026"/>
    <n v="10992"/>
    <s v="1104-01"/>
    <n v="0"/>
    <n v="696"/>
    <s v="Centralización recaudaciones febrero 2026 #2821 - #2821"/>
    <n v="-696"/>
    <s v="Activo"/>
    <n v="-696"/>
    <x v="9"/>
  </r>
  <r>
    <n v="2026"/>
    <n v="2"/>
    <s v="24-02-2026"/>
    <n v="10999"/>
    <s v="1104-01"/>
    <n v="0"/>
    <n v="10010"/>
    <s v="Centralización recaudaciones febrero 2026 #2828 - #2828"/>
    <n v="-10010"/>
    <s v="Activo"/>
    <n v="-10010"/>
    <x v="9"/>
  </r>
  <r>
    <n v="2026"/>
    <n v="2"/>
    <s v="24-02-2026"/>
    <n v="11098"/>
    <s v="1104-01"/>
    <n v="0"/>
    <n v="4656741"/>
    <s v="0966893109 abn crd db tran transba"/>
    <n v="-4656741"/>
    <s v="Activo"/>
    <n v="-4656741"/>
    <x v="9"/>
  </r>
  <r>
    <n v="2026"/>
    <n v="2"/>
    <s v="24-02-2026"/>
    <n v="11099"/>
    <s v="1104-01"/>
    <n v="0"/>
    <n v="4656741"/>
    <s v="0966893109 abn crd db tran transba"/>
    <n v="-4656741"/>
    <s v="Activo"/>
    <n v="-4656741"/>
    <x v="9"/>
  </r>
  <r>
    <n v="2026"/>
    <n v="2"/>
    <s v="24-02-2026"/>
    <n v="11100"/>
    <s v="1104-01"/>
    <n v="0"/>
    <n v="183718"/>
    <s v="0761872877 transf. khipu spa"/>
    <n v="-183718"/>
    <s v="Activo"/>
    <n v="-183718"/>
    <x v="9"/>
  </r>
  <r>
    <n v="2026"/>
    <n v="2"/>
    <s v="25-02-2026"/>
    <n v="10569"/>
    <s v="1104-01"/>
    <n v="0"/>
    <n v="4958"/>
    <s v="Centralización recaudaciones febrero 2026 #2398 - #2398"/>
    <n v="-4958"/>
    <s v="Activo"/>
    <n v="-4958"/>
    <x v="9"/>
  </r>
  <r>
    <n v="2026"/>
    <n v="2"/>
    <s v="25-02-2026"/>
    <n v="10604"/>
    <s v="1104-01"/>
    <n v="0"/>
    <n v="118974"/>
    <s v="Centralización recaudaciones febrero 2026 #2433 - #2433"/>
    <n v="-118974"/>
    <s v="Activo"/>
    <n v="-118974"/>
    <x v="9"/>
  </r>
  <r>
    <n v="2026"/>
    <n v="2"/>
    <s v="25-02-2026"/>
    <n v="10628"/>
    <s v="1104-01"/>
    <n v="0"/>
    <n v="6000"/>
    <s v="Centralización recaudaciones febrero 2026 #2457 - #2457"/>
    <n v="-6000"/>
    <s v="Activo"/>
    <n v="-6000"/>
    <x v="9"/>
  </r>
  <r>
    <n v="2026"/>
    <n v="2"/>
    <s v="25-02-2026"/>
    <n v="10838"/>
    <s v="1104-01"/>
    <n v="0"/>
    <n v="39990"/>
    <s v="Centralización recaudaciones febrero 2026 #2667 - #2667"/>
    <n v="-39990"/>
    <s v="Activo"/>
    <n v="-39990"/>
    <x v="9"/>
  </r>
  <r>
    <n v="2026"/>
    <n v="2"/>
    <s v="25-02-2026"/>
    <n v="10873"/>
    <s v="1104-01"/>
    <n v="0"/>
    <n v="425636"/>
    <s v="Centralización recaudaciones febrero 2026 #2702 - #2702"/>
    <n v="-425636"/>
    <s v="Activo"/>
    <n v="-425636"/>
    <x v="9"/>
  </r>
  <r>
    <n v="2026"/>
    <n v="2"/>
    <s v="25-02-2026"/>
    <n v="10916"/>
    <s v="1104-01"/>
    <n v="0"/>
    <n v="2876"/>
    <s v="Centralización recaudaciones febrero 2026 #2745 - #2745"/>
    <n v="-2876"/>
    <s v="Activo"/>
    <n v="-2876"/>
    <x v="9"/>
  </r>
  <r>
    <n v="2026"/>
    <n v="2"/>
    <s v="25-02-2026"/>
    <n v="10922"/>
    <s v="1104-01"/>
    <n v="0"/>
    <n v="40000"/>
    <s v="Centralización recaudaciones febrero 2026 #2751 - #2751"/>
    <n v="-40000"/>
    <s v="Activo"/>
    <n v="-40000"/>
    <x v="9"/>
  </r>
  <r>
    <n v="2026"/>
    <n v="2"/>
    <s v="25-02-2026"/>
    <n v="10959"/>
    <s v="1104-01"/>
    <n v="0"/>
    <n v="26490"/>
    <s v="Centralización recaudaciones febrero 2026 #2788 - #2788"/>
    <n v="-26490"/>
    <s v="Activo"/>
    <n v="-26490"/>
    <x v="9"/>
  </r>
  <r>
    <n v="2026"/>
    <n v="2"/>
    <s v="25-02-2026"/>
    <n v="10986"/>
    <s v="1104-01"/>
    <n v="0"/>
    <n v="39990"/>
    <s v="Centralización recaudaciones febrero 2026 #2815 - #2815"/>
    <n v="-39990"/>
    <s v="Activo"/>
    <n v="-39990"/>
    <x v="9"/>
  </r>
  <r>
    <n v="2026"/>
    <n v="2"/>
    <s v="25-02-2026"/>
    <n v="11031"/>
    <s v="1104-01"/>
    <n v="0"/>
    <n v="1706000"/>
    <s v="Centralización recaudaciones febrero 2026 #2860 - #2860"/>
    <n v="-1706000"/>
    <s v="Activo"/>
    <n v="-1706000"/>
    <x v="9"/>
  </r>
  <r>
    <n v="2026"/>
    <n v="2"/>
    <s v="25-02-2026"/>
    <n v="11102"/>
    <s v="1104-01"/>
    <n v="0"/>
    <n v="2821696"/>
    <s v="0966893109 abn crd db tran transba"/>
    <n v="-2821696"/>
    <s v="Activo"/>
    <n v="-2821696"/>
    <x v="9"/>
  </r>
  <r>
    <n v="2026"/>
    <n v="2"/>
    <s v="25-02-2026"/>
    <n v="11105"/>
    <s v="1104-01"/>
    <n v="0"/>
    <n v="478026"/>
    <s v="0761872877 transf. khipu spa"/>
    <n v="-478026"/>
    <s v="Activo"/>
    <n v="-478026"/>
    <x v="9"/>
  </r>
  <r>
    <n v="2026"/>
    <n v="2"/>
    <s v="26-02-2026"/>
    <n v="10515"/>
    <s v="1104-01"/>
    <n v="0"/>
    <n v="50000"/>
    <s v="Centralización recaudaciones febrero 2026 #2344 - #2344"/>
    <n v="-50000"/>
    <s v="Activo"/>
    <n v="-50000"/>
    <x v="9"/>
  </r>
  <r>
    <n v="2026"/>
    <n v="2"/>
    <s v="26-02-2026"/>
    <n v="10520"/>
    <s v="1104-01"/>
    <n v="0"/>
    <n v="49990"/>
    <s v="Centralización recaudaciones febrero 2026 #2349 - #2349"/>
    <n v="-49990"/>
    <s v="Activo"/>
    <n v="-49990"/>
    <x v="9"/>
  </r>
  <r>
    <n v="2026"/>
    <n v="2"/>
    <s v="26-02-2026"/>
    <n v="10523"/>
    <s v="1104-01"/>
    <n v="0"/>
    <n v="40000"/>
    <s v="Centralización recaudaciones febrero 2026 #2352 - #2352"/>
    <n v="-40000"/>
    <s v="Activo"/>
    <n v="-40000"/>
    <x v="9"/>
  </r>
  <r>
    <n v="2026"/>
    <n v="2"/>
    <s v="26-02-2026"/>
    <n v="10529"/>
    <s v="1104-01"/>
    <n v="0"/>
    <n v="40000"/>
    <s v="Centralización recaudaciones febrero 2026 #2358 - #2358"/>
    <n v="-40000"/>
    <s v="Activo"/>
    <n v="-40000"/>
    <x v="9"/>
  </r>
  <r>
    <n v="2026"/>
    <n v="2"/>
    <s v="26-02-2026"/>
    <n v="10542"/>
    <s v="1104-01"/>
    <n v="0"/>
    <n v="50000"/>
    <s v="Centralización recaudaciones febrero 2026 #2371 - #2371"/>
    <n v="-50000"/>
    <s v="Activo"/>
    <n v="-50000"/>
    <x v="9"/>
  </r>
  <r>
    <n v="2026"/>
    <n v="2"/>
    <s v="26-02-2026"/>
    <n v="10551"/>
    <s v="1104-01"/>
    <n v="0"/>
    <n v="40000"/>
    <s v="Centralización recaudaciones febrero 2026 #2380 - #2380"/>
    <n v="-40000"/>
    <s v="Activo"/>
    <n v="-40000"/>
    <x v="9"/>
  </r>
  <r>
    <n v="2026"/>
    <n v="2"/>
    <s v="26-02-2026"/>
    <n v="10552"/>
    <s v="1104-01"/>
    <n v="0"/>
    <n v="42990"/>
    <s v="Centralización recaudaciones febrero 2026 #2381 - #2381"/>
    <n v="-42990"/>
    <s v="Activo"/>
    <n v="-42990"/>
    <x v="9"/>
  </r>
  <r>
    <n v="2026"/>
    <n v="2"/>
    <s v="26-02-2026"/>
    <n v="10574"/>
    <s v="1104-01"/>
    <n v="0"/>
    <n v="59980"/>
    <s v="Centralización recaudaciones febrero 2026 #2403 - #2403"/>
    <n v="-59980"/>
    <s v="Activo"/>
    <n v="-59980"/>
    <x v="9"/>
  </r>
  <r>
    <n v="2026"/>
    <n v="2"/>
    <s v="26-02-2026"/>
    <n v="10601"/>
    <s v="1104-01"/>
    <n v="0"/>
    <n v="50000"/>
    <s v="Centralización recaudaciones febrero 2026 #2430 - #2430"/>
    <n v="-50000"/>
    <s v="Activo"/>
    <n v="-50000"/>
    <x v="9"/>
  </r>
  <r>
    <n v="2026"/>
    <n v="2"/>
    <s v="26-02-2026"/>
    <n v="10640"/>
    <s v="1104-01"/>
    <n v="0"/>
    <n v="50000"/>
    <s v="Centralización recaudaciones febrero 2026 #2469 - #2469"/>
    <n v="-50000"/>
    <s v="Activo"/>
    <n v="-50000"/>
    <x v="9"/>
  </r>
  <r>
    <n v="2026"/>
    <n v="2"/>
    <s v="26-02-2026"/>
    <n v="10648"/>
    <s v="1104-01"/>
    <n v="0"/>
    <n v="15990"/>
    <s v="Centralización recaudaciones febrero 2026 #2477 - #2477"/>
    <n v="-15990"/>
    <s v="Activo"/>
    <n v="-15990"/>
    <x v="9"/>
  </r>
  <r>
    <n v="2026"/>
    <n v="2"/>
    <s v="26-02-2026"/>
    <n v="10653"/>
    <s v="1104-01"/>
    <n v="0"/>
    <n v="47960"/>
    <s v="Centralización recaudaciones febrero 2026 #2482 - #2482"/>
    <n v="-47960"/>
    <s v="Activo"/>
    <n v="-47960"/>
    <x v="9"/>
  </r>
  <r>
    <n v="2026"/>
    <n v="2"/>
    <s v="26-02-2026"/>
    <n v="10660"/>
    <s v="1104-01"/>
    <n v="0"/>
    <n v="50000"/>
    <s v="Centralización recaudaciones febrero 2026 #2489 - #2489"/>
    <n v="-50000"/>
    <s v="Activo"/>
    <n v="-50000"/>
    <x v="9"/>
  </r>
  <r>
    <n v="2026"/>
    <n v="2"/>
    <s v="26-02-2026"/>
    <n v="10669"/>
    <s v="1104-01"/>
    <n v="0"/>
    <n v="50000"/>
    <s v="Centralización recaudaciones febrero 2026 #2498 - #2498"/>
    <n v="-50000"/>
    <s v="Activo"/>
    <n v="-50000"/>
    <x v="9"/>
  </r>
  <r>
    <n v="2026"/>
    <n v="2"/>
    <s v="26-02-2026"/>
    <n v="10685"/>
    <s v="1104-01"/>
    <n v="0"/>
    <n v="50970"/>
    <s v="Centralización recaudaciones febrero 2026 #2514 - #2514"/>
    <n v="-50970"/>
    <s v="Activo"/>
    <n v="-50970"/>
    <x v="9"/>
  </r>
  <r>
    <n v="2026"/>
    <n v="2"/>
    <s v="26-02-2026"/>
    <n v="10756"/>
    <s v="1104-01"/>
    <n v="0"/>
    <n v="48000"/>
    <s v="Centralización recaudaciones febrero 2026 #2585 - #2585"/>
    <n v="-48000"/>
    <s v="Activo"/>
    <n v="-48000"/>
    <x v="9"/>
  </r>
  <r>
    <n v="2026"/>
    <n v="2"/>
    <s v="26-02-2026"/>
    <n v="10776"/>
    <s v="1104-01"/>
    <n v="0"/>
    <n v="1826805"/>
    <s v="Centralización recaudaciones febrero 2026 #2605 - #2605"/>
    <n v="-1826805"/>
    <s v="Activo"/>
    <n v="-1826805"/>
    <x v="9"/>
  </r>
  <r>
    <n v="2026"/>
    <n v="2"/>
    <s v="26-02-2026"/>
    <n v="10822"/>
    <s v="1104-01"/>
    <n v="0"/>
    <n v="43999"/>
    <s v="Centralización recaudaciones febrero 2026 #2651 - #2651"/>
    <n v="-43999"/>
    <s v="Activo"/>
    <n v="-43999"/>
    <x v="9"/>
  </r>
  <r>
    <n v="2026"/>
    <n v="2"/>
    <s v="26-02-2026"/>
    <n v="10837"/>
    <s v="1104-01"/>
    <n v="0"/>
    <n v="42990"/>
    <s v="Centralización recaudaciones febrero 2026 #2666 - #2666"/>
    <n v="-42990"/>
    <s v="Activo"/>
    <n v="-42990"/>
    <x v="9"/>
  </r>
  <r>
    <n v="2026"/>
    <n v="2"/>
    <s v="26-02-2026"/>
    <n v="10849"/>
    <s v="1104-01"/>
    <n v="0"/>
    <n v="47922"/>
    <s v="Centralización recaudaciones febrero 2026 #2678 - #2678"/>
    <n v="-47922"/>
    <s v="Activo"/>
    <n v="-47922"/>
    <x v="9"/>
  </r>
  <r>
    <n v="2026"/>
    <n v="2"/>
    <s v="26-02-2026"/>
    <n v="10867"/>
    <s v="1104-01"/>
    <n v="0"/>
    <n v="4283"/>
    <s v="Centralización recaudaciones febrero 2026 #2696 - #2696"/>
    <n v="-4283"/>
    <s v="Activo"/>
    <n v="-4283"/>
    <x v="9"/>
  </r>
  <r>
    <n v="2026"/>
    <n v="2"/>
    <s v="26-02-2026"/>
    <n v="10910"/>
    <s v="1104-01"/>
    <n v="0"/>
    <n v="44990"/>
    <s v="Centralización recaudaciones febrero 2026 #2739 - #2739"/>
    <n v="-44990"/>
    <s v="Activo"/>
    <n v="-44990"/>
    <x v="9"/>
  </r>
  <r>
    <n v="2026"/>
    <n v="2"/>
    <s v="26-02-2026"/>
    <n v="10914"/>
    <s v="1104-01"/>
    <n v="0"/>
    <n v="64990"/>
    <s v="Centralización recaudaciones febrero 2026 #2743 - #2743"/>
    <n v="-64990"/>
    <s v="Activo"/>
    <n v="-64990"/>
    <x v="9"/>
  </r>
  <r>
    <n v="2026"/>
    <n v="2"/>
    <s v="26-02-2026"/>
    <n v="10927"/>
    <s v="1104-01"/>
    <n v="0"/>
    <n v="41638"/>
    <s v="Centralización recaudaciones febrero 2026 #2756 - #2756"/>
    <n v="-41638"/>
    <s v="Activo"/>
    <n v="-41638"/>
    <x v="9"/>
  </r>
  <r>
    <n v="2026"/>
    <n v="2"/>
    <s v="26-02-2026"/>
    <n v="10938"/>
    <s v="1104-01"/>
    <n v="0"/>
    <n v="41638"/>
    <s v="Centralización recaudaciones febrero 2026 #2767 - #2767"/>
    <n v="-41638"/>
    <s v="Activo"/>
    <n v="-41638"/>
    <x v="9"/>
  </r>
  <r>
    <n v="2026"/>
    <n v="2"/>
    <s v="26-02-2026"/>
    <n v="10958"/>
    <s v="1104-01"/>
    <n v="0"/>
    <n v="38980"/>
    <s v="Centralización recaudaciones febrero 2026 #2787 - #2787"/>
    <n v="-38980"/>
    <s v="Activo"/>
    <n v="-38980"/>
    <x v="9"/>
  </r>
  <r>
    <n v="2026"/>
    <n v="2"/>
    <s v="26-02-2026"/>
    <n v="10969"/>
    <s v="1104-01"/>
    <n v="0"/>
    <n v="49980"/>
    <s v="Centralización recaudaciones febrero 2026 #2798 - #2798"/>
    <n v="-49980"/>
    <s v="Activo"/>
    <n v="-49980"/>
    <x v="9"/>
  </r>
  <r>
    <n v="2026"/>
    <n v="2"/>
    <s v="26-02-2026"/>
    <n v="11018"/>
    <s v="1104-01"/>
    <n v="0"/>
    <n v="54990"/>
    <s v="Centralización recaudaciones febrero 2026 #2847 - #2847"/>
    <n v="-54990"/>
    <s v="Activo"/>
    <n v="-54990"/>
    <x v="9"/>
  </r>
  <r>
    <n v="2026"/>
    <n v="2"/>
    <s v="26-02-2026"/>
    <n v="11030"/>
    <s v="1104-01"/>
    <n v="0"/>
    <n v="31471"/>
    <s v="Centralización recaudaciones febrero 2026 #2859 - #2859"/>
    <n v="-31471"/>
    <s v="Activo"/>
    <n v="-31471"/>
    <x v="9"/>
  </r>
  <r>
    <n v="2026"/>
    <n v="2"/>
    <s v="26-02-2026"/>
    <n v="11106"/>
    <s v="1104-01"/>
    <n v="0"/>
    <n v="2209792"/>
    <s v="0966893109 abn crd db tran transba"/>
    <n v="-2209792"/>
    <s v="Activo"/>
    <n v="-2209792"/>
    <x v="9"/>
  </r>
  <r>
    <n v="2026"/>
    <n v="2"/>
    <s v="26-02-2026"/>
    <n v="11107"/>
    <s v="1104-01"/>
    <n v="0"/>
    <n v="807505"/>
    <s v="0761872877 transf. khipu spa"/>
    <n v="-807505"/>
    <s v="Activo"/>
    <n v="-807505"/>
    <x v="9"/>
  </r>
  <r>
    <n v="2026"/>
    <n v="2"/>
    <s v="27-02-2026"/>
    <n v="10495"/>
    <s v="1104-01"/>
    <n v="0"/>
    <n v="7010"/>
    <s v="Centralización recaudaciones febrero 2026 #2324 - #2324"/>
    <n v="-7010"/>
    <s v="Activo"/>
    <n v="-7010"/>
    <x v="9"/>
  </r>
  <r>
    <n v="2026"/>
    <n v="2"/>
    <s v="27-02-2026"/>
    <n v="10507"/>
    <s v="1104-01"/>
    <n v="0"/>
    <n v="59930"/>
    <s v="Centralización recaudaciones febrero 2026 #2336 - #2336"/>
    <n v="-59930"/>
    <s v="Activo"/>
    <n v="-59930"/>
    <x v="9"/>
  </r>
  <r>
    <n v="2026"/>
    <n v="2"/>
    <s v="27-02-2026"/>
    <n v="10510"/>
    <s v="1104-01"/>
    <n v="0"/>
    <n v="66000"/>
    <s v="Centralización recaudaciones febrero 2026 #2339 - #2339"/>
    <n v="-66000"/>
    <s v="Activo"/>
    <n v="-66000"/>
    <x v="9"/>
  </r>
  <r>
    <n v="2026"/>
    <n v="2"/>
    <s v="27-02-2026"/>
    <n v="10512"/>
    <s v="1104-01"/>
    <n v="0"/>
    <n v="4392"/>
    <s v="Centralización recaudaciones febrero 2026 #2341 - #2341"/>
    <n v="-4392"/>
    <s v="Activo"/>
    <n v="-4392"/>
    <x v="9"/>
  </r>
  <r>
    <n v="2026"/>
    <n v="2"/>
    <s v="27-02-2026"/>
    <n v="10513"/>
    <s v="1104-01"/>
    <n v="0"/>
    <n v="30000"/>
    <s v="Centralización recaudaciones febrero 2026 #2342 - #2342"/>
    <n v="-30000"/>
    <s v="Activo"/>
    <n v="-30000"/>
    <x v="9"/>
  </r>
  <r>
    <n v="2026"/>
    <n v="2"/>
    <s v="27-02-2026"/>
    <n v="10521"/>
    <s v="1104-01"/>
    <n v="0"/>
    <n v="130100"/>
    <s v="Centralización recaudaciones febrero 2026 #2350 - #2350"/>
    <n v="-130100"/>
    <s v="Activo"/>
    <n v="-130100"/>
    <x v="9"/>
  </r>
  <r>
    <n v="2026"/>
    <n v="2"/>
    <s v="27-02-2026"/>
    <n v="10536"/>
    <s v="1104-01"/>
    <n v="0"/>
    <n v="32990"/>
    <s v="Centralización recaudaciones febrero 2026 #2365 - #2365"/>
    <n v="-32990"/>
    <s v="Activo"/>
    <n v="-32990"/>
    <x v="9"/>
  </r>
  <r>
    <n v="2026"/>
    <n v="2"/>
    <s v="27-02-2026"/>
    <n v="10539"/>
    <s v="1104-01"/>
    <n v="0"/>
    <n v="30000"/>
    <s v="Centralización recaudaciones febrero 2026 #2368 - #2368"/>
    <n v="-30000"/>
    <s v="Activo"/>
    <n v="-30000"/>
    <x v="9"/>
  </r>
  <r>
    <n v="2026"/>
    <n v="2"/>
    <s v="27-02-2026"/>
    <n v="10572"/>
    <s v="1104-01"/>
    <n v="0"/>
    <n v="30000"/>
    <s v="Centralización recaudaciones febrero 2026 #2401 - #2401"/>
    <n v="-30000"/>
    <s v="Activo"/>
    <n v="-30000"/>
    <x v="9"/>
  </r>
  <r>
    <n v="2026"/>
    <n v="2"/>
    <s v="27-02-2026"/>
    <n v="10586"/>
    <s v="1104-01"/>
    <n v="0"/>
    <n v="59991"/>
    <s v="Centralización recaudaciones febrero 2026 #2415 - #2415"/>
    <n v="-59991"/>
    <s v="Activo"/>
    <n v="-59991"/>
    <x v="9"/>
  </r>
  <r>
    <n v="2026"/>
    <n v="2"/>
    <s v="27-02-2026"/>
    <n v="10593"/>
    <s v="1104-01"/>
    <n v="0"/>
    <n v="59970"/>
    <s v="Centralización recaudaciones febrero 2026 #2422 - #2422"/>
    <n v="-59970"/>
    <s v="Activo"/>
    <n v="-59970"/>
    <x v="9"/>
  </r>
  <r>
    <n v="2026"/>
    <n v="2"/>
    <s v="27-02-2026"/>
    <n v="10626"/>
    <s v="1104-01"/>
    <n v="0"/>
    <n v="59950"/>
    <s v="Centralización recaudaciones febrero 2026 #2455 - #2455"/>
    <n v="-59950"/>
    <s v="Activo"/>
    <n v="-59950"/>
    <x v="9"/>
  </r>
  <r>
    <n v="2026"/>
    <n v="2"/>
    <s v="27-02-2026"/>
    <n v="10636"/>
    <s v="1104-01"/>
    <n v="0"/>
    <n v="50000"/>
    <s v="Centralización recaudaciones febrero 2026 #2465 - #2465"/>
    <n v="-50000"/>
    <s v="Activo"/>
    <n v="-50000"/>
    <x v="9"/>
  </r>
  <r>
    <n v="2026"/>
    <n v="2"/>
    <s v="27-02-2026"/>
    <n v="10644"/>
    <s v="1104-01"/>
    <n v="0"/>
    <n v="30000"/>
    <s v="Centralización recaudaciones febrero 2026 #2473 - #2473"/>
    <n v="-30000"/>
    <s v="Activo"/>
    <n v="-30000"/>
    <x v="9"/>
  </r>
  <r>
    <n v="2026"/>
    <n v="2"/>
    <s v="27-02-2026"/>
    <n v="10659"/>
    <s v="1104-01"/>
    <n v="0"/>
    <n v="30000"/>
    <s v="Centralización recaudaciones febrero 2026 #2488 - #2488"/>
    <n v="-30000"/>
    <s v="Activo"/>
    <n v="-30000"/>
    <x v="9"/>
  </r>
  <r>
    <n v="2026"/>
    <n v="2"/>
    <s v="27-02-2026"/>
    <n v="10678"/>
    <s v="1104-01"/>
    <n v="0"/>
    <n v="283758"/>
    <s v="Centralización recaudaciones febrero 2026 #2507 - #2507"/>
    <n v="-283758"/>
    <s v="Activo"/>
    <n v="-283758"/>
    <x v="9"/>
  </r>
  <r>
    <n v="2026"/>
    <n v="2"/>
    <s v="27-02-2026"/>
    <n v="10699"/>
    <s v="1104-01"/>
    <n v="0"/>
    <n v="30000"/>
    <s v="Centralización recaudaciones febrero 2026 #2528 - #2528"/>
    <n v="-30000"/>
    <s v="Activo"/>
    <n v="-30000"/>
    <x v="9"/>
  </r>
  <r>
    <n v="2026"/>
    <n v="2"/>
    <s v="27-02-2026"/>
    <n v="10717"/>
    <s v="1104-01"/>
    <n v="0"/>
    <n v="60980"/>
    <s v="Centralización recaudaciones febrero 2026 #2546 - #2546"/>
    <n v="-60980"/>
    <s v="Activo"/>
    <n v="-60980"/>
    <x v="9"/>
  </r>
  <r>
    <n v="2026"/>
    <n v="2"/>
    <s v="27-02-2026"/>
    <n v="10733"/>
    <s v="1104-01"/>
    <n v="0"/>
    <n v="169525"/>
    <s v="Centralización recaudaciones febrero 2026 #2562 - #2562"/>
    <n v="-169525"/>
    <s v="Activo"/>
    <n v="-169525"/>
    <x v="9"/>
  </r>
  <r>
    <n v="2026"/>
    <n v="2"/>
    <s v="27-02-2026"/>
    <n v="10736"/>
    <s v="1104-01"/>
    <n v="0"/>
    <n v="60980"/>
    <s v="Centralización recaudaciones febrero 2026 #2565 - #2565"/>
    <n v="-60980"/>
    <s v="Activo"/>
    <n v="-60980"/>
    <x v="9"/>
  </r>
  <r>
    <n v="2026"/>
    <n v="2"/>
    <s v="27-02-2026"/>
    <n v="10741"/>
    <s v="1104-01"/>
    <n v="0"/>
    <n v="15000"/>
    <s v="Centralización recaudaciones febrero 2026 #2570 - #2570"/>
    <n v="-15000"/>
    <s v="Activo"/>
    <n v="-15000"/>
    <x v="9"/>
  </r>
  <r>
    <n v="2026"/>
    <n v="2"/>
    <s v="27-02-2026"/>
    <n v="10767"/>
    <s v="1104-01"/>
    <n v="0"/>
    <n v="28480"/>
    <s v="Centralización recaudaciones febrero 2026 #2596 - #2596"/>
    <n v="-28480"/>
    <s v="Activo"/>
    <n v="-28480"/>
    <x v="9"/>
  </r>
  <r>
    <n v="2026"/>
    <n v="2"/>
    <s v="27-02-2026"/>
    <n v="10770"/>
    <s v="1104-01"/>
    <n v="0"/>
    <n v="71951"/>
    <s v="Centralización recaudaciones febrero 2026 #2599 - #2599"/>
    <n v="-71951"/>
    <s v="Activo"/>
    <n v="-71951"/>
    <x v="9"/>
  </r>
  <r>
    <n v="2026"/>
    <n v="2"/>
    <s v="27-02-2026"/>
    <n v="10775"/>
    <s v="1104-01"/>
    <n v="0"/>
    <n v="19990"/>
    <s v="Centralización recaudaciones febrero 2026 #2604 - #2604"/>
    <n v="-19990"/>
    <s v="Activo"/>
    <n v="-19990"/>
    <x v="9"/>
  </r>
  <r>
    <n v="2026"/>
    <n v="2"/>
    <s v="27-02-2026"/>
    <n v="10780"/>
    <s v="1104-01"/>
    <n v="0"/>
    <n v="21990"/>
    <s v="Centralización recaudaciones febrero 2026 #2609 - #2609"/>
    <n v="-21990"/>
    <s v="Activo"/>
    <n v="-21990"/>
    <x v="9"/>
  </r>
  <r>
    <n v="2026"/>
    <n v="2"/>
    <s v="27-02-2026"/>
    <n v="10821"/>
    <s v="1104-01"/>
    <n v="0"/>
    <n v="425637"/>
    <s v="Centralización recaudaciones febrero 2026 #2650 - #2650"/>
    <n v="-425637"/>
    <s v="Activo"/>
    <n v="-425637"/>
    <x v="9"/>
  </r>
  <r>
    <n v="2026"/>
    <n v="2"/>
    <s v="27-02-2026"/>
    <n v="10844"/>
    <s v="1104-01"/>
    <n v="0"/>
    <n v="1000"/>
    <s v="Centralización recaudaciones febrero 2026 #2673 - #2673"/>
    <n v="-1000"/>
    <s v="Activo"/>
    <n v="-1000"/>
    <x v="9"/>
  </r>
  <r>
    <n v="2026"/>
    <n v="2"/>
    <s v="27-02-2026"/>
    <n v="10848"/>
    <s v="1104-01"/>
    <n v="0"/>
    <n v="32058"/>
    <s v="Centralización recaudaciones febrero 2026 #2677 - #2677"/>
    <n v="-32058"/>
    <s v="Activo"/>
    <n v="-32058"/>
    <x v="9"/>
  </r>
  <r>
    <n v="2026"/>
    <n v="2"/>
    <s v="27-02-2026"/>
    <n v="10857"/>
    <s v="1104-01"/>
    <n v="0"/>
    <n v="33990"/>
    <s v="Centralización recaudaciones febrero 2026 #2686 - #2686"/>
    <n v="-33990"/>
    <s v="Activo"/>
    <n v="-33990"/>
    <x v="9"/>
  </r>
  <r>
    <n v="2026"/>
    <n v="2"/>
    <s v="27-02-2026"/>
    <n v="10868"/>
    <s v="1104-01"/>
    <n v="0"/>
    <n v="50707"/>
    <s v="Centralización recaudaciones febrero 2026 #2697 - #2697"/>
    <n v="-50707"/>
    <s v="Activo"/>
    <n v="-50707"/>
    <x v="9"/>
  </r>
  <r>
    <n v="2026"/>
    <n v="2"/>
    <s v="27-02-2026"/>
    <n v="10879"/>
    <s v="1104-01"/>
    <n v="0"/>
    <n v="200789"/>
    <s v="Centralización recaudaciones febrero 2026 #2708 - #2708"/>
    <n v="-200789"/>
    <s v="Activo"/>
    <n v="-200789"/>
    <x v="9"/>
  </r>
  <r>
    <n v="2026"/>
    <n v="2"/>
    <s v="27-02-2026"/>
    <n v="10902"/>
    <s v="1104-01"/>
    <n v="0"/>
    <n v="29990"/>
    <s v="Centralización recaudaciones febrero 2026 #2731 - #2731"/>
    <n v="-29990"/>
    <s v="Activo"/>
    <n v="-29990"/>
    <x v="9"/>
  </r>
  <r>
    <n v="2026"/>
    <n v="2"/>
    <s v="27-02-2026"/>
    <n v="10961"/>
    <s v="1104-01"/>
    <n v="0"/>
    <n v="33990"/>
    <s v="Centralización recaudaciones febrero 2026 #2790 - #2790"/>
    <n v="-33990"/>
    <s v="Activo"/>
    <n v="-33990"/>
    <x v="9"/>
  </r>
  <r>
    <n v="2026"/>
    <n v="2"/>
    <s v="27-02-2026"/>
    <n v="10973"/>
    <s v="1104-01"/>
    <n v="0"/>
    <n v="33990"/>
    <s v="Centralización recaudaciones febrero 2026 #2802 - #2802"/>
    <n v="-33990"/>
    <s v="Activo"/>
    <n v="-33990"/>
    <x v="9"/>
  </r>
  <r>
    <n v="2026"/>
    <n v="2"/>
    <s v="27-02-2026"/>
    <n v="10978"/>
    <s v="1104-01"/>
    <n v="0"/>
    <n v="65990"/>
    <s v="Centralización recaudaciones febrero 2026 #2807 - #2807"/>
    <n v="-65990"/>
    <s v="Activo"/>
    <n v="-65990"/>
    <x v="9"/>
  </r>
  <r>
    <n v="2026"/>
    <n v="2"/>
    <s v="27-02-2026"/>
    <n v="11011"/>
    <s v="1104-01"/>
    <n v="0"/>
    <n v="2478885"/>
    <s v="Centralización recaudaciones febrero 2026 #2840 - #2840"/>
    <n v="-2478885"/>
    <s v="Activo"/>
    <n v="-2478885"/>
    <x v="9"/>
  </r>
  <r>
    <n v="2026"/>
    <n v="2"/>
    <s v="27-02-2026"/>
    <n v="11027"/>
    <s v="1104-01"/>
    <n v="0"/>
    <n v="30000"/>
    <s v="Centralización recaudaciones febrero 2026 #2856 - #2856"/>
    <n v="-30000"/>
    <s v="Activo"/>
    <n v="-30000"/>
    <x v="9"/>
  </r>
  <r>
    <n v="2026"/>
    <n v="2"/>
    <s v="27-02-2026"/>
    <n v="11029"/>
    <s v="1104-01"/>
    <n v="0"/>
    <n v="8530"/>
    <s v="Centralización recaudaciones febrero 2026 #2858 - #2858"/>
    <n v="-8530"/>
    <s v="Activo"/>
    <n v="-8530"/>
    <x v="9"/>
  </r>
  <r>
    <n v="2026"/>
    <n v="2"/>
    <s v="27-02-2026"/>
    <n v="11108"/>
    <s v="1104-01"/>
    <n v="0"/>
    <n v="8319430"/>
    <s v="0966893109 abn crd db tran transba"/>
    <n v="-8319430"/>
    <s v="Activo"/>
    <n v="-8319430"/>
    <x v="9"/>
  </r>
  <r>
    <n v="2026"/>
    <n v="2"/>
    <s v="27-02-2026"/>
    <n v="11113"/>
    <s v="1104-01"/>
    <n v="0"/>
    <n v="463217"/>
    <s v="0761872877 transf. khipu spa"/>
    <n v="-463217"/>
    <s v="Activo"/>
    <n v="-463217"/>
    <x v="9"/>
  </r>
  <r>
    <n v="2026"/>
    <n v="2"/>
    <s v="28-02-2026"/>
    <n v="9828"/>
    <s v="1104-01"/>
    <n v="40000"/>
    <n v="0"/>
    <s v="Centralización ventas febrero 2026  #37383 - valor total"/>
    <n v="40000"/>
    <s v="Activo"/>
    <n v="40000"/>
    <x v="9"/>
  </r>
  <r>
    <n v="2026"/>
    <n v="2"/>
    <s v="28-02-2026"/>
    <n v="9829"/>
    <s v="1104-01"/>
    <n v="24990"/>
    <n v="0"/>
    <s v="Centralización ventas febrero 2026  #37357 - valor total"/>
    <n v="24990"/>
    <s v="Activo"/>
    <n v="24990"/>
    <x v="9"/>
  </r>
  <r>
    <n v="2026"/>
    <n v="2"/>
    <s v="28-02-2026"/>
    <n v="9830"/>
    <s v="1104-01"/>
    <n v="29990"/>
    <n v="0"/>
    <s v="Centralización ventas febrero 2026  #37355 - valor total"/>
    <n v="29990"/>
    <s v="Activo"/>
    <n v="29990"/>
    <x v="9"/>
  </r>
  <r>
    <n v="2026"/>
    <n v="2"/>
    <s v="28-02-2026"/>
    <n v="9831"/>
    <s v="1104-01"/>
    <n v="40000"/>
    <n v="0"/>
    <s v="Centralización ventas febrero 2026  #37366 - valor total"/>
    <n v="40000"/>
    <s v="Activo"/>
    <n v="40000"/>
    <x v="9"/>
  </r>
  <r>
    <n v="2026"/>
    <n v="2"/>
    <s v="28-02-2026"/>
    <n v="9832"/>
    <s v="1104-01"/>
    <n v="64980"/>
    <n v="0"/>
    <s v="Centralización ventas febrero 2026  #37367 - valor total"/>
    <n v="64980"/>
    <s v="Activo"/>
    <n v="64980"/>
    <x v="9"/>
  </r>
  <r>
    <n v="2026"/>
    <n v="2"/>
    <s v="28-02-2026"/>
    <n v="9833"/>
    <s v="1104-01"/>
    <n v="59990"/>
    <n v="0"/>
    <s v="Centralización ventas febrero 2026  #37385 - valor total"/>
    <n v="59990"/>
    <s v="Activo"/>
    <n v="59990"/>
    <x v="9"/>
  </r>
  <r>
    <n v="2026"/>
    <n v="2"/>
    <s v="28-02-2026"/>
    <n v="9834"/>
    <s v="1104-01"/>
    <n v="57991"/>
    <n v="0"/>
    <s v="Centralización ventas febrero 2026  #37351 - valor total"/>
    <n v="57991"/>
    <s v="Activo"/>
    <n v="57991"/>
    <x v="9"/>
  </r>
  <r>
    <n v="2026"/>
    <n v="2"/>
    <s v="28-02-2026"/>
    <n v="9835"/>
    <s v="1104-01"/>
    <n v="39990"/>
    <n v="0"/>
    <s v="Centralización ventas febrero 2026  #37358 - valor total"/>
    <n v="39990"/>
    <s v="Activo"/>
    <n v="39990"/>
    <x v="9"/>
  </r>
  <r>
    <n v="2026"/>
    <n v="2"/>
    <s v="28-02-2026"/>
    <n v="9836"/>
    <s v="1104-01"/>
    <n v="59920"/>
    <n v="0"/>
    <s v="Centralización ventas febrero 2026  #37359 - valor total"/>
    <n v="59920"/>
    <s v="Activo"/>
    <n v="59920"/>
    <x v="9"/>
  </r>
  <r>
    <n v="2026"/>
    <n v="2"/>
    <s v="28-02-2026"/>
    <n v="9837"/>
    <s v="1104-01"/>
    <n v="74990"/>
    <n v="0"/>
    <s v="Centralización ventas febrero 2026  #37377 - valor total"/>
    <n v="74990"/>
    <s v="Activo"/>
    <n v="74990"/>
    <x v="9"/>
  </r>
  <r>
    <n v="2026"/>
    <n v="2"/>
    <s v="28-02-2026"/>
    <n v="9838"/>
    <s v="1104-01"/>
    <n v="153747"/>
    <n v="0"/>
    <s v="Centralización ventas febrero 2026  #37390 - valor total"/>
    <n v="153747"/>
    <s v="Activo"/>
    <n v="153747"/>
    <x v="9"/>
  </r>
  <r>
    <n v="2026"/>
    <n v="2"/>
    <s v="28-02-2026"/>
    <n v="9839"/>
    <s v="1104-01"/>
    <n v="69999"/>
    <n v="0"/>
    <s v="Centralización ventas febrero 2026  #37402 - valor total"/>
    <n v="69999"/>
    <s v="Activo"/>
    <n v="69999"/>
    <x v="9"/>
  </r>
  <r>
    <n v="2026"/>
    <n v="2"/>
    <s v="28-02-2026"/>
    <n v="9840"/>
    <s v="1104-01"/>
    <n v="244900"/>
    <n v="0"/>
    <s v="Centralización ventas febrero 2026  #37404 - valor total"/>
    <n v="244900"/>
    <s v="Activo"/>
    <n v="244900"/>
    <x v="9"/>
  </r>
  <r>
    <n v="2026"/>
    <n v="2"/>
    <s v="28-02-2026"/>
    <n v="9841"/>
    <s v="1104-01"/>
    <n v="116979"/>
    <n v="0"/>
    <s v="Centralización ventas febrero 2026  #37950 - valor total"/>
    <n v="116979"/>
    <s v="Activo"/>
    <n v="116979"/>
    <x v="9"/>
  </r>
  <r>
    <n v="2026"/>
    <n v="2"/>
    <s v="28-02-2026"/>
    <n v="9842"/>
    <s v="1104-01"/>
    <n v="56980"/>
    <n v="0"/>
    <s v="Centralización ventas febrero 2026  #37329 - valor total"/>
    <n v="56980"/>
    <s v="Activo"/>
    <n v="56980"/>
    <x v="9"/>
  </r>
  <r>
    <n v="2026"/>
    <n v="2"/>
    <s v="28-02-2026"/>
    <n v="9843"/>
    <s v="1104-01"/>
    <n v="30000"/>
    <n v="0"/>
    <s v="Centralización ventas febrero 2026  #37331 - valor total"/>
    <n v="30000"/>
    <s v="Activo"/>
    <n v="30000"/>
    <x v="9"/>
  </r>
  <r>
    <n v="2026"/>
    <n v="2"/>
    <s v="28-02-2026"/>
    <n v="9844"/>
    <s v="1104-01"/>
    <n v="68989"/>
    <n v="0"/>
    <s v="Centralización ventas febrero 2026  #37340 - valor total"/>
    <n v="68989"/>
    <s v="Activo"/>
    <n v="68989"/>
    <x v="9"/>
  </r>
  <r>
    <n v="2026"/>
    <n v="2"/>
    <s v="28-02-2026"/>
    <n v="9845"/>
    <s v="1104-01"/>
    <n v="52980"/>
    <n v="0"/>
    <s v="Centralización ventas febrero 2026  #37343 - valor total"/>
    <n v="52980"/>
    <s v="Activo"/>
    <n v="52980"/>
    <x v="9"/>
  </r>
  <r>
    <n v="2026"/>
    <n v="2"/>
    <s v="28-02-2026"/>
    <n v="9846"/>
    <s v="1104-01"/>
    <n v="113503"/>
    <n v="0"/>
    <s v="Centralización ventas febrero 2026  #37352 - valor total"/>
    <n v="113503"/>
    <s v="Activo"/>
    <n v="113503"/>
    <x v="9"/>
  </r>
  <r>
    <n v="2026"/>
    <n v="2"/>
    <s v="28-02-2026"/>
    <n v="9847"/>
    <s v="1104-01"/>
    <n v="66001"/>
    <n v="0"/>
    <s v="Centralización ventas febrero 2026  #37362 - valor total"/>
    <n v="66001"/>
    <s v="Activo"/>
    <n v="66001"/>
    <x v="9"/>
  </r>
  <r>
    <n v="2026"/>
    <n v="2"/>
    <s v="28-02-2026"/>
    <n v="9848"/>
    <s v="1104-01"/>
    <n v="59990"/>
    <n v="0"/>
    <s v="Centralización ventas febrero 2026  #37365 - valor total"/>
    <n v="59990"/>
    <s v="Activo"/>
    <n v="59990"/>
    <x v="9"/>
  </r>
  <r>
    <n v="2026"/>
    <n v="2"/>
    <s v="28-02-2026"/>
    <n v="9849"/>
    <s v="1104-01"/>
    <n v="25990"/>
    <n v="0"/>
    <s v="Centralización ventas febrero 2026  #37373 - valor total"/>
    <n v="25990"/>
    <s v="Activo"/>
    <n v="25990"/>
    <x v="9"/>
  </r>
  <r>
    <n v="2026"/>
    <n v="2"/>
    <s v="28-02-2026"/>
    <n v="9850"/>
    <s v="1104-01"/>
    <n v="30000"/>
    <n v="0"/>
    <s v="Centralización ventas febrero 2026  #37375 - valor total"/>
    <n v="30000"/>
    <s v="Activo"/>
    <n v="30000"/>
    <x v="9"/>
  </r>
  <r>
    <n v="2026"/>
    <n v="2"/>
    <s v="28-02-2026"/>
    <n v="9851"/>
    <s v="1104-01"/>
    <n v="120000"/>
    <n v="0"/>
    <s v="Centralización ventas febrero 2026  #37379 - valor total"/>
    <n v="120000"/>
    <s v="Activo"/>
    <n v="120000"/>
    <x v="9"/>
  </r>
  <r>
    <n v="2026"/>
    <n v="2"/>
    <s v="28-02-2026"/>
    <n v="9852"/>
    <s v="1104-01"/>
    <n v="140980"/>
    <n v="0"/>
    <s v="Centralización ventas febrero 2026  #37386 - valor total"/>
    <n v="140980"/>
    <s v="Activo"/>
    <n v="140980"/>
    <x v="9"/>
  </r>
  <r>
    <n v="2026"/>
    <n v="2"/>
    <s v="28-02-2026"/>
    <n v="9853"/>
    <s v="1104-01"/>
    <n v="30000"/>
    <n v="0"/>
    <s v="Centralización ventas febrero 2026  #37395 - valor total"/>
    <n v="30000"/>
    <s v="Activo"/>
    <n v="30000"/>
    <x v="9"/>
  </r>
  <r>
    <n v="2026"/>
    <n v="2"/>
    <s v="28-02-2026"/>
    <n v="9854"/>
    <s v="1104-01"/>
    <n v="50000"/>
    <n v="0"/>
    <s v="Centralización ventas febrero 2026  #37401 - valor total"/>
    <n v="50000"/>
    <s v="Activo"/>
    <n v="50000"/>
    <x v="9"/>
  </r>
  <r>
    <n v="2026"/>
    <n v="2"/>
    <s v="28-02-2026"/>
    <n v="9855"/>
    <s v="1104-01"/>
    <n v="30000"/>
    <n v="0"/>
    <s v="Centralización ventas febrero 2026  #37405 - valor total"/>
    <n v="30000"/>
    <s v="Activo"/>
    <n v="30000"/>
    <x v="9"/>
  </r>
  <r>
    <n v="2026"/>
    <n v="2"/>
    <s v="28-02-2026"/>
    <n v="9856"/>
    <s v="1104-01"/>
    <n v="29990"/>
    <n v="0"/>
    <s v="Centralización ventas febrero 2026  #37410 - valor total"/>
    <n v="29990"/>
    <s v="Activo"/>
    <n v="29990"/>
    <x v="9"/>
  </r>
  <r>
    <n v="2026"/>
    <n v="2"/>
    <s v="28-02-2026"/>
    <n v="9857"/>
    <s v="1104-01"/>
    <n v="197921"/>
    <n v="0"/>
    <s v="Centralización ventas febrero 2026  #37415 - valor total"/>
    <n v="197921"/>
    <s v="Activo"/>
    <n v="197921"/>
    <x v="9"/>
  </r>
  <r>
    <n v="2026"/>
    <n v="2"/>
    <s v="28-02-2026"/>
    <n v="9858"/>
    <s v="1104-01"/>
    <n v="90980"/>
    <n v="0"/>
    <s v="Centralización ventas febrero 2026  #37326 - valor total"/>
    <n v="90980"/>
    <s v="Activo"/>
    <n v="90980"/>
    <x v="9"/>
  </r>
  <r>
    <n v="2026"/>
    <n v="2"/>
    <s v="28-02-2026"/>
    <n v="9859"/>
    <s v="1104-01"/>
    <n v="30000"/>
    <n v="0"/>
    <s v="Centralización ventas febrero 2026  #37332 - valor total"/>
    <n v="30000"/>
    <s v="Activo"/>
    <n v="30000"/>
    <x v="9"/>
  </r>
  <r>
    <n v="2026"/>
    <n v="2"/>
    <s v="28-02-2026"/>
    <n v="9860"/>
    <s v="1104-01"/>
    <n v="40000"/>
    <n v="0"/>
    <s v="Centralización ventas febrero 2026  #37361 - valor total"/>
    <n v="40000"/>
    <s v="Activo"/>
    <n v="40000"/>
    <x v="9"/>
  </r>
  <r>
    <n v="2026"/>
    <n v="2"/>
    <s v="28-02-2026"/>
    <n v="9861"/>
    <s v="1104-01"/>
    <n v="30000"/>
    <n v="0"/>
    <s v="Centralización ventas febrero 2026  #37363 - valor total"/>
    <n v="30000"/>
    <s v="Activo"/>
    <n v="30000"/>
    <x v="9"/>
  </r>
  <r>
    <n v="2026"/>
    <n v="2"/>
    <s v="28-02-2026"/>
    <n v="9862"/>
    <s v="1104-01"/>
    <n v="30000"/>
    <n v="0"/>
    <s v="Centralización ventas febrero 2026  #37368 - valor total"/>
    <n v="30000"/>
    <s v="Activo"/>
    <n v="30000"/>
    <x v="9"/>
  </r>
  <r>
    <n v="2026"/>
    <n v="2"/>
    <s v="28-02-2026"/>
    <n v="9863"/>
    <s v="1104-01"/>
    <n v="386907"/>
    <n v="0"/>
    <s v="Centralización ventas febrero 2026  #37369 - valor total"/>
    <n v="386907"/>
    <s v="Activo"/>
    <n v="386907"/>
    <x v="9"/>
  </r>
  <r>
    <n v="2026"/>
    <n v="2"/>
    <s v="28-02-2026"/>
    <n v="9864"/>
    <s v="1104-01"/>
    <n v="30000"/>
    <n v="0"/>
    <s v="Centralización ventas febrero 2026  #37371 - valor total"/>
    <n v="30000"/>
    <s v="Activo"/>
    <n v="30000"/>
    <x v="9"/>
  </r>
  <r>
    <n v="2026"/>
    <n v="2"/>
    <s v="28-02-2026"/>
    <n v="9865"/>
    <s v="1104-01"/>
    <n v="113503"/>
    <n v="0"/>
    <s v="Centralización ventas febrero 2026  #37374 - valor total"/>
    <n v="113503"/>
    <s v="Activo"/>
    <n v="113503"/>
    <x v="9"/>
  </r>
  <r>
    <n v="2026"/>
    <n v="2"/>
    <s v="28-02-2026"/>
    <n v="9866"/>
    <s v="1104-01"/>
    <n v="70053"/>
    <n v="0"/>
    <s v="Centralización ventas febrero 2026  #37376 - valor total"/>
    <n v="70053"/>
    <s v="Activo"/>
    <n v="70053"/>
    <x v="9"/>
  </r>
  <r>
    <n v="2026"/>
    <n v="2"/>
    <s v="28-02-2026"/>
    <n v="9867"/>
    <s v="1104-01"/>
    <n v="30000"/>
    <n v="0"/>
    <s v="Centralización ventas febrero 2026  #37378 - valor total"/>
    <n v="30000"/>
    <s v="Activo"/>
    <n v="30000"/>
    <x v="9"/>
  </r>
  <r>
    <n v="2026"/>
    <n v="2"/>
    <s v="28-02-2026"/>
    <n v="9868"/>
    <s v="1104-01"/>
    <n v="30000"/>
    <n v="0"/>
    <s v="Centralización ventas febrero 2026  #37380 - valor total"/>
    <n v="30000"/>
    <s v="Activo"/>
    <n v="30000"/>
    <x v="9"/>
  </r>
  <r>
    <n v="2026"/>
    <n v="2"/>
    <s v="28-02-2026"/>
    <n v="9869"/>
    <s v="1104-01"/>
    <n v="283399"/>
    <n v="0"/>
    <s v="Centralización ventas febrero 2026  #37382 - valor total"/>
    <n v="283399"/>
    <s v="Activo"/>
    <n v="283399"/>
    <x v="9"/>
  </r>
  <r>
    <n v="2026"/>
    <n v="2"/>
    <s v="28-02-2026"/>
    <n v="9870"/>
    <s v="1104-01"/>
    <n v="59990"/>
    <n v="0"/>
    <s v="Centralización ventas febrero 2026  #37391 - valor total"/>
    <n v="59990"/>
    <s v="Activo"/>
    <n v="59990"/>
    <x v="9"/>
  </r>
  <r>
    <n v="2026"/>
    <n v="2"/>
    <s v="28-02-2026"/>
    <n v="9871"/>
    <s v="1104-01"/>
    <n v="104000"/>
    <n v="0"/>
    <s v="Centralización ventas febrero 2026  #37392 - valor total"/>
    <n v="104000"/>
    <s v="Activo"/>
    <n v="104000"/>
    <x v="9"/>
  </r>
  <r>
    <n v="2026"/>
    <n v="2"/>
    <s v="28-02-2026"/>
    <n v="9872"/>
    <s v="1104-01"/>
    <n v="30000"/>
    <n v="0"/>
    <s v="Centralización ventas febrero 2026  #37394 - valor total"/>
    <n v="30000"/>
    <s v="Activo"/>
    <n v="30000"/>
    <x v="9"/>
  </r>
  <r>
    <n v="2026"/>
    <n v="2"/>
    <s v="28-02-2026"/>
    <n v="9873"/>
    <s v="1104-01"/>
    <n v="40000"/>
    <n v="0"/>
    <s v="Centralización ventas febrero 2026  #37397 - valor total"/>
    <n v="40000"/>
    <s v="Activo"/>
    <n v="40000"/>
    <x v="9"/>
  </r>
  <r>
    <n v="2026"/>
    <n v="2"/>
    <s v="28-02-2026"/>
    <n v="9874"/>
    <s v="1104-01"/>
    <n v="264393"/>
    <n v="0"/>
    <s v="Centralización ventas febrero 2026  #37399 - valor total"/>
    <n v="264393"/>
    <s v="Activo"/>
    <n v="264393"/>
    <x v="9"/>
  </r>
  <r>
    <n v="2026"/>
    <n v="2"/>
    <s v="28-02-2026"/>
    <n v="9875"/>
    <s v="1104-01"/>
    <n v="30000"/>
    <n v="0"/>
    <s v="Centralización ventas febrero 2026  #37400 - valor total"/>
    <n v="30000"/>
    <s v="Activo"/>
    <n v="30000"/>
    <x v="9"/>
  </r>
  <r>
    <n v="2026"/>
    <n v="2"/>
    <s v="28-02-2026"/>
    <n v="9876"/>
    <s v="1104-01"/>
    <n v="130100"/>
    <n v="0"/>
    <s v="Centralización ventas febrero 2026  #37406 - valor total"/>
    <n v="130100"/>
    <s v="Activo"/>
    <n v="130100"/>
    <x v="9"/>
  </r>
  <r>
    <n v="2026"/>
    <n v="2"/>
    <s v="28-02-2026"/>
    <n v="9877"/>
    <s v="1104-01"/>
    <n v="30000"/>
    <n v="0"/>
    <s v="Centralización ventas febrero 2026  #37408 - valor total"/>
    <n v="30000"/>
    <s v="Activo"/>
    <n v="30000"/>
    <x v="9"/>
  </r>
  <r>
    <n v="2026"/>
    <n v="2"/>
    <s v="28-02-2026"/>
    <n v="9878"/>
    <s v="1104-01"/>
    <n v="48000"/>
    <n v="0"/>
    <s v="Centralización ventas febrero 2026  #37412 - valor total"/>
    <n v="48000"/>
    <s v="Activo"/>
    <n v="48000"/>
    <x v="9"/>
  </r>
  <r>
    <n v="2026"/>
    <n v="2"/>
    <s v="28-02-2026"/>
    <n v="9879"/>
    <s v="1104-01"/>
    <n v="70000"/>
    <n v="0"/>
    <s v="Centralización ventas febrero 2026  #37414 - valor total"/>
    <n v="70000"/>
    <s v="Activo"/>
    <n v="70000"/>
    <x v="9"/>
  </r>
  <r>
    <n v="2026"/>
    <n v="2"/>
    <s v="28-02-2026"/>
    <n v="9880"/>
    <s v="1104-01"/>
    <n v="35000"/>
    <n v="0"/>
    <s v="Centralización ventas febrero 2026  #37418 - valor total"/>
    <n v="35000"/>
    <s v="Activo"/>
    <n v="35000"/>
    <x v="9"/>
  </r>
  <r>
    <n v="2026"/>
    <n v="2"/>
    <s v="28-02-2026"/>
    <n v="9881"/>
    <s v="1104-01"/>
    <n v="45000"/>
    <n v="0"/>
    <s v="Centralización ventas febrero 2026  #37427 - valor total"/>
    <n v="45000"/>
    <s v="Activo"/>
    <n v="45000"/>
    <x v="9"/>
  </r>
  <r>
    <n v="2026"/>
    <n v="2"/>
    <s v="28-02-2026"/>
    <n v="9882"/>
    <s v="1104-01"/>
    <n v="30000"/>
    <n v="0"/>
    <s v="Centralización ventas febrero 2026  #37428 - valor total"/>
    <n v="30000"/>
    <s v="Activo"/>
    <n v="30000"/>
    <x v="9"/>
  </r>
  <r>
    <n v="2026"/>
    <n v="2"/>
    <s v="28-02-2026"/>
    <n v="9883"/>
    <s v="1104-01"/>
    <n v="108990"/>
    <n v="0"/>
    <s v="Centralización ventas febrero 2026  #37430 - valor total"/>
    <n v="108990"/>
    <s v="Activo"/>
    <n v="108990"/>
    <x v="9"/>
  </r>
  <r>
    <n v="2026"/>
    <n v="2"/>
    <s v="28-02-2026"/>
    <n v="9884"/>
    <s v="1104-01"/>
    <n v="40000"/>
    <n v="0"/>
    <s v="Centralización ventas febrero 2026  #37434 - valor total"/>
    <n v="40000"/>
    <s v="Activo"/>
    <n v="40000"/>
    <x v="9"/>
  </r>
  <r>
    <n v="2026"/>
    <n v="2"/>
    <s v="28-02-2026"/>
    <n v="9885"/>
    <s v="1104-01"/>
    <n v="29990"/>
    <n v="0"/>
    <s v="Centralización ventas febrero 2026  #37467 - valor total"/>
    <n v="29990"/>
    <s v="Activo"/>
    <n v="29990"/>
    <x v="9"/>
  </r>
  <r>
    <n v="2026"/>
    <n v="2"/>
    <s v="28-02-2026"/>
    <n v="9886"/>
    <s v="1104-01"/>
    <n v="139980"/>
    <n v="0"/>
    <s v="Centralización ventas febrero 2026  #37730 - valor total"/>
    <n v="139980"/>
    <s v="Activo"/>
    <n v="139980"/>
    <x v="9"/>
  </r>
  <r>
    <n v="2026"/>
    <n v="2"/>
    <s v="28-02-2026"/>
    <n v="9887"/>
    <s v="1104-01"/>
    <n v="131578"/>
    <n v="0"/>
    <s v="Centralización ventas febrero 2026  #37789 - valor total"/>
    <n v="131578"/>
    <s v="Activo"/>
    <n v="131578"/>
    <x v="9"/>
  </r>
  <r>
    <n v="2026"/>
    <n v="2"/>
    <s v="28-02-2026"/>
    <n v="9888"/>
    <s v="1104-01"/>
    <n v="49990"/>
    <n v="0"/>
    <s v="Centralización ventas febrero 2026  #37816 - valor total"/>
    <n v="49990"/>
    <s v="Activo"/>
    <n v="49990"/>
    <x v="9"/>
  </r>
  <r>
    <n v="2026"/>
    <n v="2"/>
    <s v="28-02-2026"/>
    <n v="9889"/>
    <s v="1104-01"/>
    <n v="30000"/>
    <n v="0"/>
    <s v="Centralización ventas febrero 2026  #37878 - valor total"/>
    <n v="30000"/>
    <s v="Activo"/>
    <n v="30000"/>
    <x v="9"/>
  </r>
  <r>
    <n v="2026"/>
    <n v="2"/>
    <s v="28-02-2026"/>
    <n v="9890"/>
    <s v="1104-01"/>
    <n v="51991"/>
    <n v="0"/>
    <s v="Centralización ventas febrero 2026  #37324 - valor total"/>
    <n v="51991"/>
    <s v="Activo"/>
    <n v="51991"/>
    <x v="9"/>
  </r>
  <r>
    <n v="2026"/>
    <n v="2"/>
    <s v="28-02-2026"/>
    <n v="9891"/>
    <s v="1104-01"/>
    <n v="28990"/>
    <n v="0"/>
    <s v="Centralización ventas febrero 2026  #37333 - valor total"/>
    <n v="28990"/>
    <s v="Activo"/>
    <n v="28990"/>
    <x v="9"/>
  </r>
  <r>
    <n v="2026"/>
    <n v="2"/>
    <s v="28-02-2026"/>
    <n v="9892"/>
    <s v="1104-01"/>
    <n v="40000"/>
    <n v="0"/>
    <s v="Centralización ventas febrero 2026  #37334 - valor total"/>
    <n v="40000"/>
    <s v="Activo"/>
    <n v="40000"/>
    <x v="9"/>
  </r>
  <r>
    <n v="2026"/>
    <n v="2"/>
    <s v="28-02-2026"/>
    <n v="9893"/>
    <s v="1104-01"/>
    <n v="32000"/>
    <n v="0"/>
    <s v="Centralización ventas febrero 2026  #37335 - valor total"/>
    <n v="32000"/>
    <s v="Activo"/>
    <n v="32000"/>
    <x v="9"/>
  </r>
  <r>
    <n v="2026"/>
    <n v="2"/>
    <s v="28-02-2026"/>
    <n v="9894"/>
    <s v="1104-01"/>
    <n v="40000"/>
    <n v="0"/>
    <s v="Centralización ventas febrero 2026  #37336 - valor total"/>
    <n v="40000"/>
    <s v="Activo"/>
    <n v="40000"/>
    <x v="9"/>
  </r>
  <r>
    <n v="2026"/>
    <n v="2"/>
    <s v="28-02-2026"/>
    <n v="9895"/>
    <s v="1104-01"/>
    <n v="30000"/>
    <n v="0"/>
    <s v="Centralización ventas febrero 2026  #37338 - valor total"/>
    <n v="30000"/>
    <s v="Activo"/>
    <n v="30000"/>
    <x v="9"/>
  </r>
  <r>
    <n v="2026"/>
    <n v="2"/>
    <s v="28-02-2026"/>
    <n v="9896"/>
    <s v="1104-01"/>
    <n v="114385"/>
    <n v="0"/>
    <s v="Centralización ventas febrero 2026  #37344 - valor total"/>
    <n v="114385"/>
    <s v="Activo"/>
    <n v="114385"/>
    <x v="9"/>
  </r>
  <r>
    <n v="2026"/>
    <n v="2"/>
    <s v="28-02-2026"/>
    <n v="9897"/>
    <s v="1104-01"/>
    <n v="101989"/>
    <n v="0"/>
    <s v="Centralización ventas febrero 2026  #37346 - valor total"/>
    <n v="101989"/>
    <s v="Activo"/>
    <n v="101989"/>
    <x v="9"/>
  </r>
  <r>
    <n v="2026"/>
    <n v="2"/>
    <s v="28-02-2026"/>
    <n v="9898"/>
    <s v="1104-01"/>
    <n v="34990"/>
    <n v="0"/>
    <s v="Centralización ventas febrero 2026  #37348 - valor total"/>
    <n v="34990"/>
    <s v="Activo"/>
    <n v="34990"/>
    <x v="9"/>
  </r>
  <r>
    <n v="2026"/>
    <n v="2"/>
    <s v="28-02-2026"/>
    <n v="9899"/>
    <s v="1104-01"/>
    <n v="30000"/>
    <n v="0"/>
    <s v="Centralización ventas febrero 2026  #37356 - valor total"/>
    <n v="30000"/>
    <s v="Activo"/>
    <n v="30000"/>
    <x v="9"/>
  </r>
  <r>
    <n v="2026"/>
    <n v="2"/>
    <s v="28-02-2026"/>
    <n v="9900"/>
    <s v="1104-01"/>
    <n v="29990"/>
    <n v="0"/>
    <s v="Centralización ventas febrero 2026  #37372 - valor total"/>
    <n v="29990"/>
    <s v="Activo"/>
    <n v="29990"/>
    <x v="9"/>
  </r>
  <r>
    <n v="2026"/>
    <n v="2"/>
    <s v="28-02-2026"/>
    <n v="9901"/>
    <s v="1104-01"/>
    <n v="30000"/>
    <n v="0"/>
    <s v="Centralización ventas febrero 2026  #37387 - valor total"/>
    <n v="30000"/>
    <s v="Activo"/>
    <n v="30000"/>
    <x v="9"/>
  </r>
  <r>
    <n v="2026"/>
    <n v="2"/>
    <s v="28-02-2026"/>
    <n v="9902"/>
    <s v="1104-01"/>
    <n v="119613"/>
    <n v="0"/>
    <s v="Centralización ventas febrero 2026  #37388 - valor total"/>
    <n v="119613"/>
    <s v="Activo"/>
    <n v="119613"/>
    <x v="9"/>
  </r>
  <r>
    <n v="2026"/>
    <n v="2"/>
    <s v="28-02-2026"/>
    <n v="9903"/>
    <s v="1104-01"/>
    <n v="30000"/>
    <n v="0"/>
    <s v="Centralización ventas febrero 2026  #37389 - valor total"/>
    <n v="30000"/>
    <s v="Activo"/>
    <n v="30000"/>
    <x v="9"/>
  </r>
  <r>
    <n v="2026"/>
    <n v="2"/>
    <s v="28-02-2026"/>
    <n v="9904"/>
    <s v="1104-01"/>
    <n v="29990"/>
    <n v="0"/>
    <s v="Centralización ventas febrero 2026  #37393 - valor total"/>
    <n v="29990"/>
    <s v="Activo"/>
    <n v="29990"/>
    <x v="9"/>
  </r>
  <r>
    <n v="2026"/>
    <n v="2"/>
    <s v="28-02-2026"/>
    <n v="9905"/>
    <s v="1104-01"/>
    <n v="34990"/>
    <n v="0"/>
    <s v="Centralización ventas febrero 2026  #37413 - valor total"/>
    <n v="34990"/>
    <s v="Activo"/>
    <n v="34990"/>
    <x v="9"/>
  </r>
  <r>
    <n v="2026"/>
    <n v="2"/>
    <s v="28-02-2026"/>
    <n v="9906"/>
    <s v="1104-01"/>
    <n v="30000"/>
    <n v="0"/>
    <s v="Centralización ventas febrero 2026  #37416 - valor total"/>
    <n v="30000"/>
    <s v="Activo"/>
    <n v="30000"/>
    <x v="9"/>
  </r>
  <r>
    <n v="2026"/>
    <n v="2"/>
    <s v="28-02-2026"/>
    <n v="9907"/>
    <s v="1104-01"/>
    <n v="19990"/>
    <n v="0"/>
    <s v="Centralización ventas febrero 2026  #37422 - valor total"/>
    <n v="19990"/>
    <s v="Activo"/>
    <n v="19990"/>
    <x v="9"/>
  </r>
  <r>
    <n v="2026"/>
    <n v="2"/>
    <s v="28-02-2026"/>
    <n v="9908"/>
    <s v="1104-01"/>
    <n v="37991"/>
    <n v="0"/>
    <s v="Centralización ventas febrero 2026  #37431 - valor total"/>
    <n v="37991"/>
    <s v="Activo"/>
    <n v="37991"/>
    <x v="9"/>
  </r>
  <r>
    <n v="2026"/>
    <n v="2"/>
    <s v="28-02-2026"/>
    <n v="9909"/>
    <s v="1104-01"/>
    <n v="58000"/>
    <n v="0"/>
    <s v="Centralización ventas febrero 2026  #37435 - valor total"/>
    <n v="58000"/>
    <s v="Activo"/>
    <n v="58000"/>
    <x v="9"/>
  </r>
  <r>
    <n v="2026"/>
    <n v="2"/>
    <s v="28-02-2026"/>
    <n v="9910"/>
    <s v="1104-01"/>
    <n v="32990"/>
    <n v="0"/>
    <s v="Centralización ventas febrero 2026  #37437 - valor total"/>
    <n v="32990"/>
    <s v="Activo"/>
    <n v="32990"/>
    <x v="9"/>
  </r>
  <r>
    <n v="2026"/>
    <n v="2"/>
    <s v="28-02-2026"/>
    <n v="9911"/>
    <s v="1104-01"/>
    <n v="50000"/>
    <n v="0"/>
    <s v="Centralización ventas febrero 2026  #37438 - valor total"/>
    <n v="50000"/>
    <s v="Activo"/>
    <n v="50000"/>
    <x v="9"/>
  </r>
  <r>
    <n v="2026"/>
    <n v="2"/>
    <s v="28-02-2026"/>
    <n v="9912"/>
    <s v="1104-01"/>
    <n v="30000"/>
    <n v="0"/>
    <s v="Centralización ventas febrero 2026  #37439 - valor total"/>
    <n v="30000"/>
    <s v="Activo"/>
    <n v="30000"/>
    <x v="9"/>
  </r>
  <r>
    <n v="2026"/>
    <n v="2"/>
    <s v="28-02-2026"/>
    <n v="9913"/>
    <s v="1104-01"/>
    <n v="30000"/>
    <n v="0"/>
    <s v="Centralización ventas febrero 2026  #37440 - valor total"/>
    <n v="30000"/>
    <s v="Activo"/>
    <n v="30000"/>
    <x v="9"/>
  </r>
  <r>
    <n v="2026"/>
    <n v="2"/>
    <s v="28-02-2026"/>
    <n v="9914"/>
    <s v="1104-01"/>
    <n v="30000"/>
    <n v="0"/>
    <s v="Centralización ventas febrero 2026  #37443 - valor total"/>
    <n v="30000"/>
    <s v="Activo"/>
    <n v="30000"/>
    <x v="9"/>
  </r>
  <r>
    <n v="2026"/>
    <n v="2"/>
    <s v="28-02-2026"/>
    <n v="9915"/>
    <s v="1104-01"/>
    <n v="40000"/>
    <n v="0"/>
    <s v="Centralización ventas febrero 2026  #37445 - valor total"/>
    <n v="40000"/>
    <s v="Activo"/>
    <n v="40000"/>
    <x v="9"/>
  </r>
  <r>
    <n v="2026"/>
    <n v="2"/>
    <s v="28-02-2026"/>
    <n v="9916"/>
    <s v="1104-01"/>
    <n v="40000"/>
    <n v="0"/>
    <s v="Centralización ventas febrero 2026  #37448 - valor total"/>
    <n v="40000"/>
    <s v="Activo"/>
    <n v="40000"/>
    <x v="9"/>
  </r>
  <r>
    <n v="2026"/>
    <n v="2"/>
    <s v="28-02-2026"/>
    <n v="9917"/>
    <s v="1104-01"/>
    <n v="28990"/>
    <n v="0"/>
    <s v="Centralización ventas febrero 2026  #37449 - valor total"/>
    <n v="28990"/>
    <s v="Activo"/>
    <n v="28990"/>
    <x v="9"/>
  </r>
  <r>
    <n v="2026"/>
    <n v="2"/>
    <s v="28-02-2026"/>
    <n v="9918"/>
    <s v="1104-01"/>
    <n v="50000"/>
    <n v="0"/>
    <s v="Centralización ventas febrero 2026  #37450 - valor total"/>
    <n v="50000"/>
    <s v="Activo"/>
    <n v="50000"/>
    <x v="9"/>
  </r>
  <r>
    <n v="2026"/>
    <n v="2"/>
    <s v="28-02-2026"/>
    <n v="9919"/>
    <s v="1104-01"/>
    <n v="42990"/>
    <n v="0"/>
    <s v="Centralización ventas febrero 2026  #37451 - valor total"/>
    <n v="42990"/>
    <s v="Activo"/>
    <n v="42990"/>
    <x v="9"/>
  </r>
  <r>
    <n v="2026"/>
    <n v="2"/>
    <s v="28-02-2026"/>
    <n v="9920"/>
    <s v="1104-01"/>
    <n v="32990"/>
    <n v="0"/>
    <s v="Centralización ventas febrero 2026  #37453 - valor total"/>
    <n v="32990"/>
    <s v="Activo"/>
    <n v="32990"/>
    <x v="9"/>
  </r>
  <r>
    <n v="2026"/>
    <n v="2"/>
    <s v="28-02-2026"/>
    <n v="9921"/>
    <s v="1104-01"/>
    <n v="29990"/>
    <n v="0"/>
    <s v="Centralización ventas febrero 2026  #37454 - valor total"/>
    <n v="29990"/>
    <s v="Activo"/>
    <n v="29990"/>
    <x v="9"/>
  </r>
  <r>
    <n v="2026"/>
    <n v="2"/>
    <s v="28-02-2026"/>
    <n v="9922"/>
    <s v="1104-01"/>
    <n v="30000"/>
    <n v="0"/>
    <s v="Centralización ventas febrero 2026  #37455 - valor total"/>
    <n v="30000"/>
    <s v="Activo"/>
    <n v="30000"/>
    <x v="9"/>
  </r>
  <r>
    <n v="2026"/>
    <n v="2"/>
    <s v="28-02-2026"/>
    <n v="9923"/>
    <s v="1104-01"/>
    <n v="60000"/>
    <n v="0"/>
    <s v="Centralización ventas febrero 2026  #37456 - valor total"/>
    <n v="60000"/>
    <s v="Activo"/>
    <n v="60000"/>
    <x v="9"/>
  </r>
  <r>
    <n v="2026"/>
    <n v="2"/>
    <s v="28-02-2026"/>
    <n v="9924"/>
    <s v="1104-01"/>
    <n v="30000"/>
    <n v="0"/>
    <s v="Centralización ventas febrero 2026  #37457 - valor total"/>
    <n v="30000"/>
    <s v="Activo"/>
    <n v="30000"/>
    <x v="9"/>
  </r>
  <r>
    <n v="2026"/>
    <n v="2"/>
    <s v="28-02-2026"/>
    <n v="9925"/>
    <s v="1104-01"/>
    <n v="220930"/>
    <n v="0"/>
    <s v="Centralización ventas febrero 2026  #37458 - valor total"/>
    <n v="220930"/>
    <s v="Activo"/>
    <n v="220930"/>
    <x v="9"/>
  </r>
  <r>
    <n v="2026"/>
    <n v="2"/>
    <s v="28-02-2026"/>
    <n v="9926"/>
    <s v="1104-01"/>
    <n v="43990"/>
    <n v="0"/>
    <s v="Centralización ventas febrero 2026  #37459 - valor total"/>
    <n v="43990"/>
    <s v="Activo"/>
    <n v="43990"/>
    <x v="9"/>
  </r>
  <r>
    <n v="2026"/>
    <n v="2"/>
    <s v="28-02-2026"/>
    <n v="9927"/>
    <s v="1104-01"/>
    <n v="30000"/>
    <n v="0"/>
    <s v="Centralización ventas febrero 2026  #37460 - valor total"/>
    <n v="30000"/>
    <s v="Activo"/>
    <n v="30000"/>
    <x v="9"/>
  </r>
  <r>
    <n v="2026"/>
    <n v="2"/>
    <s v="28-02-2026"/>
    <n v="9928"/>
    <s v="1104-01"/>
    <n v="30000"/>
    <n v="0"/>
    <s v="Centralización ventas febrero 2026  #37461 - valor total"/>
    <n v="30000"/>
    <s v="Activo"/>
    <n v="30000"/>
    <x v="9"/>
  </r>
  <r>
    <n v="2026"/>
    <n v="2"/>
    <s v="28-02-2026"/>
    <n v="9929"/>
    <s v="1104-01"/>
    <n v="72000"/>
    <n v="0"/>
    <s v="Centralización ventas febrero 2026  #37462 - valor total"/>
    <n v="72000"/>
    <s v="Activo"/>
    <n v="72000"/>
    <x v="9"/>
  </r>
  <r>
    <n v="2026"/>
    <n v="2"/>
    <s v="28-02-2026"/>
    <n v="9930"/>
    <s v="1104-01"/>
    <n v="30000"/>
    <n v="0"/>
    <s v="Centralización ventas febrero 2026  #37463 - valor total"/>
    <n v="30000"/>
    <s v="Activo"/>
    <n v="30000"/>
    <x v="9"/>
  </r>
  <r>
    <n v="2026"/>
    <n v="2"/>
    <s v="28-02-2026"/>
    <n v="9931"/>
    <s v="1104-01"/>
    <n v="296115"/>
    <n v="0"/>
    <s v="Centralización ventas febrero 2026  #37465 - valor total"/>
    <n v="296115"/>
    <s v="Activo"/>
    <n v="296115"/>
    <x v="9"/>
  </r>
  <r>
    <n v="2026"/>
    <n v="2"/>
    <s v="28-02-2026"/>
    <n v="9932"/>
    <s v="1104-01"/>
    <n v="29990"/>
    <n v="0"/>
    <s v="Centralización ventas febrero 2026  #37466 - valor total"/>
    <n v="29990"/>
    <s v="Activo"/>
    <n v="29990"/>
    <x v="9"/>
  </r>
  <r>
    <n v="2026"/>
    <n v="2"/>
    <s v="28-02-2026"/>
    <n v="9933"/>
    <s v="1104-01"/>
    <n v="30000"/>
    <n v="0"/>
    <s v="Centralización ventas febrero 2026  #37468 - valor total"/>
    <n v="30000"/>
    <s v="Activo"/>
    <n v="30000"/>
    <x v="9"/>
  </r>
  <r>
    <n v="2026"/>
    <n v="2"/>
    <s v="28-02-2026"/>
    <n v="9934"/>
    <s v="1104-01"/>
    <n v="30000"/>
    <n v="0"/>
    <s v="Centralización ventas febrero 2026  #37469 - valor total"/>
    <n v="30000"/>
    <s v="Activo"/>
    <n v="30000"/>
    <x v="9"/>
  </r>
  <r>
    <n v="2026"/>
    <n v="2"/>
    <s v="28-02-2026"/>
    <n v="9935"/>
    <s v="1104-01"/>
    <n v="21990"/>
    <n v="0"/>
    <s v="Centralización ventas febrero 2026  #37470 - valor total"/>
    <n v="21990"/>
    <s v="Activo"/>
    <n v="21990"/>
    <x v="9"/>
  </r>
  <r>
    <n v="2026"/>
    <n v="2"/>
    <s v="28-02-2026"/>
    <n v="9936"/>
    <s v="1104-01"/>
    <n v="30000"/>
    <n v="0"/>
    <s v="Centralización ventas febrero 2026  #37471 - valor total"/>
    <n v="30000"/>
    <s v="Activo"/>
    <n v="30000"/>
    <x v="9"/>
  </r>
  <r>
    <n v="2026"/>
    <n v="2"/>
    <s v="28-02-2026"/>
    <n v="9937"/>
    <s v="1104-01"/>
    <n v="34990"/>
    <n v="0"/>
    <s v="Centralización ventas febrero 2026  #37473 - valor total"/>
    <n v="34990"/>
    <s v="Activo"/>
    <n v="34990"/>
    <x v="9"/>
  </r>
  <r>
    <n v="2026"/>
    <n v="2"/>
    <s v="28-02-2026"/>
    <n v="9938"/>
    <s v="1104-01"/>
    <n v="29990"/>
    <n v="0"/>
    <s v="Centralización ventas febrero 2026  #37474 - valor total"/>
    <n v="29990"/>
    <s v="Activo"/>
    <n v="29990"/>
    <x v="9"/>
  </r>
  <r>
    <n v="2026"/>
    <n v="2"/>
    <s v="28-02-2026"/>
    <n v="9939"/>
    <s v="1104-01"/>
    <n v="33990"/>
    <n v="0"/>
    <s v="Centralización ventas febrero 2026  #37477 - valor total"/>
    <n v="33990"/>
    <s v="Activo"/>
    <n v="33990"/>
    <x v="9"/>
  </r>
  <r>
    <n v="2026"/>
    <n v="2"/>
    <s v="28-02-2026"/>
    <n v="9940"/>
    <s v="1104-01"/>
    <n v="30000"/>
    <n v="0"/>
    <s v="Centralización ventas febrero 2026  #37478 - valor total"/>
    <n v="30000"/>
    <s v="Activo"/>
    <n v="30000"/>
    <x v="9"/>
  </r>
  <r>
    <n v="2026"/>
    <n v="2"/>
    <s v="28-02-2026"/>
    <n v="9941"/>
    <s v="1104-01"/>
    <n v="30000"/>
    <n v="0"/>
    <s v="Centralización ventas febrero 2026  #37484 - valor total"/>
    <n v="30000"/>
    <s v="Activo"/>
    <n v="30000"/>
    <x v="9"/>
  </r>
  <r>
    <n v="2026"/>
    <n v="2"/>
    <s v="28-02-2026"/>
    <n v="9942"/>
    <s v="1104-01"/>
    <n v="40000"/>
    <n v="0"/>
    <s v="Centralización ventas febrero 2026  #37486 - valor total"/>
    <n v="40000"/>
    <s v="Activo"/>
    <n v="40000"/>
    <x v="9"/>
  </r>
  <r>
    <n v="2026"/>
    <n v="2"/>
    <s v="28-02-2026"/>
    <n v="9943"/>
    <s v="1104-01"/>
    <n v="76000"/>
    <n v="0"/>
    <s v="Centralización ventas febrero 2026  #37487 - valor total"/>
    <n v="76000"/>
    <s v="Activo"/>
    <n v="76000"/>
    <x v="9"/>
  </r>
  <r>
    <n v="2026"/>
    <n v="2"/>
    <s v="28-02-2026"/>
    <n v="9944"/>
    <s v="1104-01"/>
    <n v="30000"/>
    <n v="0"/>
    <s v="Centralización ventas febrero 2026  #37494 - valor total"/>
    <n v="30000"/>
    <s v="Activo"/>
    <n v="30000"/>
    <x v="9"/>
  </r>
  <r>
    <n v="2026"/>
    <n v="2"/>
    <s v="28-02-2026"/>
    <n v="9945"/>
    <s v="1104-01"/>
    <n v="30000"/>
    <n v="0"/>
    <s v="Centralización ventas febrero 2026  #37496 - valor total"/>
    <n v="30000"/>
    <s v="Activo"/>
    <n v="30000"/>
    <x v="9"/>
  </r>
  <r>
    <n v="2026"/>
    <n v="2"/>
    <s v="28-02-2026"/>
    <n v="9946"/>
    <s v="1104-01"/>
    <n v="497197"/>
    <n v="0"/>
    <s v="Centralización ventas febrero 2026  #37647 - valor total"/>
    <n v="497197"/>
    <s v="Activo"/>
    <n v="497197"/>
    <x v="9"/>
  </r>
  <r>
    <n v="2026"/>
    <n v="2"/>
    <s v="28-02-2026"/>
    <n v="9947"/>
    <s v="1104-01"/>
    <n v="25990"/>
    <n v="0"/>
    <s v="Centralización ventas febrero 2026  #37845 - valor total"/>
    <n v="25990"/>
    <s v="Activo"/>
    <n v="25990"/>
    <x v="9"/>
  </r>
  <r>
    <n v="2026"/>
    <n v="2"/>
    <s v="28-02-2026"/>
    <n v="9948"/>
    <s v="1104-01"/>
    <n v="200000"/>
    <n v="0"/>
    <s v="Centralización ventas febrero 2026  #37893 - valor total"/>
    <n v="200000"/>
    <s v="Activo"/>
    <n v="200000"/>
    <x v="9"/>
  </r>
  <r>
    <n v="2026"/>
    <n v="2"/>
    <s v="28-02-2026"/>
    <n v="9949"/>
    <s v="1104-01"/>
    <n v="24990"/>
    <n v="0"/>
    <s v="Centralización ventas febrero 2026  #37944 - valor total"/>
    <n v="24990"/>
    <s v="Activo"/>
    <n v="24990"/>
    <x v="9"/>
  </r>
  <r>
    <n v="2026"/>
    <n v="2"/>
    <s v="28-02-2026"/>
    <n v="9950"/>
    <s v="1104-01"/>
    <n v="59990"/>
    <n v="0"/>
    <s v="Centralización ventas febrero 2026  #37967 - valor total"/>
    <n v="59990"/>
    <s v="Activo"/>
    <n v="59990"/>
    <x v="9"/>
  </r>
  <r>
    <n v="2026"/>
    <n v="2"/>
    <s v="28-02-2026"/>
    <n v="9951"/>
    <s v="1104-01"/>
    <n v="0"/>
    <n v="59990"/>
    <s v="Centralización ventas febrero 2026  #4472 - valor total"/>
    <n v="-59990"/>
    <s v="Activo"/>
    <n v="-59990"/>
    <x v="9"/>
  </r>
  <r>
    <n v="2026"/>
    <n v="2"/>
    <s v="28-02-2026"/>
    <n v="9952"/>
    <s v="1104-01"/>
    <n v="0"/>
    <n v="30000"/>
    <s v="Centralización ventas febrero 2026  #4479 - valor total"/>
    <n v="-30000"/>
    <s v="Activo"/>
    <n v="-30000"/>
    <x v="9"/>
  </r>
  <r>
    <n v="2026"/>
    <n v="2"/>
    <s v="28-02-2026"/>
    <n v="9953"/>
    <s v="1104-01"/>
    <n v="0"/>
    <n v="120597"/>
    <s v="Centralización ventas febrero 2026  #4526 - valor total"/>
    <n v="-120597"/>
    <s v="Activo"/>
    <n v="-120597"/>
    <x v="9"/>
  </r>
  <r>
    <n v="2026"/>
    <n v="2"/>
    <s v="28-02-2026"/>
    <n v="9954"/>
    <s v="1104-01"/>
    <n v="158559298"/>
    <n v="0"/>
    <s v="Centralización ventas febrero 2026  #22026 - valor total"/>
    <n v="158559298"/>
    <s v="Activo"/>
    <n v="158559298"/>
    <x v="9"/>
  </r>
  <r>
    <n v="2026"/>
    <n v="2"/>
    <s v="28-02-2026"/>
    <n v="9955"/>
    <s v="1104-01"/>
    <n v="34158"/>
    <n v="0"/>
    <s v="Centralización ventas febrero 2026  #37325 - valor total"/>
    <n v="34158"/>
    <s v="Activo"/>
    <n v="34158"/>
    <x v="9"/>
  </r>
  <r>
    <n v="2026"/>
    <n v="2"/>
    <s v="28-02-2026"/>
    <n v="9956"/>
    <s v="1104-01"/>
    <n v="45620"/>
    <n v="0"/>
    <s v="Centralización ventas febrero 2026  #37327 - valor total"/>
    <n v="45620"/>
    <s v="Activo"/>
    <n v="45620"/>
    <x v="9"/>
  </r>
  <r>
    <n v="2026"/>
    <n v="2"/>
    <s v="28-02-2026"/>
    <n v="9957"/>
    <s v="1104-01"/>
    <n v="1502000"/>
    <n v="0"/>
    <s v="Centralización ventas febrero 2026  #37328 - valor total"/>
    <n v="1502000"/>
    <s v="Activo"/>
    <n v="1502000"/>
    <x v="9"/>
  </r>
  <r>
    <n v="2026"/>
    <n v="2"/>
    <s v="28-02-2026"/>
    <n v="9958"/>
    <s v="1104-01"/>
    <n v="31001"/>
    <n v="0"/>
    <s v="Centralización ventas febrero 2026  #37330 - valor total"/>
    <n v="31001"/>
    <s v="Activo"/>
    <n v="31001"/>
    <x v="9"/>
  </r>
  <r>
    <n v="2026"/>
    <n v="2"/>
    <s v="28-02-2026"/>
    <n v="9959"/>
    <s v="1104-01"/>
    <n v="30000"/>
    <n v="0"/>
    <s v="Centralización ventas febrero 2026  #37337 - valor total"/>
    <n v="30000"/>
    <s v="Activo"/>
    <n v="30000"/>
    <x v="9"/>
  </r>
  <r>
    <n v="2026"/>
    <n v="2"/>
    <s v="28-02-2026"/>
    <n v="9960"/>
    <s v="1104-01"/>
    <n v="32000"/>
    <n v="0"/>
    <s v="Centralización ventas febrero 2026  #37341 - valor total"/>
    <n v="32000"/>
    <s v="Activo"/>
    <n v="32000"/>
    <x v="9"/>
  </r>
  <r>
    <n v="2026"/>
    <n v="2"/>
    <s v="28-02-2026"/>
    <n v="9961"/>
    <s v="1104-01"/>
    <n v="43980"/>
    <n v="0"/>
    <s v="Centralización ventas febrero 2026  #37342 - valor total"/>
    <n v="43980"/>
    <s v="Activo"/>
    <n v="43980"/>
    <x v="9"/>
  </r>
  <r>
    <n v="2026"/>
    <n v="2"/>
    <s v="28-02-2026"/>
    <n v="9962"/>
    <s v="1104-01"/>
    <n v="31990"/>
    <n v="0"/>
    <s v="Centralización ventas febrero 2026  #37345 - valor total"/>
    <n v="31990"/>
    <s v="Activo"/>
    <n v="31990"/>
    <x v="9"/>
  </r>
  <r>
    <n v="2026"/>
    <n v="2"/>
    <s v="28-02-2026"/>
    <n v="9963"/>
    <s v="1104-01"/>
    <n v="28000"/>
    <n v="0"/>
    <s v="Centralización ventas febrero 2026  #37353 - valor total"/>
    <n v="28000"/>
    <s v="Activo"/>
    <n v="28000"/>
    <x v="9"/>
  </r>
  <r>
    <n v="2026"/>
    <n v="2"/>
    <s v="28-02-2026"/>
    <n v="9964"/>
    <s v="1104-01"/>
    <n v="30000"/>
    <n v="0"/>
    <s v="Centralización ventas febrero 2026  #37354 - valor total"/>
    <n v="30000"/>
    <s v="Activo"/>
    <n v="30000"/>
    <x v="9"/>
  </r>
  <r>
    <n v="2026"/>
    <n v="2"/>
    <s v="28-02-2026"/>
    <n v="9965"/>
    <s v="1104-01"/>
    <n v="219960"/>
    <n v="0"/>
    <s v="Centralización ventas febrero 2026  #37360 - valor total"/>
    <n v="219960"/>
    <s v="Activo"/>
    <n v="219960"/>
    <x v="9"/>
  </r>
  <r>
    <n v="2026"/>
    <n v="2"/>
    <s v="28-02-2026"/>
    <n v="9966"/>
    <s v="1104-01"/>
    <n v="26000"/>
    <n v="0"/>
    <s v="Centralización ventas febrero 2026  #37364 - valor total"/>
    <n v="26000"/>
    <s v="Activo"/>
    <n v="26000"/>
    <x v="9"/>
  </r>
  <r>
    <n v="2026"/>
    <n v="2"/>
    <s v="28-02-2026"/>
    <n v="9967"/>
    <s v="1104-01"/>
    <n v="32980"/>
    <n v="0"/>
    <s v="Centralización ventas febrero 2026  #37370 - valor total"/>
    <n v="32980"/>
    <s v="Activo"/>
    <n v="32980"/>
    <x v="9"/>
  </r>
  <r>
    <n v="2026"/>
    <n v="2"/>
    <s v="28-02-2026"/>
    <n v="9968"/>
    <s v="1104-01"/>
    <n v="279037"/>
    <n v="0"/>
    <s v="Centralización ventas febrero 2026  #37381 - valor total"/>
    <n v="279037"/>
    <s v="Activo"/>
    <n v="279037"/>
    <x v="9"/>
  </r>
  <r>
    <n v="2026"/>
    <n v="2"/>
    <s v="28-02-2026"/>
    <n v="9969"/>
    <s v="1104-01"/>
    <n v="614414"/>
    <n v="0"/>
    <s v="Centralización ventas febrero 2026  #37384 - valor total"/>
    <n v="614414"/>
    <s v="Activo"/>
    <n v="614414"/>
    <x v="9"/>
  </r>
  <r>
    <n v="2026"/>
    <n v="2"/>
    <s v="28-02-2026"/>
    <n v="9970"/>
    <s v="1104-01"/>
    <n v="49990"/>
    <n v="0"/>
    <s v="Centralización ventas febrero 2026  #37396 - valor total"/>
    <n v="49990"/>
    <s v="Activo"/>
    <n v="49990"/>
    <x v="9"/>
  </r>
  <r>
    <n v="2026"/>
    <n v="2"/>
    <s v="28-02-2026"/>
    <n v="9971"/>
    <s v="1104-01"/>
    <n v="39970"/>
    <n v="0"/>
    <s v="Centralización ventas febrero 2026  #37398 - valor total"/>
    <n v="39970"/>
    <s v="Activo"/>
    <n v="39970"/>
    <x v="9"/>
  </r>
  <r>
    <n v="2026"/>
    <n v="2"/>
    <s v="28-02-2026"/>
    <n v="9972"/>
    <s v="1104-01"/>
    <n v="124000"/>
    <n v="0"/>
    <s v="Centralización ventas febrero 2026  #37403 - valor total"/>
    <n v="124000"/>
    <s v="Activo"/>
    <n v="124000"/>
    <x v="9"/>
  </r>
  <r>
    <n v="2026"/>
    <n v="2"/>
    <s v="28-02-2026"/>
    <n v="9973"/>
    <s v="1104-01"/>
    <n v="70980"/>
    <n v="0"/>
    <s v="Centralización ventas febrero 2026  #37409 - valor total"/>
    <n v="70980"/>
    <s v="Activo"/>
    <n v="70980"/>
    <x v="9"/>
  </r>
  <r>
    <n v="2026"/>
    <n v="2"/>
    <s v="28-02-2026"/>
    <n v="9974"/>
    <s v="1104-01"/>
    <n v="39990"/>
    <n v="0"/>
    <s v="Centralización ventas febrero 2026  #37420 - valor total"/>
    <n v="39990"/>
    <s v="Activo"/>
    <n v="39990"/>
    <x v="9"/>
  </r>
  <r>
    <n v="2026"/>
    <n v="2"/>
    <s v="28-02-2026"/>
    <n v="9975"/>
    <s v="1104-01"/>
    <n v="42980"/>
    <n v="0"/>
    <s v="Centralización ventas febrero 2026  #37424 - valor total"/>
    <n v="42980"/>
    <s v="Activo"/>
    <n v="42980"/>
    <x v="9"/>
  </r>
  <r>
    <n v="2026"/>
    <n v="2"/>
    <s v="28-02-2026"/>
    <n v="9976"/>
    <s v="1104-01"/>
    <n v="30000"/>
    <n v="0"/>
    <s v="Centralización ventas febrero 2026  #37426 - valor total"/>
    <n v="30000"/>
    <s v="Activo"/>
    <n v="30000"/>
    <x v="9"/>
  </r>
  <r>
    <n v="2026"/>
    <n v="2"/>
    <s v="28-02-2026"/>
    <n v="9977"/>
    <s v="1104-01"/>
    <n v="34990"/>
    <n v="0"/>
    <s v="Centralización ventas febrero 2026  #37432 - valor total"/>
    <n v="34990"/>
    <s v="Activo"/>
    <n v="34990"/>
    <x v="9"/>
  </r>
  <r>
    <n v="2026"/>
    <n v="2"/>
    <s v="28-02-2026"/>
    <n v="9978"/>
    <s v="1104-01"/>
    <n v="30000"/>
    <n v="0"/>
    <s v="Centralización ventas febrero 2026  #37433 - valor total"/>
    <n v="30000"/>
    <s v="Activo"/>
    <n v="30000"/>
    <x v="9"/>
  </r>
  <r>
    <n v="2026"/>
    <n v="2"/>
    <s v="28-02-2026"/>
    <n v="9979"/>
    <s v="1104-01"/>
    <n v="33000"/>
    <n v="0"/>
    <s v="Centralización ventas febrero 2026  #37441 - valor total"/>
    <n v="33000"/>
    <s v="Activo"/>
    <n v="33000"/>
    <x v="9"/>
  </r>
  <r>
    <n v="2026"/>
    <n v="2"/>
    <s v="28-02-2026"/>
    <n v="9980"/>
    <s v="1104-01"/>
    <n v="118974"/>
    <n v="0"/>
    <s v="Centralización ventas febrero 2026  #37444 - valor total"/>
    <n v="118974"/>
    <s v="Activo"/>
    <n v="118974"/>
    <x v="9"/>
  </r>
  <r>
    <n v="2026"/>
    <n v="2"/>
    <s v="28-02-2026"/>
    <n v="9981"/>
    <s v="1104-01"/>
    <n v="27990"/>
    <n v="0"/>
    <s v="Centralización ventas febrero 2026  #37452 - valor total"/>
    <n v="27990"/>
    <s v="Activo"/>
    <n v="27990"/>
    <x v="9"/>
  </r>
  <r>
    <n v="2026"/>
    <n v="2"/>
    <s v="28-02-2026"/>
    <n v="9982"/>
    <s v="1104-01"/>
    <n v="96971"/>
    <n v="0"/>
    <s v="Centralización ventas febrero 2026  #37472 - valor total"/>
    <n v="96971"/>
    <s v="Activo"/>
    <n v="96971"/>
    <x v="9"/>
  </r>
  <r>
    <n v="2026"/>
    <n v="2"/>
    <s v="28-02-2026"/>
    <n v="9983"/>
    <s v="1104-01"/>
    <n v="30000"/>
    <n v="0"/>
    <s v="Centralización ventas febrero 2026  #37476 - valor total"/>
    <n v="30000"/>
    <s v="Activo"/>
    <n v="30000"/>
    <x v="9"/>
  </r>
  <r>
    <n v="2026"/>
    <n v="2"/>
    <s v="28-02-2026"/>
    <n v="9984"/>
    <s v="1104-01"/>
    <n v="43990"/>
    <n v="0"/>
    <s v="Centralización ventas febrero 2026  #37480 - valor total"/>
    <n v="43990"/>
    <s v="Activo"/>
    <n v="43990"/>
    <x v="9"/>
  </r>
  <r>
    <n v="2026"/>
    <n v="2"/>
    <s v="28-02-2026"/>
    <n v="9985"/>
    <s v="1104-01"/>
    <n v="40000"/>
    <n v="0"/>
    <s v="Centralización ventas febrero 2026  #37481 - valor total"/>
    <n v="40000"/>
    <s v="Activo"/>
    <n v="40000"/>
    <x v="9"/>
  </r>
  <r>
    <n v="2026"/>
    <n v="2"/>
    <s v="28-02-2026"/>
    <n v="9986"/>
    <s v="1104-01"/>
    <n v="21990"/>
    <n v="0"/>
    <s v="Centralización ventas febrero 2026  #37488 - valor total"/>
    <n v="21990"/>
    <s v="Activo"/>
    <n v="21990"/>
    <x v="9"/>
  </r>
  <r>
    <n v="2026"/>
    <n v="2"/>
    <s v="28-02-2026"/>
    <n v="9987"/>
    <s v="1104-01"/>
    <n v="279477"/>
    <n v="0"/>
    <s v="Centralización ventas febrero 2026  #37489 - valor total"/>
    <n v="279477"/>
    <s v="Activo"/>
    <n v="279477"/>
    <x v="9"/>
  </r>
  <r>
    <n v="2026"/>
    <n v="2"/>
    <s v="28-02-2026"/>
    <n v="9988"/>
    <s v="1104-01"/>
    <n v="31991"/>
    <n v="0"/>
    <s v="Centralización ventas febrero 2026  #37490 - valor total"/>
    <n v="31991"/>
    <s v="Activo"/>
    <n v="31991"/>
    <x v="9"/>
  </r>
  <r>
    <n v="2026"/>
    <n v="2"/>
    <s v="28-02-2026"/>
    <n v="9989"/>
    <s v="1104-01"/>
    <n v="30000"/>
    <n v="0"/>
    <s v="Centralización ventas febrero 2026  #37491 - valor total"/>
    <n v="30000"/>
    <s v="Activo"/>
    <n v="30000"/>
    <x v="9"/>
  </r>
  <r>
    <n v="2026"/>
    <n v="2"/>
    <s v="28-02-2026"/>
    <n v="9990"/>
    <s v="1104-01"/>
    <n v="21990"/>
    <n v="0"/>
    <s v="Centralización ventas febrero 2026  #37492 - valor total"/>
    <n v="21990"/>
    <s v="Activo"/>
    <n v="21990"/>
    <x v="9"/>
  </r>
  <r>
    <n v="2026"/>
    <n v="2"/>
    <s v="28-02-2026"/>
    <n v="9991"/>
    <s v="1104-01"/>
    <n v="28990"/>
    <n v="0"/>
    <s v="Centralización ventas febrero 2026  #37493 - valor total"/>
    <n v="28990"/>
    <s v="Activo"/>
    <n v="28990"/>
    <x v="9"/>
  </r>
  <r>
    <n v="2026"/>
    <n v="2"/>
    <s v="28-02-2026"/>
    <n v="9992"/>
    <s v="1104-01"/>
    <n v="35000"/>
    <n v="0"/>
    <s v="Centralización ventas febrero 2026  #37495 - valor total"/>
    <n v="35000"/>
    <s v="Activo"/>
    <n v="35000"/>
    <x v="9"/>
  </r>
  <r>
    <n v="2026"/>
    <n v="2"/>
    <s v="28-02-2026"/>
    <n v="9993"/>
    <s v="1104-01"/>
    <n v="21900"/>
    <n v="0"/>
    <s v="Centralización ventas febrero 2026  #37497 - valor total"/>
    <n v="21900"/>
    <s v="Activo"/>
    <n v="21900"/>
    <x v="9"/>
  </r>
  <r>
    <n v="2026"/>
    <n v="2"/>
    <s v="28-02-2026"/>
    <n v="9994"/>
    <s v="1104-01"/>
    <n v="35981"/>
    <n v="0"/>
    <s v="Centralización ventas febrero 2026  #37499 - valor total"/>
    <n v="35981"/>
    <s v="Activo"/>
    <n v="35981"/>
    <x v="9"/>
  </r>
  <r>
    <n v="2026"/>
    <n v="2"/>
    <s v="28-02-2026"/>
    <n v="9995"/>
    <s v="1104-01"/>
    <n v="59990"/>
    <n v="0"/>
    <s v="Centralización ventas febrero 2026  #37500 - valor total"/>
    <n v="59990"/>
    <s v="Activo"/>
    <n v="59990"/>
    <x v="9"/>
  </r>
  <r>
    <n v="2026"/>
    <n v="2"/>
    <s v="28-02-2026"/>
    <n v="9996"/>
    <s v="1104-01"/>
    <n v="21990"/>
    <n v="0"/>
    <s v="Centralización ventas febrero 2026  #37501 - valor total"/>
    <n v="21990"/>
    <s v="Activo"/>
    <n v="21990"/>
    <x v="9"/>
  </r>
  <r>
    <n v="2026"/>
    <n v="2"/>
    <s v="28-02-2026"/>
    <n v="9997"/>
    <s v="1104-01"/>
    <n v="42000"/>
    <n v="0"/>
    <s v="Centralización ventas febrero 2026  #37502 - valor total"/>
    <n v="42000"/>
    <s v="Activo"/>
    <n v="42000"/>
    <x v="9"/>
  </r>
  <r>
    <n v="2026"/>
    <n v="2"/>
    <s v="28-02-2026"/>
    <n v="9998"/>
    <s v="1104-01"/>
    <n v="53980"/>
    <n v="0"/>
    <s v="Centralización ventas febrero 2026  #37503 - valor total"/>
    <n v="53980"/>
    <s v="Activo"/>
    <n v="53980"/>
    <x v="9"/>
  </r>
  <r>
    <n v="2026"/>
    <n v="2"/>
    <s v="28-02-2026"/>
    <n v="9999"/>
    <s v="1104-01"/>
    <n v="31991"/>
    <n v="0"/>
    <s v="Centralización ventas febrero 2026  #37504 - valor total"/>
    <n v="31991"/>
    <s v="Activo"/>
    <n v="31991"/>
    <x v="9"/>
  </r>
  <r>
    <n v="2026"/>
    <n v="2"/>
    <s v="28-02-2026"/>
    <n v="10000"/>
    <s v="1104-01"/>
    <n v="59981"/>
    <n v="0"/>
    <s v="Centralización ventas febrero 2026  #37505 - valor total"/>
    <n v="59981"/>
    <s v="Activo"/>
    <n v="59981"/>
    <x v="9"/>
  </r>
  <r>
    <n v="2026"/>
    <n v="2"/>
    <s v="28-02-2026"/>
    <n v="10001"/>
    <s v="1104-01"/>
    <n v="573493"/>
    <n v="0"/>
    <s v="Centralización ventas febrero 2026  #37506 - valor total"/>
    <n v="573493"/>
    <s v="Activo"/>
    <n v="573493"/>
    <x v="9"/>
  </r>
  <r>
    <n v="2026"/>
    <n v="2"/>
    <s v="28-02-2026"/>
    <n v="10002"/>
    <s v="1104-01"/>
    <n v="28990"/>
    <n v="0"/>
    <s v="Centralización ventas febrero 2026  #37507 - valor total"/>
    <n v="28990"/>
    <s v="Activo"/>
    <n v="28990"/>
    <x v="9"/>
  </r>
  <r>
    <n v="2026"/>
    <n v="2"/>
    <s v="28-02-2026"/>
    <n v="10003"/>
    <s v="1104-01"/>
    <n v="28990"/>
    <n v="0"/>
    <s v="Centralización ventas febrero 2026  #37508 - valor total"/>
    <n v="28990"/>
    <s v="Activo"/>
    <n v="28990"/>
    <x v="9"/>
  </r>
  <r>
    <n v="2026"/>
    <n v="2"/>
    <s v="28-02-2026"/>
    <n v="10004"/>
    <s v="1104-01"/>
    <n v="38990"/>
    <n v="0"/>
    <s v="Centralización ventas febrero 2026  #37509 - valor total"/>
    <n v="38990"/>
    <s v="Activo"/>
    <n v="38990"/>
    <x v="9"/>
  </r>
  <r>
    <n v="2026"/>
    <n v="2"/>
    <s v="28-02-2026"/>
    <n v="10005"/>
    <s v="1104-01"/>
    <n v="21990"/>
    <n v="0"/>
    <s v="Centralización ventas febrero 2026  #37511 - valor total"/>
    <n v="21990"/>
    <s v="Activo"/>
    <n v="21990"/>
    <x v="9"/>
  </r>
  <r>
    <n v="2026"/>
    <n v="2"/>
    <s v="28-02-2026"/>
    <n v="10006"/>
    <s v="1104-01"/>
    <n v="134351"/>
    <n v="0"/>
    <s v="Centralización ventas febrero 2026  #37512 - valor total"/>
    <n v="134351"/>
    <s v="Activo"/>
    <n v="134351"/>
    <x v="9"/>
  </r>
  <r>
    <n v="2026"/>
    <n v="2"/>
    <s v="28-02-2026"/>
    <n v="10007"/>
    <s v="1104-01"/>
    <n v="50000"/>
    <n v="0"/>
    <s v="Centralización ventas febrero 2026  #37513 - valor total"/>
    <n v="50000"/>
    <s v="Activo"/>
    <n v="50000"/>
    <x v="9"/>
  </r>
  <r>
    <n v="2026"/>
    <n v="2"/>
    <s v="28-02-2026"/>
    <n v="10008"/>
    <s v="1104-01"/>
    <n v="37999"/>
    <n v="0"/>
    <s v="Centralización ventas febrero 2026  #37514 - valor total"/>
    <n v="37999"/>
    <s v="Activo"/>
    <n v="37999"/>
    <x v="9"/>
  </r>
  <r>
    <n v="2026"/>
    <n v="2"/>
    <s v="28-02-2026"/>
    <n v="10009"/>
    <s v="1104-01"/>
    <n v="131000"/>
    <n v="0"/>
    <s v="Centralización ventas febrero 2026  #37515 - valor total"/>
    <n v="131000"/>
    <s v="Activo"/>
    <n v="131000"/>
    <x v="9"/>
  </r>
  <r>
    <n v="2026"/>
    <n v="2"/>
    <s v="28-02-2026"/>
    <n v="10010"/>
    <s v="1104-01"/>
    <n v="43980"/>
    <n v="0"/>
    <s v="Centralización ventas febrero 2026  #37516 - valor total"/>
    <n v="43980"/>
    <s v="Activo"/>
    <n v="43980"/>
    <x v="9"/>
  </r>
  <r>
    <n v="2026"/>
    <n v="2"/>
    <s v="28-02-2026"/>
    <n v="10011"/>
    <s v="1104-01"/>
    <n v="150535"/>
    <n v="0"/>
    <s v="Centralización ventas febrero 2026  #37517 - valor total"/>
    <n v="150535"/>
    <s v="Activo"/>
    <n v="150535"/>
    <x v="9"/>
  </r>
  <r>
    <n v="2026"/>
    <n v="2"/>
    <s v="28-02-2026"/>
    <n v="10012"/>
    <s v="1104-01"/>
    <n v="86928"/>
    <n v="0"/>
    <s v="Centralización ventas febrero 2026  #37518 - valor total"/>
    <n v="86928"/>
    <s v="Activo"/>
    <n v="86928"/>
    <x v="9"/>
  </r>
  <r>
    <n v="2026"/>
    <n v="2"/>
    <s v="28-02-2026"/>
    <n v="10013"/>
    <s v="1104-01"/>
    <n v="118232"/>
    <n v="0"/>
    <s v="Centralización ventas febrero 2026  #37519 - valor total"/>
    <n v="118232"/>
    <s v="Activo"/>
    <n v="118232"/>
    <x v="9"/>
  </r>
  <r>
    <n v="2026"/>
    <n v="2"/>
    <s v="28-02-2026"/>
    <n v="10014"/>
    <s v="1104-01"/>
    <n v="23990"/>
    <n v="0"/>
    <s v="Centralización ventas febrero 2026  #37520 - valor total"/>
    <n v="23990"/>
    <s v="Activo"/>
    <n v="23990"/>
    <x v="9"/>
  </r>
  <r>
    <n v="2026"/>
    <n v="2"/>
    <s v="28-02-2026"/>
    <n v="10015"/>
    <s v="1104-01"/>
    <n v="30000"/>
    <n v="0"/>
    <s v="Centralización ventas febrero 2026  #37521 - valor total"/>
    <n v="30000"/>
    <s v="Activo"/>
    <n v="30000"/>
    <x v="9"/>
  </r>
  <r>
    <n v="2026"/>
    <n v="2"/>
    <s v="28-02-2026"/>
    <n v="10016"/>
    <s v="1104-01"/>
    <n v="40000"/>
    <n v="0"/>
    <s v="Centralización ventas febrero 2026  #37522 - valor total"/>
    <n v="40000"/>
    <s v="Activo"/>
    <n v="40000"/>
    <x v="9"/>
  </r>
  <r>
    <n v="2026"/>
    <n v="2"/>
    <s v="28-02-2026"/>
    <n v="10017"/>
    <s v="1104-01"/>
    <n v="60000"/>
    <n v="0"/>
    <s v="Centralización ventas febrero 2026  #37523 - valor total"/>
    <n v="60000"/>
    <s v="Activo"/>
    <n v="60000"/>
    <x v="9"/>
  </r>
  <r>
    <n v="2026"/>
    <n v="2"/>
    <s v="28-02-2026"/>
    <n v="10018"/>
    <s v="1104-01"/>
    <n v="69980"/>
    <n v="0"/>
    <s v="Centralización ventas febrero 2026  #37524 - valor total"/>
    <n v="69980"/>
    <s v="Activo"/>
    <n v="69980"/>
    <x v="9"/>
  </r>
  <r>
    <n v="2026"/>
    <n v="2"/>
    <s v="28-02-2026"/>
    <n v="10019"/>
    <s v="1104-01"/>
    <n v="130400"/>
    <n v="0"/>
    <s v="Centralización ventas febrero 2026  #37525 - valor total"/>
    <n v="130400"/>
    <s v="Activo"/>
    <n v="130400"/>
    <x v="9"/>
  </r>
  <r>
    <n v="2026"/>
    <n v="2"/>
    <s v="28-02-2026"/>
    <n v="10020"/>
    <s v="1104-01"/>
    <n v="40000"/>
    <n v="0"/>
    <s v="Centralización ventas febrero 2026  #37526 - valor total"/>
    <n v="40000"/>
    <s v="Activo"/>
    <n v="40000"/>
    <x v="9"/>
  </r>
  <r>
    <n v="2026"/>
    <n v="2"/>
    <s v="28-02-2026"/>
    <n v="10021"/>
    <s v="1104-01"/>
    <n v="29990"/>
    <n v="0"/>
    <s v="Centralización ventas febrero 2026  #37527 - valor total"/>
    <n v="29990"/>
    <s v="Activo"/>
    <n v="29990"/>
    <x v="9"/>
  </r>
  <r>
    <n v="2026"/>
    <n v="2"/>
    <s v="28-02-2026"/>
    <n v="10022"/>
    <s v="1104-01"/>
    <n v="21990"/>
    <n v="0"/>
    <s v="Centralización ventas febrero 2026  #37528 - valor total"/>
    <n v="21990"/>
    <s v="Activo"/>
    <n v="21990"/>
    <x v="9"/>
  </r>
  <r>
    <n v="2026"/>
    <n v="2"/>
    <s v="28-02-2026"/>
    <n v="10023"/>
    <s v="1104-01"/>
    <n v="29990"/>
    <n v="0"/>
    <s v="Centralización ventas febrero 2026  #37529 - valor total"/>
    <n v="29990"/>
    <s v="Activo"/>
    <n v="29990"/>
    <x v="9"/>
  </r>
  <r>
    <n v="2026"/>
    <n v="2"/>
    <s v="28-02-2026"/>
    <n v="10024"/>
    <s v="1104-01"/>
    <n v="30000"/>
    <n v="0"/>
    <s v="Centralización ventas febrero 2026  #37530 - valor total"/>
    <n v="30000"/>
    <s v="Activo"/>
    <n v="30000"/>
    <x v="9"/>
  </r>
  <r>
    <n v="2026"/>
    <n v="2"/>
    <s v="28-02-2026"/>
    <n v="10025"/>
    <s v="1104-01"/>
    <n v="30000"/>
    <n v="0"/>
    <s v="Centralización ventas febrero 2026  #37532 - valor total"/>
    <n v="30000"/>
    <s v="Activo"/>
    <n v="30000"/>
    <x v="9"/>
  </r>
  <r>
    <n v="2026"/>
    <n v="2"/>
    <s v="28-02-2026"/>
    <n v="10026"/>
    <s v="1104-01"/>
    <n v="90000"/>
    <n v="0"/>
    <s v="Centralización ventas febrero 2026  #37533 - valor total"/>
    <n v="90000"/>
    <s v="Activo"/>
    <n v="90000"/>
    <x v="9"/>
  </r>
  <r>
    <n v="2026"/>
    <n v="2"/>
    <s v="28-02-2026"/>
    <n v="10027"/>
    <s v="1104-01"/>
    <n v="30000"/>
    <n v="0"/>
    <s v="Centralización ventas febrero 2026  #37534 - valor total"/>
    <n v="30000"/>
    <s v="Activo"/>
    <n v="30000"/>
    <x v="9"/>
  </r>
  <r>
    <n v="2026"/>
    <n v="2"/>
    <s v="28-02-2026"/>
    <n v="10028"/>
    <s v="1104-01"/>
    <n v="59990"/>
    <n v="0"/>
    <s v="Centralización ventas febrero 2026  #37535 - valor total"/>
    <n v="59990"/>
    <s v="Activo"/>
    <n v="59990"/>
    <x v="9"/>
  </r>
  <r>
    <n v="2026"/>
    <n v="2"/>
    <s v="28-02-2026"/>
    <n v="10029"/>
    <s v="1104-01"/>
    <n v="59990"/>
    <n v="0"/>
    <s v="Centralización ventas febrero 2026  #37536 - valor total"/>
    <n v="59990"/>
    <s v="Activo"/>
    <n v="59990"/>
    <x v="9"/>
  </r>
  <r>
    <n v="2026"/>
    <n v="2"/>
    <s v="28-02-2026"/>
    <n v="10030"/>
    <s v="1104-01"/>
    <n v="59981"/>
    <n v="0"/>
    <s v="Centralización ventas febrero 2026  #37537 - valor total"/>
    <n v="59981"/>
    <s v="Activo"/>
    <n v="59981"/>
    <x v="9"/>
  </r>
  <r>
    <n v="2026"/>
    <n v="2"/>
    <s v="28-02-2026"/>
    <n v="10031"/>
    <s v="1104-01"/>
    <n v="43980"/>
    <n v="0"/>
    <s v="Centralización ventas febrero 2026  #37538 - valor total"/>
    <n v="43980"/>
    <s v="Activo"/>
    <n v="43980"/>
    <x v="9"/>
  </r>
  <r>
    <n v="2026"/>
    <n v="2"/>
    <s v="28-02-2026"/>
    <n v="10032"/>
    <s v="1104-01"/>
    <n v="33990"/>
    <n v="0"/>
    <s v="Centralización ventas febrero 2026  #37539 - valor total"/>
    <n v="33990"/>
    <s v="Activo"/>
    <n v="33990"/>
    <x v="9"/>
  </r>
  <r>
    <n v="2026"/>
    <n v="2"/>
    <s v="28-02-2026"/>
    <n v="10033"/>
    <s v="1104-01"/>
    <n v="79999"/>
    <n v="0"/>
    <s v="Centralización ventas febrero 2026  #37540 - valor total"/>
    <n v="79999"/>
    <s v="Activo"/>
    <n v="79999"/>
    <x v="9"/>
  </r>
  <r>
    <n v="2026"/>
    <n v="2"/>
    <s v="28-02-2026"/>
    <n v="10034"/>
    <s v="1104-01"/>
    <n v="40000"/>
    <n v="0"/>
    <s v="Centralización ventas febrero 2026  #37541 - valor total"/>
    <n v="40000"/>
    <s v="Activo"/>
    <n v="40000"/>
    <x v="9"/>
  </r>
  <r>
    <n v="2026"/>
    <n v="2"/>
    <s v="28-02-2026"/>
    <n v="10035"/>
    <s v="1104-01"/>
    <n v="127495"/>
    <n v="0"/>
    <s v="Centralización ventas febrero 2026  #37542 - valor total"/>
    <n v="127495"/>
    <s v="Activo"/>
    <n v="127495"/>
    <x v="9"/>
  </r>
  <r>
    <n v="2026"/>
    <n v="2"/>
    <s v="28-02-2026"/>
    <n v="10036"/>
    <s v="1104-01"/>
    <n v="30000"/>
    <n v="0"/>
    <s v="Centralización ventas febrero 2026  #37543 - valor total"/>
    <n v="30000"/>
    <s v="Activo"/>
    <n v="30000"/>
    <x v="9"/>
  </r>
  <r>
    <n v="2026"/>
    <n v="2"/>
    <s v="28-02-2026"/>
    <n v="10037"/>
    <s v="1104-01"/>
    <n v="57979"/>
    <n v="0"/>
    <s v="Centralización ventas febrero 2026  #37544 - valor total"/>
    <n v="57979"/>
    <s v="Activo"/>
    <n v="57979"/>
    <x v="9"/>
  </r>
  <r>
    <n v="2026"/>
    <n v="2"/>
    <s v="28-02-2026"/>
    <n v="10038"/>
    <s v="1104-01"/>
    <n v="26392"/>
    <n v="0"/>
    <s v="Centralización ventas febrero 2026  #37545 - valor total"/>
    <n v="26392"/>
    <s v="Activo"/>
    <n v="26392"/>
    <x v="9"/>
  </r>
  <r>
    <n v="2026"/>
    <n v="2"/>
    <s v="28-02-2026"/>
    <n v="10039"/>
    <s v="1104-01"/>
    <n v="39990"/>
    <n v="0"/>
    <s v="Centralización ventas febrero 2026  #37546 - valor total"/>
    <n v="39990"/>
    <s v="Activo"/>
    <n v="39990"/>
    <x v="9"/>
  </r>
  <r>
    <n v="2026"/>
    <n v="2"/>
    <s v="28-02-2026"/>
    <n v="10040"/>
    <s v="1104-01"/>
    <n v="74300"/>
    <n v="0"/>
    <s v="Centralización ventas febrero 2026  #37547 - valor total"/>
    <n v="74300"/>
    <s v="Activo"/>
    <n v="74300"/>
    <x v="9"/>
  </r>
  <r>
    <n v="2026"/>
    <n v="2"/>
    <s v="28-02-2026"/>
    <n v="10041"/>
    <s v="1104-01"/>
    <n v="30000"/>
    <n v="0"/>
    <s v="Centralización ventas febrero 2026  #37548 - valor total"/>
    <n v="30000"/>
    <s v="Activo"/>
    <n v="30000"/>
    <x v="9"/>
  </r>
  <r>
    <n v="2026"/>
    <n v="2"/>
    <s v="28-02-2026"/>
    <n v="10042"/>
    <s v="1104-01"/>
    <n v="50000"/>
    <n v="0"/>
    <s v="Centralización ventas febrero 2026  #37549 - valor total"/>
    <n v="50000"/>
    <s v="Activo"/>
    <n v="50000"/>
    <x v="9"/>
  </r>
  <r>
    <n v="2026"/>
    <n v="2"/>
    <s v="28-02-2026"/>
    <n v="10043"/>
    <s v="1104-01"/>
    <n v="30000"/>
    <n v="0"/>
    <s v="Centralización ventas febrero 2026  #37550 - valor total"/>
    <n v="30000"/>
    <s v="Activo"/>
    <n v="30000"/>
    <x v="9"/>
  </r>
  <r>
    <n v="2026"/>
    <n v="2"/>
    <s v="28-02-2026"/>
    <n v="10044"/>
    <s v="1104-01"/>
    <n v="21990"/>
    <n v="0"/>
    <s v="Centralización ventas febrero 2026  #37551 - valor total"/>
    <n v="21990"/>
    <s v="Activo"/>
    <n v="21990"/>
    <x v="9"/>
  </r>
  <r>
    <n v="2026"/>
    <n v="2"/>
    <s v="28-02-2026"/>
    <n v="10045"/>
    <s v="1104-01"/>
    <n v="67980"/>
    <n v="0"/>
    <s v="Centralización ventas febrero 2026  #37552 - valor total"/>
    <n v="67980"/>
    <s v="Activo"/>
    <n v="67980"/>
    <x v="9"/>
  </r>
  <r>
    <n v="2026"/>
    <n v="2"/>
    <s v="28-02-2026"/>
    <n v="10046"/>
    <s v="1104-01"/>
    <n v="43990"/>
    <n v="0"/>
    <s v="Centralización ventas febrero 2026  #37553 - valor total"/>
    <n v="43990"/>
    <s v="Activo"/>
    <n v="43990"/>
    <x v="9"/>
  </r>
  <r>
    <n v="2026"/>
    <n v="2"/>
    <s v="28-02-2026"/>
    <n v="10047"/>
    <s v="1104-01"/>
    <n v="50000"/>
    <n v="0"/>
    <s v="Centralización ventas febrero 2026  #37554 - valor total"/>
    <n v="50000"/>
    <s v="Activo"/>
    <n v="50000"/>
    <x v="9"/>
  </r>
  <r>
    <n v="2026"/>
    <n v="2"/>
    <s v="28-02-2026"/>
    <n v="10048"/>
    <s v="1104-01"/>
    <n v="125168"/>
    <n v="0"/>
    <s v="Centralización ventas febrero 2026  #37556 - valor total"/>
    <n v="125168"/>
    <s v="Activo"/>
    <n v="125168"/>
    <x v="9"/>
  </r>
  <r>
    <n v="2026"/>
    <n v="2"/>
    <s v="28-02-2026"/>
    <n v="10049"/>
    <s v="1104-01"/>
    <n v="125318"/>
    <n v="0"/>
    <s v="Centralización ventas febrero 2026  #37557 - valor total"/>
    <n v="125318"/>
    <s v="Activo"/>
    <n v="125318"/>
    <x v="9"/>
  </r>
  <r>
    <n v="2026"/>
    <n v="2"/>
    <s v="28-02-2026"/>
    <n v="10050"/>
    <s v="1104-01"/>
    <n v="47962"/>
    <n v="0"/>
    <s v="Centralización ventas febrero 2026  #37558 - valor total"/>
    <n v="47962"/>
    <s v="Activo"/>
    <n v="47962"/>
    <x v="9"/>
  </r>
  <r>
    <n v="2026"/>
    <n v="2"/>
    <s v="28-02-2026"/>
    <n v="10051"/>
    <s v="1104-01"/>
    <n v="28990"/>
    <n v="0"/>
    <s v="Centralización ventas febrero 2026  #37560 - valor total"/>
    <n v="28990"/>
    <s v="Activo"/>
    <n v="28990"/>
    <x v="9"/>
  </r>
  <r>
    <n v="2026"/>
    <n v="2"/>
    <s v="28-02-2026"/>
    <n v="10052"/>
    <s v="1104-01"/>
    <n v="80000"/>
    <n v="0"/>
    <s v="Centralización ventas febrero 2026  #37561 - valor total"/>
    <n v="80000"/>
    <s v="Activo"/>
    <n v="80000"/>
    <x v="9"/>
  </r>
  <r>
    <n v="2026"/>
    <n v="2"/>
    <s v="28-02-2026"/>
    <n v="10053"/>
    <s v="1104-01"/>
    <n v="15990"/>
    <n v="0"/>
    <s v="Centralización ventas febrero 2026  #37562 - valor total"/>
    <n v="15990"/>
    <s v="Activo"/>
    <n v="15990"/>
    <x v="9"/>
  </r>
  <r>
    <n v="2026"/>
    <n v="2"/>
    <s v="28-02-2026"/>
    <n v="10054"/>
    <s v="1104-01"/>
    <n v="30000"/>
    <n v="0"/>
    <s v="Centralización ventas febrero 2026  #37563 - valor total"/>
    <n v="30000"/>
    <s v="Activo"/>
    <n v="30000"/>
    <x v="9"/>
  </r>
  <r>
    <n v="2026"/>
    <n v="2"/>
    <s v="28-02-2026"/>
    <n v="10055"/>
    <s v="1104-01"/>
    <n v="40000"/>
    <n v="0"/>
    <s v="Centralización ventas febrero 2026  #37564 - valor total"/>
    <n v="40000"/>
    <s v="Activo"/>
    <n v="40000"/>
    <x v="9"/>
  </r>
  <r>
    <n v="2026"/>
    <n v="2"/>
    <s v="28-02-2026"/>
    <n v="10056"/>
    <s v="1104-01"/>
    <n v="137855"/>
    <n v="0"/>
    <s v="Centralización ventas febrero 2026  #37566 - valor total"/>
    <n v="137855"/>
    <s v="Activo"/>
    <n v="137855"/>
    <x v="9"/>
  </r>
  <r>
    <n v="2026"/>
    <n v="2"/>
    <s v="28-02-2026"/>
    <n v="10057"/>
    <s v="1104-01"/>
    <n v="5000"/>
    <n v="0"/>
    <s v="Centralización ventas febrero 2026  #37567 - valor total"/>
    <n v="5000"/>
    <s v="Activo"/>
    <n v="5000"/>
    <x v="9"/>
  </r>
  <r>
    <n v="2026"/>
    <n v="2"/>
    <s v="28-02-2026"/>
    <n v="10058"/>
    <s v="1104-01"/>
    <n v="271338"/>
    <n v="0"/>
    <s v="Centralización ventas febrero 2026  #37568 - valor total"/>
    <n v="271338"/>
    <s v="Activo"/>
    <n v="271338"/>
    <x v="9"/>
  </r>
  <r>
    <n v="2026"/>
    <n v="2"/>
    <s v="28-02-2026"/>
    <n v="10059"/>
    <s v="1104-01"/>
    <n v="49970"/>
    <n v="0"/>
    <s v="Centralización ventas febrero 2026  #37569 - valor total"/>
    <n v="49970"/>
    <s v="Activo"/>
    <n v="49970"/>
    <x v="9"/>
  </r>
  <r>
    <n v="2026"/>
    <n v="2"/>
    <s v="28-02-2026"/>
    <n v="10060"/>
    <s v="1104-01"/>
    <n v="146112"/>
    <n v="0"/>
    <s v="Centralización ventas febrero 2026  #37570 - valor total"/>
    <n v="146112"/>
    <s v="Activo"/>
    <n v="146112"/>
    <x v="9"/>
  </r>
  <r>
    <n v="2026"/>
    <n v="2"/>
    <s v="28-02-2026"/>
    <n v="10061"/>
    <s v="1104-01"/>
    <n v="38000"/>
    <n v="0"/>
    <s v="Centralización ventas febrero 2026  #37571 - valor total"/>
    <n v="38000"/>
    <s v="Activo"/>
    <n v="38000"/>
    <x v="9"/>
  </r>
  <r>
    <n v="2026"/>
    <n v="2"/>
    <s v="28-02-2026"/>
    <n v="10062"/>
    <s v="1104-01"/>
    <n v="63999"/>
    <n v="0"/>
    <s v="Centralización ventas febrero 2026  #37572 - valor total"/>
    <n v="63999"/>
    <s v="Activo"/>
    <n v="63999"/>
    <x v="9"/>
  </r>
  <r>
    <n v="2026"/>
    <n v="2"/>
    <s v="28-02-2026"/>
    <n v="10063"/>
    <s v="1104-01"/>
    <n v="30000"/>
    <n v="0"/>
    <s v="Centralización ventas febrero 2026  #37573 - valor total"/>
    <n v="30000"/>
    <s v="Activo"/>
    <n v="30000"/>
    <x v="9"/>
  </r>
  <r>
    <n v="2026"/>
    <n v="2"/>
    <s v="28-02-2026"/>
    <n v="10064"/>
    <s v="1104-01"/>
    <n v="143000"/>
    <n v="0"/>
    <s v="Centralización ventas febrero 2026  #37574 - valor total"/>
    <n v="143000"/>
    <s v="Activo"/>
    <n v="143000"/>
    <x v="9"/>
  </r>
  <r>
    <n v="2026"/>
    <n v="2"/>
    <s v="28-02-2026"/>
    <n v="10065"/>
    <s v="1104-01"/>
    <n v="14990"/>
    <n v="0"/>
    <s v="Centralización ventas febrero 2026  #37575 - valor total"/>
    <n v="14990"/>
    <s v="Activo"/>
    <n v="14990"/>
    <x v="9"/>
  </r>
  <r>
    <n v="2026"/>
    <n v="2"/>
    <s v="28-02-2026"/>
    <n v="10066"/>
    <s v="1104-01"/>
    <n v="50000"/>
    <n v="0"/>
    <s v="Centralización ventas febrero 2026  #37576 - valor total"/>
    <n v="50000"/>
    <s v="Activo"/>
    <n v="50000"/>
    <x v="9"/>
  </r>
  <r>
    <n v="2026"/>
    <n v="2"/>
    <s v="28-02-2026"/>
    <n v="10067"/>
    <s v="1104-01"/>
    <n v="33990"/>
    <n v="0"/>
    <s v="Centralización ventas febrero 2026  #37577 - valor total"/>
    <n v="33990"/>
    <s v="Activo"/>
    <n v="33990"/>
    <x v="9"/>
  </r>
  <r>
    <n v="2026"/>
    <n v="2"/>
    <s v="28-02-2026"/>
    <n v="10068"/>
    <s v="1104-01"/>
    <n v="50000"/>
    <n v="0"/>
    <s v="Centralización ventas febrero 2026  #37578 - valor total"/>
    <n v="50000"/>
    <s v="Activo"/>
    <n v="50000"/>
    <x v="9"/>
  </r>
  <r>
    <n v="2026"/>
    <n v="2"/>
    <s v="28-02-2026"/>
    <n v="10069"/>
    <s v="1104-01"/>
    <n v="29990"/>
    <n v="0"/>
    <s v="Centralización ventas febrero 2026  #37579 - valor total"/>
    <n v="29990"/>
    <s v="Activo"/>
    <n v="29990"/>
    <x v="9"/>
  </r>
  <r>
    <n v="2026"/>
    <n v="2"/>
    <s v="28-02-2026"/>
    <n v="10070"/>
    <s v="1104-01"/>
    <n v="30000"/>
    <n v="0"/>
    <s v="Centralización ventas febrero 2026  #37580 - valor total"/>
    <n v="30000"/>
    <s v="Activo"/>
    <n v="30000"/>
    <x v="9"/>
  </r>
  <r>
    <n v="2026"/>
    <n v="2"/>
    <s v="28-02-2026"/>
    <n v="10071"/>
    <s v="1104-01"/>
    <n v="425637"/>
    <n v="0"/>
    <s v="Centralización ventas febrero 2026  #37582 - valor total"/>
    <n v="425637"/>
    <s v="Activo"/>
    <n v="425637"/>
    <x v="9"/>
  </r>
  <r>
    <n v="2026"/>
    <n v="2"/>
    <s v="28-02-2026"/>
    <n v="10072"/>
    <s v="1104-01"/>
    <n v="128000"/>
    <n v="0"/>
    <s v="Centralización ventas febrero 2026  #37583 - valor total"/>
    <n v="128000"/>
    <s v="Activo"/>
    <n v="128000"/>
    <x v="9"/>
  </r>
  <r>
    <n v="2026"/>
    <n v="2"/>
    <s v="28-02-2026"/>
    <n v="10073"/>
    <s v="1104-01"/>
    <n v="30001"/>
    <n v="0"/>
    <s v="Centralización ventas febrero 2026  #37585 - valor total"/>
    <n v="30001"/>
    <s v="Activo"/>
    <n v="30001"/>
    <x v="9"/>
  </r>
  <r>
    <n v="2026"/>
    <n v="2"/>
    <s v="28-02-2026"/>
    <n v="10074"/>
    <s v="1104-01"/>
    <n v="30000"/>
    <n v="0"/>
    <s v="Centralización ventas febrero 2026  #37586 - valor total"/>
    <n v="30000"/>
    <s v="Activo"/>
    <n v="30000"/>
    <x v="9"/>
  </r>
  <r>
    <n v="2026"/>
    <n v="2"/>
    <s v="28-02-2026"/>
    <n v="10075"/>
    <s v="1104-01"/>
    <n v="109980"/>
    <n v="0"/>
    <s v="Centralización ventas febrero 2026  #37587 - valor total"/>
    <n v="109980"/>
    <s v="Activo"/>
    <n v="109980"/>
    <x v="9"/>
  </r>
  <r>
    <n v="2026"/>
    <n v="2"/>
    <s v="28-02-2026"/>
    <n v="10076"/>
    <s v="1104-01"/>
    <n v="94586"/>
    <n v="0"/>
    <s v="Centralización ventas febrero 2026  #37739 - valor total"/>
    <n v="94586"/>
    <s v="Activo"/>
    <n v="94586"/>
    <x v="9"/>
  </r>
  <r>
    <n v="2026"/>
    <n v="2"/>
    <s v="28-02-2026"/>
    <n v="10077"/>
    <s v="1104-01"/>
    <n v="38068"/>
    <n v="0"/>
    <s v="Centralización ventas febrero 2026  #37867 - valor total"/>
    <n v="38068"/>
    <s v="Activo"/>
    <n v="38068"/>
    <x v="9"/>
  </r>
  <r>
    <n v="2026"/>
    <n v="2"/>
    <s v="28-02-2026"/>
    <n v="10078"/>
    <s v="1104-01"/>
    <n v="163223"/>
    <n v="0"/>
    <s v="Centralización ventas febrero 2026  #37909 - valor total"/>
    <n v="163223"/>
    <s v="Activo"/>
    <n v="163223"/>
    <x v="9"/>
  </r>
  <r>
    <n v="2026"/>
    <n v="2"/>
    <s v="28-02-2026"/>
    <n v="10079"/>
    <s v="1104-01"/>
    <n v="94969"/>
    <n v="0"/>
    <s v="Centralización ventas febrero 2026  #37940 - valor total"/>
    <n v="94969"/>
    <s v="Activo"/>
    <n v="94969"/>
    <x v="9"/>
  </r>
  <r>
    <n v="2026"/>
    <n v="2"/>
    <s v="28-02-2026"/>
    <n v="10080"/>
    <s v="1104-01"/>
    <n v="2095303"/>
    <n v="0"/>
    <s v="Centralización ventas febrero 2026  #37946 - valor total"/>
    <n v="2095303"/>
    <s v="Activo"/>
    <n v="2095303"/>
    <x v="9"/>
  </r>
  <r>
    <n v="2026"/>
    <n v="2"/>
    <s v="28-02-2026"/>
    <n v="10081"/>
    <s v="1104-01"/>
    <n v="50000"/>
    <n v="0"/>
    <s v="Centralización ventas febrero 2026  #37952 - valor total"/>
    <n v="50000"/>
    <s v="Activo"/>
    <n v="50000"/>
    <x v="9"/>
  </r>
  <r>
    <n v="2026"/>
    <n v="2"/>
    <s v="28-02-2026"/>
    <n v="10082"/>
    <s v="1104-01"/>
    <n v="30000"/>
    <n v="0"/>
    <s v="Centralización ventas febrero 2026  #37588 - valor total"/>
    <n v="30000"/>
    <s v="Activo"/>
    <n v="30000"/>
    <x v="9"/>
  </r>
  <r>
    <n v="2026"/>
    <n v="2"/>
    <s v="28-02-2026"/>
    <n v="10083"/>
    <s v="1104-01"/>
    <n v="100000"/>
    <n v="0"/>
    <s v="Centralización ventas febrero 2026  #37589 - valor total"/>
    <n v="100000"/>
    <s v="Activo"/>
    <n v="100000"/>
    <x v="9"/>
  </r>
  <r>
    <n v="2026"/>
    <n v="2"/>
    <s v="28-02-2026"/>
    <n v="10084"/>
    <s v="1104-01"/>
    <n v="283758"/>
    <n v="0"/>
    <s v="Centralización ventas febrero 2026  #37591 - valor total"/>
    <n v="283758"/>
    <s v="Activo"/>
    <n v="283758"/>
    <x v="9"/>
  </r>
  <r>
    <n v="2026"/>
    <n v="2"/>
    <s v="28-02-2026"/>
    <n v="10085"/>
    <s v="1104-01"/>
    <n v="36990"/>
    <n v="0"/>
    <s v="Centralización ventas febrero 2026  #37592 - valor total"/>
    <n v="36990"/>
    <s v="Activo"/>
    <n v="36990"/>
    <x v="9"/>
  </r>
  <r>
    <n v="2026"/>
    <n v="2"/>
    <s v="28-02-2026"/>
    <n v="10086"/>
    <s v="1104-01"/>
    <n v="36990"/>
    <n v="0"/>
    <s v="Centralización ventas febrero 2026  #37593 - valor total"/>
    <n v="36990"/>
    <s v="Activo"/>
    <n v="36990"/>
    <x v="9"/>
  </r>
  <r>
    <n v="2026"/>
    <n v="2"/>
    <s v="28-02-2026"/>
    <n v="10087"/>
    <s v="1104-01"/>
    <n v="21990"/>
    <n v="0"/>
    <s v="Centralización ventas febrero 2026  #37594 - valor total"/>
    <n v="21990"/>
    <s v="Activo"/>
    <n v="21990"/>
    <x v="9"/>
  </r>
  <r>
    <n v="2026"/>
    <n v="2"/>
    <s v="28-02-2026"/>
    <n v="10088"/>
    <s v="1104-01"/>
    <n v="1391977"/>
    <n v="0"/>
    <s v="Centralización ventas febrero 2026  #37596 - valor total"/>
    <n v="1391977"/>
    <s v="Activo"/>
    <n v="1391977"/>
    <x v="9"/>
  </r>
  <r>
    <n v="2026"/>
    <n v="2"/>
    <s v="28-02-2026"/>
    <n v="10089"/>
    <s v="1104-01"/>
    <n v="69990"/>
    <n v="0"/>
    <s v="Centralización ventas febrero 2026  #37597 - valor total"/>
    <n v="69990"/>
    <s v="Activo"/>
    <n v="69990"/>
    <x v="9"/>
  </r>
  <r>
    <n v="2026"/>
    <n v="2"/>
    <s v="28-02-2026"/>
    <n v="10090"/>
    <s v="1104-01"/>
    <n v="40000"/>
    <n v="0"/>
    <s v="Centralización ventas febrero 2026  #37599 - valor total"/>
    <n v="40000"/>
    <s v="Activo"/>
    <n v="40000"/>
    <x v="9"/>
  </r>
  <r>
    <n v="2026"/>
    <n v="2"/>
    <s v="28-02-2026"/>
    <n v="10091"/>
    <s v="1104-01"/>
    <n v="60000"/>
    <n v="0"/>
    <s v="Centralización ventas febrero 2026  #37600 - valor total"/>
    <n v="60000"/>
    <s v="Activo"/>
    <n v="60000"/>
    <x v="9"/>
  </r>
  <r>
    <n v="2026"/>
    <n v="2"/>
    <s v="28-02-2026"/>
    <n v="10092"/>
    <s v="1104-01"/>
    <n v="39990"/>
    <n v="0"/>
    <s v="Centralización ventas febrero 2026  #37601 - valor total"/>
    <n v="39990"/>
    <s v="Activo"/>
    <n v="39990"/>
    <x v="9"/>
  </r>
  <r>
    <n v="2026"/>
    <n v="2"/>
    <s v="28-02-2026"/>
    <n v="10093"/>
    <s v="1104-01"/>
    <n v="21990"/>
    <n v="0"/>
    <s v="Centralización ventas febrero 2026  #37602 - valor total"/>
    <n v="21990"/>
    <s v="Activo"/>
    <n v="21990"/>
    <x v="9"/>
  </r>
  <r>
    <n v="2026"/>
    <n v="2"/>
    <s v="28-02-2026"/>
    <n v="10094"/>
    <s v="1104-01"/>
    <n v="147960"/>
    <n v="0"/>
    <s v="Centralización ventas febrero 2026  #37603 - valor total"/>
    <n v="147960"/>
    <s v="Activo"/>
    <n v="147960"/>
    <x v="9"/>
  </r>
  <r>
    <n v="2026"/>
    <n v="2"/>
    <s v="28-02-2026"/>
    <n v="10095"/>
    <s v="1104-01"/>
    <n v="14990"/>
    <n v="0"/>
    <s v="Centralización ventas febrero 2026  #37604 - valor total"/>
    <n v="14990"/>
    <s v="Activo"/>
    <n v="14990"/>
    <x v="9"/>
  </r>
  <r>
    <n v="2026"/>
    <n v="2"/>
    <s v="28-02-2026"/>
    <n v="10096"/>
    <s v="1104-01"/>
    <n v="61979"/>
    <n v="0"/>
    <s v="Centralización ventas febrero 2026  #37605 - valor total"/>
    <n v="61979"/>
    <s v="Activo"/>
    <n v="61979"/>
    <x v="9"/>
  </r>
  <r>
    <n v="2026"/>
    <n v="2"/>
    <s v="28-02-2026"/>
    <n v="10097"/>
    <s v="1104-01"/>
    <n v="28990"/>
    <n v="0"/>
    <s v="Centralización ventas febrero 2026  #37606 - valor total"/>
    <n v="28990"/>
    <s v="Activo"/>
    <n v="28990"/>
    <x v="9"/>
  </r>
  <r>
    <n v="2026"/>
    <n v="2"/>
    <s v="28-02-2026"/>
    <n v="10098"/>
    <s v="1104-01"/>
    <n v="34990"/>
    <n v="0"/>
    <s v="Centralización ventas febrero 2026  #37608 - valor total"/>
    <n v="34990"/>
    <s v="Activo"/>
    <n v="34990"/>
    <x v="9"/>
  </r>
  <r>
    <n v="2026"/>
    <n v="2"/>
    <s v="28-02-2026"/>
    <n v="10099"/>
    <s v="1104-01"/>
    <n v="30990"/>
    <n v="0"/>
    <s v="Centralización ventas febrero 2026  #37609 - valor total"/>
    <n v="30990"/>
    <s v="Activo"/>
    <n v="30990"/>
    <x v="9"/>
  </r>
  <r>
    <n v="2026"/>
    <n v="2"/>
    <s v="28-02-2026"/>
    <n v="10100"/>
    <s v="1104-01"/>
    <n v="35971"/>
    <n v="0"/>
    <s v="Centralización ventas febrero 2026  #37610 - valor total"/>
    <n v="35971"/>
    <s v="Activo"/>
    <n v="35971"/>
    <x v="9"/>
  </r>
  <r>
    <n v="2026"/>
    <n v="2"/>
    <s v="28-02-2026"/>
    <n v="10101"/>
    <s v="1104-01"/>
    <n v="33490"/>
    <n v="0"/>
    <s v="Centralización ventas febrero 2026  #37611 - valor total"/>
    <n v="33490"/>
    <s v="Activo"/>
    <n v="33490"/>
    <x v="9"/>
  </r>
  <r>
    <n v="2026"/>
    <n v="2"/>
    <s v="28-02-2026"/>
    <n v="10102"/>
    <s v="1104-01"/>
    <n v="56980"/>
    <n v="0"/>
    <s v="Centralización ventas febrero 2026  #37612 - valor total"/>
    <n v="56980"/>
    <s v="Activo"/>
    <n v="56980"/>
    <x v="9"/>
  </r>
  <r>
    <n v="2026"/>
    <n v="2"/>
    <s v="28-02-2026"/>
    <n v="10103"/>
    <s v="1104-01"/>
    <n v="36990"/>
    <n v="0"/>
    <s v="Centralización ventas febrero 2026  #37614 - valor total"/>
    <n v="36990"/>
    <s v="Activo"/>
    <n v="36990"/>
    <x v="9"/>
  </r>
  <r>
    <n v="2026"/>
    <n v="2"/>
    <s v="28-02-2026"/>
    <n v="10104"/>
    <s v="1104-01"/>
    <n v="28990"/>
    <n v="0"/>
    <s v="Centralización ventas febrero 2026  #37615 - valor total"/>
    <n v="28990"/>
    <s v="Activo"/>
    <n v="28990"/>
    <x v="9"/>
  </r>
  <r>
    <n v="2026"/>
    <n v="2"/>
    <s v="28-02-2026"/>
    <n v="10105"/>
    <s v="1104-01"/>
    <n v="29990"/>
    <n v="0"/>
    <s v="Centralización ventas febrero 2026  #37616 - valor total"/>
    <n v="29990"/>
    <s v="Activo"/>
    <n v="29990"/>
    <x v="9"/>
  </r>
  <r>
    <n v="2026"/>
    <n v="2"/>
    <s v="28-02-2026"/>
    <n v="10106"/>
    <s v="1104-01"/>
    <n v="21990"/>
    <n v="0"/>
    <s v="Centralización ventas febrero 2026  #37617 - valor total"/>
    <n v="21990"/>
    <s v="Activo"/>
    <n v="21990"/>
    <x v="9"/>
  </r>
  <r>
    <n v="2026"/>
    <n v="2"/>
    <s v="28-02-2026"/>
    <n v="10107"/>
    <s v="1104-01"/>
    <n v="21990"/>
    <n v="0"/>
    <s v="Centralización ventas febrero 2026  #37618 - valor total"/>
    <n v="21990"/>
    <s v="Activo"/>
    <n v="21990"/>
    <x v="9"/>
  </r>
  <r>
    <n v="2026"/>
    <n v="2"/>
    <s v="28-02-2026"/>
    <n v="10108"/>
    <s v="1104-01"/>
    <n v="31990"/>
    <n v="0"/>
    <s v="Centralización ventas febrero 2026  #37619 - valor total"/>
    <n v="31990"/>
    <s v="Activo"/>
    <n v="31990"/>
    <x v="9"/>
  </r>
  <r>
    <n v="2026"/>
    <n v="2"/>
    <s v="28-02-2026"/>
    <n v="10109"/>
    <s v="1104-01"/>
    <n v="25990"/>
    <n v="0"/>
    <s v="Centralización ventas febrero 2026  #37620 - valor total"/>
    <n v="25990"/>
    <s v="Activo"/>
    <n v="25990"/>
    <x v="9"/>
  </r>
  <r>
    <n v="2026"/>
    <n v="2"/>
    <s v="28-02-2026"/>
    <n v="10110"/>
    <s v="1104-01"/>
    <n v="29990"/>
    <n v="0"/>
    <s v="Centralización ventas febrero 2026  #37623 - valor total"/>
    <n v="29990"/>
    <s v="Activo"/>
    <n v="29990"/>
    <x v="9"/>
  </r>
  <r>
    <n v="2026"/>
    <n v="2"/>
    <s v="28-02-2026"/>
    <n v="10111"/>
    <s v="1104-01"/>
    <n v="25990"/>
    <n v="0"/>
    <s v="Centralización ventas febrero 2026  #37624 - valor total"/>
    <n v="25990"/>
    <s v="Activo"/>
    <n v="25990"/>
    <x v="9"/>
  </r>
  <r>
    <n v="2026"/>
    <n v="2"/>
    <s v="28-02-2026"/>
    <n v="10112"/>
    <s v="1104-01"/>
    <n v="38990"/>
    <n v="0"/>
    <s v="Centralización ventas febrero 2026  #37626 - valor total"/>
    <n v="38990"/>
    <s v="Activo"/>
    <n v="38990"/>
    <x v="9"/>
  </r>
  <r>
    <n v="2026"/>
    <n v="2"/>
    <s v="28-02-2026"/>
    <n v="10113"/>
    <s v="1104-01"/>
    <n v="60980"/>
    <n v="0"/>
    <s v="Centralización ventas febrero 2026  #37628 - valor total"/>
    <n v="60980"/>
    <s v="Activo"/>
    <n v="60980"/>
    <x v="9"/>
  </r>
  <r>
    <n v="2026"/>
    <n v="2"/>
    <s v="28-02-2026"/>
    <n v="10114"/>
    <s v="1104-01"/>
    <n v="141879"/>
    <n v="0"/>
    <s v="Centralización ventas febrero 2026  #37629 - valor total"/>
    <n v="141879"/>
    <s v="Activo"/>
    <n v="141879"/>
    <x v="9"/>
  </r>
  <r>
    <n v="2026"/>
    <n v="2"/>
    <s v="28-02-2026"/>
    <n v="10115"/>
    <s v="1104-01"/>
    <n v="60980"/>
    <n v="0"/>
    <s v="Centralización ventas febrero 2026  #37630 - valor total"/>
    <n v="60980"/>
    <s v="Activo"/>
    <n v="60980"/>
    <x v="9"/>
  </r>
  <r>
    <n v="2026"/>
    <n v="2"/>
    <s v="28-02-2026"/>
    <n v="10116"/>
    <s v="1104-01"/>
    <n v="40000"/>
    <n v="0"/>
    <s v="Centralización ventas febrero 2026  #37631 - valor total"/>
    <n v="40000"/>
    <s v="Activo"/>
    <n v="40000"/>
    <x v="9"/>
  </r>
  <r>
    <n v="2026"/>
    <n v="2"/>
    <s v="28-02-2026"/>
    <n v="10117"/>
    <s v="1104-01"/>
    <n v="24990"/>
    <n v="0"/>
    <s v="Centralización ventas febrero 2026  #37633 - valor total"/>
    <n v="24990"/>
    <s v="Activo"/>
    <n v="24990"/>
    <x v="9"/>
  </r>
  <r>
    <n v="2026"/>
    <n v="2"/>
    <s v="28-02-2026"/>
    <n v="10118"/>
    <s v="1104-01"/>
    <n v="29990"/>
    <n v="0"/>
    <s v="Centralización ventas febrero 2026  #37635 - valor total"/>
    <n v="29990"/>
    <s v="Activo"/>
    <n v="29990"/>
    <x v="9"/>
  </r>
  <r>
    <n v="2026"/>
    <n v="2"/>
    <s v="28-02-2026"/>
    <n v="10119"/>
    <s v="1104-01"/>
    <n v="60980"/>
    <n v="0"/>
    <s v="Centralización ventas febrero 2026  #37636 - valor total"/>
    <n v="60980"/>
    <s v="Activo"/>
    <n v="60980"/>
    <x v="9"/>
  </r>
  <r>
    <n v="2026"/>
    <n v="2"/>
    <s v="28-02-2026"/>
    <n v="10120"/>
    <s v="1104-01"/>
    <n v="43980"/>
    <n v="0"/>
    <s v="Centralización ventas febrero 2026  #37637 - valor total"/>
    <n v="43980"/>
    <s v="Activo"/>
    <n v="43980"/>
    <x v="9"/>
  </r>
  <r>
    <n v="2026"/>
    <n v="2"/>
    <s v="28-02-2026"/>
    <n v="10121"/>
    <s v="1104-01"/>
    <n v="21990"/>
    <n v="0"/>
    <s v="Centralización ventas febrero 2026  #37638 - valor total"/>
    <n v="21990"/>
    <s v="Activo"/>
    <n v="21990"/>
    <x v="9"/>
  </r>
  <r>
    <n v="2026"/>
    <n v="2"/>
    <s v="28-02-2026"/>
    <n v="10122"/>
    <s v="1104-01"/>
    <n v="14990"/>
    <n v="0"/>
    <s v="Centralización ventas febrero 2026  #37639 - valor total"/>
    <n v="14990"/>
    <s v="Activo"/>
    <n v="14990"/>
    <x v="9"/>
  </r>
  <r>
    <n v="2026"/>
    <n v="2"/>
    <s v="28-02-2026"/>
    <n v="10123"/>
    <s v="1104-01"/>
    <n v="169525"/>
    <n v="0"/>
    <s v="Centralización ventas febrero 2026  #37640 - valor total"/>
    <n v="169525"/>
    <s v="Activo"/>
    <n v="169525"/>
    <x v="9"/>
  </r>
  <r>
    <n v="2026"/>
    <n v="2"/>
    <s v="28-02-2026"/>
    <n v="10124"/>
    <s v="1104-01"/>
    <n v="14990"/>
    <n v="0"/>
    <s v="Centralización ventas febrero 2026  #37641 - valor total"/>
    <n v="14990"/>
    <s v="Activo"/>
    <n v="14990"/>
    <x v="9"/>
  </r>
  <r>
    <n v="2026"/>
    <n v="2"/>
    <s v="28-02-2026"/>
    <n v="10125"/>
    <s v="1104-01"/>
    <n v="21990"/>
    <n v="0"/>
    <s v="Centralización ventas febrero 2026  #37642 - valor total"/>
    <n v="21990"/>
    <s v="Activo"/>
    <n v="21990"/>
    <x v="9"/>
  </r>
  <r>
    <n v="2026"/>
    <n v="2"/>
    <s v="28-02-2026"/>
    <n v="10126"/>
    <s v="1104-01"/>
    <n v="32990"/>
    <n v="0"/>
    <s v="Centralización ventas febrero 2026  #37643 - valor total"/>
    <n v="32990"/>
    <s v="Activo"/>
    <n v="32990"/>
    <x v="9"/>
  </r>
  <r>
    <n v="2026"/>
    <n v="2"/>
    <s v="28-02-2026"/>
    <n v="10127"/>
    <s v="1104-01"/>
    <n v="29990"/>
    <n v="0"/>
    <s v="Centralización ventas febrero 2026  #37644 - valor total"/>
    <n v="29990"/>
    <s v="Activo"/>
    <n v="29990"/>
    <x v="9"/>
  </r>
  <r>
    <n v="2026"/>
    <n v="2"/>
    <s v="28-02-2026"/>
    <n v="10128"/>
    <s v="1104-01"/>
    <n v="161347"/>
    <n v="0"/>
    <s v="Centralización ventas febrero 2026  #37645 - valor total"/>
    <n v="161347"/>
    <s v="Activo"/>
    <n v="161347"/>
    <x v="9"/>
  </r>
  <r>
    <n v="2026"/>
    <n v="2"/>
    <s v="28-02-2026"/>
    <n v="10129"/>
    <s v="1104-01"/>
    <n v="141879"/>
    <n v="0"/>
    <s v="Centralización ventas febrero 2026  #37646 - valor total"/>
    <n v="141879"/>
    <s v="Activo"/>
    <n v="141879"/>
    <x v="9"/>
  </r>
  <r>
    <n v="2026"/>
    <n v="2"/>
    <s v="28-02-2026"/>
    <n v="10130"/>
    <s v="1104-01"/>
    <n v="19990"/>
    <n v="0"/>
    <s v="Centralización ventas febrero 2026  #37648 - valor total"/>
    <n v="19990"/>
    <s v="Activo"/>
    <n v="19990"/>
    <x v="9"/>
  </r>
  <r>
    <n v="2026"/>
    <n v="2"/>
    <s v="28-02-2026"/>
    <n v="10131"/>
    <s v="1104-01"/>
    <n v="19990"/>
    <n v="0"/>
    <s v="Centralización ventas febrero 2026  #37649 - valor total"/>
    <n v="19990"/>
    <s v="Activo"/>
    <n v="19990"/>
    <x v="9"/>
  </r>
  <r>
    <n v="2026"/>
    <n v="2"/>
    <s v="28-02-2026"/>
    <n v="10132"/>
    <s v="1104-01"/>
    <n v="28990"/>
    <n v="0"/>
    <s v="Centralización ventas febrero 2026  #37650 - valor total"/>
    <n v="28990"/>
    <s v="Activo"/>
    <n v="28990"/>
    <x v="9"/>
  </r>
  <r>
    <n v="2026"/>
    <n v="2"/>
    <s v="28-02-2026"/>
    <n v="10133"/>
    <s v="1104-01"/>
    <n v="19990"/>
    <n v="0"/>
    <s v="Centralización ventas febrero 2026  #37651 - valor total"/>
    <n v="19990"/>
    <s v="Activo"/>
    <n v="19990"/>
    <x v="9"/>
  </r>
  <r>
    <n v="2026"/>
    <n v="2"/>
    <s v="28-02-2026"/>
    <n v="10134"/>
    <s v="1104-01"/>
    <n v="19990"/>
    <n v="0"/>
    <s v="Centralización ventas febrero 2026  #37653 - valor total"/>
    <n v="19990"/>
    <s v="Activo"/>
    <n v="19990"/>
    <x v="9"/>
  </r>
  <r>
    <n v="2026"/>
    <n v="2"/>
    <s v="28-02-2026"/>
    <n v="10135"/>
    <s v="1104-01"/>
    <n v="35990"/>
    <n v="0"/>
    <s v="Centralización ventas febrero 2026  #37654 - valor total"/>
    <n v="35990"/>
    <s v="Activo"/>
    <n v="35990"/>
    <x v="9"/>
  </r>
  <r>
    <n v="2026"/>
    <n v="2"/>
    <s v="28-02-2026"/>
    <n v="10136"/>
    <s v="1104-01"/>
    <n v="29990"/>
    <n v="0"/>
    <s v="Centralización ventas febrero 2026  #37655 - valor total"/>
    <n v="29990"/>
    <s v="Activo"/>
    <n v="29990"/>
    <x v="9"/>
  </r>
  <r>
    <n v="2026"/>
    <n v="2"/>
    <s v="28-02-2026"/>
    <n v="10137"/>
    <s v="1104-01"/>
    <n v="97000"/>
    <n v="0"/>
    <s v="Centralización ventas febrero 2026  #37656 - valor total"/>
    <n v="97000"/>
    <s v="Activo"/>
    <n v="97000"/>
    <x v="9"/>
  </r>
  <r>
    <n v="2026"/>
    <n v="2"/>
    <s v="28-02-2026"/>
    <n v="10138"/>
    <s v="1104-01"/>
    <n v="31990"/>
    <n v="0"/>
    <s v="Centralización ventas febrero 2026  #37657 - valor total"/>
    <n v="31990"/>
    <s v="Activo"/>
    <n v="31990"/>
    <x v="9"/>
  </r>
  <r>
    <n v="2026"/>
    <n v="2"/>
    <s v="28-02-2026"/>
    <n v="10139"/>
    <s v="1104-01"/>
    <n v="1554422"/>
    <n v="0"/>
    <s v="Centralización ventas febrero 2026  #37658 - valor total"/>
    <n v="1554422"/>
    <s v="Activo"/>
    <n v="1554422"/>
    <x v="9"/>
  </r>
  <r>
    <n v="2026"/>
    <n v="2"/>
    <s v="28-02-2026"/>
    <n v="10140"/>
    <s v="1104-01"/>
    <n v="26990"/>
    <n v="0"/>
    <s v="Centralización ventas febrero 2026  #37660 - valor total"/>
    <n v="26990"/>
    <s v="Activo"/>
    <n v="26990"/>
    <x v="9"/>
  </r>
  <r>
    <n v="2026"/>
    <n v="2"/>
    <s v="28-02-2026"/>
    <n v="10141"/>
    <s v="1104-01"/>
    <n v="29990"/>
    <n v="0"/>
    <s v="Centralización ventas febrero 2026  #37661 - valor total"/>
    <n v="29990"/>
    <s v="Activo"/>
    <n v="29990"/>
    <x v="9"/>
  </r>
  <r>
    <n v="2026"/>
    <n v="2"/>
    <s v="28-02-2026"/>
    <n v="10142"/>
    <s v="1104-01"/>
    <n v="29980"/>
    <n v="0"/>
    <s v="Centralización ventas febrero 2026  #37662 - valor total"/>
    <n v="29980"/>
    <s v="Activo"/>
    <n v="29980"/>
    <x v="9"/>
  </r>
  <r>
    <n v="2026"/>
    <n v="2"/>
    <s v="28-02-2026"/>
    <n v="10143"/>
    <s v="1104-01"/>
    <n v="24990"/>
    <n v="0"/>
    <s v="Centralización ventas febrero 2026  #37663 - valor total"/>
    <n v="24990"/>
    <s v="Activo"/>
    <n v="24990"/>
    <x v="9"/>
  </r>
  <r>
    <n v="2026"/>
    <n v="2"/>
    <s v="28-02-2026"/>
    <n v="10144"/>
    <s v="1104-01"/>
    <n v="449283"/>
    <n v="0"/>
    <s v="Centralización ventas febrero 2026  #37665 - valor total"/>
    <n v="449283"/>
    <s v="Activo"/>
    <n v="449283"/>
    <x v="9"/>
  </r>
  <r>
    <n v="2026"/>
    <n v="2"/>
    <s v="28-02-2026"/>
    <n v="10145"/>
    <s v="1104-01"/>
    <n v="19990"/>
    <n v="0"/>
    <s v="Centralización ventas febrero 2026  #37666 - valor total"/>
    <n v="19990"/>
    <s v="Activo"/>
    <n v="19990"/>
    <x v="9"/>
  </r>
  <r>
    <n v="2026"/>
    <n v="2"/>
    <s v="28-02-2026"/>
    <n v="10146"/>
    <s v="1104-01"/>
    <n v="29990"/>
    <n v="0"/>
    <s v="Centralización ventas febrero 2026  #37667 - valor total"/>
    <n v="29990"/>
    <s v="Activo"/>
    <n v="29990"/>
    <x v="9"/>
  </r>
  <r>
    <n v="2026"/>
    <n v="2"/>
    <s v="28-02-2026"/>
    <n v="10147"/>
    <s v="1104-01"/>
    <n v="35981"/>
    <n v="0"/>
    <s v="Centralización ventas febrero 2026  #37668 - valor total"/>
    <n v="35981"/>
    <s v="Activo"/>
    <n v="35981"/>
    <x v="9"/>
  </r>
  <r>
    <n v="2026"/>
    <n v="2"/>
    <s v="28-02-2026"/>
    <n v="10148"/>
    <s v="1104-01"/>
    <n v="21990"/>
    <n v="0"/>
    <s v="Centralización ventas febrero 2026  #37669 - valor total"/>
    <n v="21990"/>
    <s v="Activo"/>
    <n v="21990"/>
    <x v="9"/>
  </r>
  <r>
    <n v="2026"/>
    <n v="2"/>
    <s v="28-02-2026"/>
    <n v="10149"/>
    <s v="1104-01"/>
    <n v="14990"/>
    <n v="0"/>
    <s v="Centralización ventas febrero 2026  #37670 - valor total"/>
    <n v="14990"/>
    <s v="Activo"/>
    <n v="14990"/>
    <x v="9"/>
  </r>
  <r>
    <n v="2026"/>
    <n v="2"/>
    <s v="28-02-2026"/>
    <n v="10150"/>
    <s v="1104-01"/>
    <n v="24990"/>
    <n v="0"/>
    <s v="Centralización ventas febrero 2026  #37671 - valor total"/>
    <n v="24990"/>
    <s v="Activo"/>
    <n v="24990"/>
    <x v="9"/>
  </r>
  <r>
    <n v="2026"/>
    <n v="2"/>
    <s v="28-02-2026"/>
    <n v="10151"/>
    <s v="1104-01"/>
    <n v="84929"/>
    <n v="0"/>
    <s v="Centralización ventas febrero 2026  #37672 - valor total"/>
    <n v="84929"/>
    <s v="Activo"/>
    <n v="84929"/>
    <x v="9"/>
  </r>
  <r>
    <n v="2026"/>
    <n v="2"/>
    <s v="28-02-2026"/>
    <n v="10152"/>
    <s v="1104-01"/>
    <n v="31990"/>
    <n v="0"/>
    <s v="Centralización ventas febrero 2026  #37673 - valor total"/>
    <n v="31990"/>
    <s v="Activo"/>
    <n v="31990"/>
    <x v="9"/>
  </r>
  <r>
    <n v="2026"/>
    <n v="2"/>
    <s v="28-02-2026"/>
    <n v="10153"/>
    <s v="1104-01"/>
    <n v="34990"/>
    <n v="0"/>
    <s v="Centralización ventas febrero 2026  #37674 - valor total"/>
    <n v="34990"/>
    <s v="Activo"/>
    <n v="34990"/>
    <x v="9"/>
  </r>
  <r>
    <n v="2026"/>
    <n v="2"/>
    <s v="28-02-2026"/>
    <n v="10154"/>
    <s v="1104-01"/>
    <n v="24990"/>
    <n v="0"/>
    <s v="Centralización ventas febrero 2026  #37675 - valor total"/>
    <n v="24990"/>
    <s v="Activo"/>
    <n v="24990"/>
    <x v="9"/>
  </r>
  <r>
    <n v="2026"/>
    <n v="2"/>
    <s v="28-02-2026"/>
    <n v="10155"/>
    <s v="1104-01"/>
    <n v="52990"/>
    <n v="0"/>
    <s v="Centralización ventas febrero 2026  #37676 - valor total"/>
    <n v="52990"/>
    <s v="Activo"/>
    <n v="52990"/>
    <x v="9"/>
  </r>
  <r>
    <n v="2026"/>
    <n v="2"/>
    <s v="28-02-2026"/>
    <n v="10156"/>
    <s v="1104-01"/>
    <n v="38990"/>
    <n v="0"/>
    <s v="Centralización ventas febrero 2026  #37677 - valor total"/>
    <n v="38990"/>
    <s v="Activo"/>
    <n v="38990"/>
    <x v="9"/>
  </r>
  <r>
    <n v="2026"/>
    <n v="2"/>
    <s v="28-02-2026"/>
    <n v="10157"/>
    <s v="1104-01"/>
    <n v="29990"/>
    <n v="0"/>
    <s v="Centralización ventas febrero 2026  #37678 - valor total"/>
    <n v="29990"/>
    <s v="Activo"/>
    <n v="29990"/>
    <x v="9"/>
  </r>
  <r>
    <n v="2026"/>
    <n v="2"/>
    <s v="28-02-2026"/>
    <n v="10158"/>
    <s v="1104-01"/>
    <n v="99990"/>
    <n v="0"/>
    <s v="Centralización ventas febrero 2026  #37679 - valor total"/>
    <n v="99990"/>
    <s v="Activo"/>
    <n v="99990"/>
    <x v="9"/>
  </r>
  <r>
    <n v="2026"/>
    <n v="2"/>
    <s v="28-02-2026"/>
    <n v="10159"/>
    <s v="1104-01"/>
    <n v="34990"/>
    <n v="0"/>
    <s v="Centralización ventas febrero 2026  #37681 - valor total"/>
    <n v="34990"/>
    <s v="Activo"/>
    <n v="34990"/>
    <x v="9"/>
  </r>
  <r>
    <n v="2026"/>
    <n v="2"/>
    <s v="28-02-2026"/>
    <n v="10160"/>
    <s v="1104-01"/>
    <n v="39990"/>
    <n v="0"/>
    <s v="Centralización ventas febrero 2026  #37682 - valor total"/>
    <n v="39990"/>
    <s v="Activo"/>
    <n v="39990"/>
    <x v="9"/>
  </r>
  <r>
    <n v="2026"/>
    <n v="2"/>
    <s v="28-02-2026"/>
    <n v="10161"/>
    <s v="1104-01"/>
    <n v="74990"/>
    <n v="0"/>
    <s v="Centralización ventas febrero 2026  #37683 - valor total"/>
    <n v="74990"/>
    <s v="Activo"/>
    <n v="74990"/>
    <x v="9"/>
  </r>
  <r>
    <n v="2026"/>
    <n v="2"/>
    <s v="28-02-2026"/>
    <n v="10162"/>
    <s v="1104-01"/>
    <n v="170869"/>
    <n v="0"/>
    <s v="Centralización ventas febrero 2026  #37684 - valor total"/>
    <n v="170869"/>
    <s v="Activo"/>
    <n v="170869"/>
    <x v="9"/>
  </r>
  <r>
    <n v="2026"/>
    <n v="2"/>
    <s v="28-02-2026"/>
    <n v="10163"/>
    <s v="1104-01"/>
    <n v="54990"/>
    <n v="0"/>
    <s v="Centralización ventas febrero 2026  #37685 - valor total"/>
    <n v="54990"/>
    <s v="Activo"/>
    <n v="54990"/>
    <x v="9"/>
  </r>
  <r>
    <n v="2026"/>
    <n v="2"/>
    <s v="28-02-2026"/>
    <n v="10164"/>
    <s v="1104-01"/>
    <n v="31990"/>
    <n v="0"/>
    <s v="Centralización ventas febrero 2026  #37686 - valor total"/>
    <n v="31990"/>
    <s v="Activo"/>
    <n v="31990"/>
    <x v="9"/>
  </r>
  <r>
    <n v="2026"/>
    <n v="2"/>
    <s v="28-02-2026"/>
    <n v="10165"/>
    <s v="1104-01"/>
    <n v="29990"/>
    <n v="0"/>
    <s v="Centralización ventas febrero 2026  #37687 - valor total"/>
    <n v="29990"/>
    <s v="Activo"/>
    <n v="29990"/>
    <x v="9"/>
  </r>
  <r>
    <n v="2026"/>
    <n v="2"/>
    <s v="28-02-2026"/>
    <n v="10166"/>
    <s v="1104-01"/>
    <n v="22990"/>
    <n v="0"/>
    <s v="Centralización ventas febrero 2026  #37688 - valor total"/>
    <n v="22990"/>
    <s v="Activo"/>
    <n v="22990"/>
    <x v="9"/>
  </r>
  <r>
    <n v="2026"/>
    <n v="2"/>
    <s v="28-02-2026"/>
    <n v="10167"/>
    <s v="1104-01"/>
    <n v="275415"/>
    <n v="0"/>
    <s v="Centralización ventas febrero 2026  #37690 - valor total"/>
    <n v="275415"/>
    <s v="Activo"/>
    <n v="275415"/>
    <x v="9"/>
  </r>
  <r>
    <n v="2026"/>
    <n v="2"/>
    <s v="28-02-2026"/>
    <n v="10168"/>
    <s v="1104-01"/>
    <n v="331051"/>
    <n v="0"/>
    <s v="Centralización ventas febrero 2026  #37691 - valor total"/>
    <n v="331051"/>
    <s v="Activo"/>
    <n v="331051"/>
    <x v="9"/>
  </r>
  <r>
    <n v="2026"/>
    <n v="2"/>
    <s v="28-02-2026"/>
    <n v="10169"/>
    <s v="1104-01"/>
    <n v="37990"/>
    <n v="0"/>
    <s v="Centralización ventas febrero 2026  #37692 - valor total"/>
    <n v="37990"/>
    <s v="Activo"/>
    <n v="37990"/>
    <x v="9"/>
  </r>
  <r>
    <n v="2026"/>
    <n v="2"/>
    <s v="28-02-2026"/>
    <n v="10170"/>
    <s v="1104-01"/>
    <n v="19990"/>
    <n v="0"/>
    <s v="Centralización ventas febrero 2026  #37693 - valor total"/>
    <n v="19990"/>
    <s v="Activo"/>
    <n v="19990"/>
    <x v="9"/>
  </r>
  <r>
    <n v="2026"/>
    <n v="2"/>
    <s v="28-02-2026"/>
    <n v="10171"/>
    <s v="1104-01"/>
    <n v="1826805"/>
    <n v="0"/>
    <s v="Centralización ventas febrero 2026  #37694 - valor total"/>
    <n v="1826805"/>
    <s v="Activo"/>
    <n v="1826805"/>
    <x v="9"/>
  </r>
  <r>
    <n v="2026"/>
    <n v="2"/>
    <s v="28-02-2026"/>
    <n v="10172"/>
    <s v="1104-01"/>
    <n v="33491"/>
    <n v="0"/>
    <s v="Centralización ventas febrero 2026  #37695 - valor total"/>
    <n v="33491"/>
    <s v="Activo"/>
    <n v="33491"/>
    <x v="9"/>
  </r>
  <r>
    <n v="2026"/>
    <n v="2"/>
    <s v="28-02-2026"/>
    <n v="10173"/>
    <s v="1104-01"/>
    <n v="30000"/>
    <n v="0"/>
    <s v="Centralización ventas febrero 2026  #37696 - valor total"/>
    <n v="30000"/>
    <s v="Activo"/>
    <n v="30000"/>
    <x v="9"/>
  </r>
  <r>
    <n v="2026"/>
    <n v="2"/>
    <s v="28-02-2026"/>
    <n v="10174"/>
    <s v="1104-01"/>
    <n v="40962"/>
    <n v="0"/>
    <s v="Centralización ventas febrero 2026  #37697 - valor total"/>
    <n v="40962"/>
    <s v="Activo"/>
    <n v="40962"/>
    <x v="9"/>
  </r>
  <r>
    <n v="2026"/>
    <n v="2"/>
    <s v="28-02-2026"/>
    <n v="10175"/>
    <s v="1104-01"/>
    <n v="30000"/>
    <n v="0"/>
    <s v="Centralización ventas febrero 2026  #37699 - valor total"/>
    <n v="30000"/>
    <s v="Activo"/>
    <n v="30000"/>
    <x v="9"/>
  </r>
  <r>
    <n v="2026"/>
    <n v="2"/>
    <s v="28-02-2026"/>
    <n v="10176"/>
    <s v="1104-01"/>
    <n v="21990"/>
    <n v="0"/>
    <s v="Centralización ventas febrero 2026  #37700 - valor total"/>
    <n v="21990"/>
    <s v="Activo"/>
    <n v="21990"/>
    <x v="9"/>
  </r>
  <r>
    <n v="2026"/>
    <n v="2"/>
    <s v="28-02-2026"/>
    <n v="10177"/>
    <s v="1104-01"/>
    <n v="21990"/>
    <n v="0"/>
    <s v="Centralización ventas febrero 2026  #37701 - valor total"/>
    <n v="21990"/>
    <s v="Activo"/>
    <n v="21990"/>
    <x v="9"/>
  </r>
  <r>
    <n v="2026"/>
    <n v="2"/>
    <s v="28-02-2026"/>
    <n v="10178"/>
    <s v="1104-01"/>
    <n v="24990"/>
    <n v="0"/>
    <s v="Centralización ventas febrero 2026  #37702 - valor total"/>
    <n v="24990"/>
    <s v="Activo"/>
    <n v="24990"/>
    <x v="9"/>
  </r>
  <r>
    <n v="2026"/>
    <n v="2"/>
    <s v="28-02-2026"/>
    <n v="10179"/>
    <s v="1104-01"/>
    <n v="19990"/>
    <n v="0"/>
    <s v="Centralización ventas febrero 2026  #37703 - valor total"/>
    <n v="19990"/>
    <s v="Activo"/>
    <n v="19990"/>
    <x v="9"/>
  </r>
  <r>
    <n v="2026"/>
    <n v="2"/>
    <s v="28-02-2026"/>
    <n v="10180"/>
    <s v="1104-01"/>
    <n v="28990"/>
    <n v="0"/>
    <s v="Centralización ventas febrero 2026  #37704 - valor total"/>
    <n v="28990"/>
    <s v="Activo"/>
    <n v="28990"/>
    <x v="9"/>
  </r>
  <r>
    <n v="2026"/>
    <n v="2"/>
    <s v="28-02-2026"/>
    <n v="10181"/>
    <s v="1104-01"/>
    <n v="30000"/>
    <n v="0"/>
    <s v="Centralización ventas febrero 2026  #37705 - valor total"/>
    <n v="30000"/>
    <s v="Activo"/>
    <n v="30000"/>
    <x v="9"/>
  </r>
  <r>
    <n v="2026"/>
    <n v="2"/>
    <s v="28-02-2026"/>
    <n v="10182"/>
    <s v="1104-01"/>
    <n v="35980"/>
    <n v="0"/>
    <s v="Centralización ventas febrero 2026  #37706 - valor total"/>
    <n v="35980"/>
    <s v="Activo"/>
    <n v="35980"/>
    <x v="9"/>
  </r>
  <r>
    <n v="2026"/>
    <n v="2"/>
    <s v="28-02-2026"/>
    <n v="10183"/>
    <s v="1104-01"/>
    <n v="72980"/>
    <n v="0"/>
    <s v="Centralización ventas febrero 2026  #37707 - valor total"/>
    <n v="72980"/>
    <s v="Activo"/>
    <n v="72980"/>
    <x v="9"/>
  </r>
  <r>
    <n v="2026"/>
    <n v="2"/>
    <s v="28-02-2026"/>
    <n v="10184"/>
    <s v="1104-01"/>
    <n v="19990"/>
    <n v="0"/>
    <s v="Centralización ventas febrero 2026  #37708 - valor total"/>
    <n v="19990"/>
    <s v="Activo"/>
    <n v="19990"/>
    <x v="9"/>
  </r>
  <r>
    <n v="2026"/>
    <n v="2"/>
    <s v="28-02-2026"/>
    <n v="10185"/>
    <s v="1104-01"/>
    <n v="29990"/>
    <n v="0"/>
    <s v="Centralización ventas febrero 2026  #37709 - valor total"/>
    <n v="29990"/>
    <s v="Activo"/>
    <n v="29990"/>
    <x v="9"/>
  </r>
  <r>
    <n v="2026"/>
    <n v="2"/>
    <s v="28-02-2026"/>
    <n v="10186"/>
    <s v="1104-01"/>
    <n v="141879"/>
    <n v="0"/>
    <s v="Centralización ventas febrero 2026  #37710 - valor total"/>
    <n v="141879"/>
    <s v="Activo"/>
    <n v="141879"/>
    <x v="9"/>
  </r>
  <r>
    <n v="2026"/>
    <n v="2"/>
    <s v="28-02-2026"/>
    <n v="10187"/>
    <s v="1104-01"/>
    <n v="24990"/>
    <n v="0"/>
    <s v="Centralización ventas febrero 2026  #37711 - valor total"/>
    <n v="24990"/>
    <s v="Activo"/>
    <n v="24990"/>
    <x v="9"/>
  </r>
  <r>
    <n v="2026"/>
    <n v="2"/>
    <s v="28-02-2026"/>
    <n v="10188"/>
    <s v="1104-01"/>
    <n v="14990"/>
    <n v="0"/>
    <s v="Centralización ventas febrero 2026  #37712 - valor total"/>
    <n v="14990"/>
    <s v="Activo"/>
    <n v="14990"/>
    <x v="9"/>
  </r>
  <r>
    <n v="2026"/>
    <n v="2"/>
    <s v="28-02-2026"/>
    <n v="10189"/>
    <s v="1104-01"/>
    <n v="113503"/>
    <n v="0"/>
    <s v="Centralización ventas febrero 2026  #37713 - valor total"/>
    <n v="113503"/>
    <s v="Activo"/>
    <n v="113503"/>
    <x v="9"/>
  </r>
  <r>
    <n v="2026"/>
    <n v="2"/>
    <s v="28-02-2026"/>
    <n v="10190"/>
    <s v="1104-01"/>
    <n v="26990"/>
    <n v="0"/>
    <s v="Centralización ventas febrero 2026  #37714 - valor total"/>
    <n v="26990"/>
    <s v="Activo"/>
    <n v="26990"/>
    <x v="9"/>
  </r>
  <r>
    <n v="2026"/>
    <n v="2"/>
    <s v="28-02-2026"/>
    <n v="10191"/>
    <s v="1104-01"/>
    <n v="709394"/>
    <n v="0"/>
    <s v="Centralización ventas febrero 2026  #37715 - valor total"/>
    <n v="709394"/>
    <s v="Activo"/>
    <n v="709394"/>
    <x v="9"/>
  </r>
  <r>
    <n v="2026"/>
    <n v="2"/>
    <s v="28-02-2026"/>
    <n v="10192"/>
    <s v="1104-01"/>
    <n v="24990"/>
    <n v="0"/>
    <s v="Centralización ventas febrero 2026  #37716 - valor total"/>
    <n v="24990"/>
    <s v="Activo"/>
    <n v="24990"/>
    <x v="9"/>
  </r>
  <r>
    <n v="2026"/>
    <n v="2"/>
    <s v="28-02-2026"/>
    <n v="10193"/>
    <s v="1104-01"/>
    <n v="429427"/>
    <n v="0"/>
    <s v="Centralización ventas febrero 2026  #37717 - valor total"/>
    <n v="429427"/>
    <s v="Activo"/>
    <n v="429427"/>
    <x v="9"/>
  </r>
  <r>
    <n v="2026"/>
    <n v="2"/>
    <s v="28-02-2026"/>
    <n v="10194"/>
    <s v="1104-01"/>
    <n v="128000"/>
    <n v="0"/>
    <s v="Centralización ventas febrero 2026  #37718 - valor total"/>
    <n v="128000"/>
    <s v="Activo"/>
    <n v="128000"/>
    <x v="9"/>
  </r>
  <r>
    <n v="2026"/>
    <n v="2"/>
    <s v="28-02-2026"/>
    <n v="10195"/>
    <s v="1104-01"/>
    <n v="22990"/>
    <n v="0"/>
    <s v="Centralización ventas febrero 2026  #37719 - valor total"/>
    <n v="22990"/>
    <s v="Activo"/>
    <n v="22990"/>
    <x v="9"/>
  </r>
  <r>
    <n v="2026"/>
    <n v="2"/>
    <s v="28-02-2026"/>
    <n v="10196"/>
    <s v="1104-01"/>
    <n v="89990"/>
    <n v="0"/>
    <s v="Centralización ventas febrero 2026  #37720 - valor total"/>
    <n v="89990"/>
    <s v="Activo"/>
    <n v="89990"/>
    <x v="9"/>
  </r>
  <r>
    <n v="2026"/>
    <n v="2"/>
    <s v="28-02-2026"/>
    <n v="10197"/>
    <s v="1104-01"/>
    <n v="24990"/>
    <n v="0"/>
    <s v="Centralización ventas febrero 2026  #37721 - valor total"/>
    <n v="24990"/>
    <s v="Activo"/>
    <n v="24990"/>
    <x v="9"/>
  </r>
  <r>
    <n v="2026"/>
    <n v="2"/>
    <s v="28-02-2026"/>
    <n v="10198"/>
    <s v="1104-01"/>
    <n v="40000"/>
    <n v="0"/>
    <s v="Centralización ventas febrero 2026  #37722 - valor total"/>
    <n v="40000"/>
    <s v="Activo"/>
    <n v="40000"/>
    <x v="9"/>
  </r>
  <r>
    <n v="2026"/>
    <n v="2"/>
    <s v="28-02-2026"/>
    <n v="10199"/>
    <s v="1104-01"/>
    <n v="32990"/>
    <n v="0"/>
    <s v="Centralización ventas febrero 2026  #37723 - valor total"/>
    <n v="32990"/>
    <s v="Activo"/>
    <n v="32990"/>
    <x v="9"/>
  </r>
  <r>
    <n v="2026"/>
    <n v="2"/>
    <s v="28-02-2026"/>
    <n v="10200"/>
    <s v="1104-01"/>
    <n v="24990"/>
    <n v="0"/>
    <s v="Centralización ventas febrero 2026  #37724 - valor total"/>
    <n v="24990"/>
    <s v="Activo"/>
    <n v="24990"/>
    <x v="9"/>
  </r>
  <r>
    <n v="2026"/>
    <n v="2"/>
    <s v="28-02-2026"/>
    <n v="10201"/>
    <s v="1104-01"/>
    <n v="21990"/>
    <n v="0"/>
    <s v="Centralización ventas febrero 2026  #37726 - valor total"/>
    <n v="21990"/>
    <s v="Activo"/>
    <n v="21990"/>
    <x v="9"/>
  </r>
  <r>
    <n v="2026"/>
    <n v="2"/>
    <s v="28-02-2026"/>
    <n v="10202"/>
    <s v="1104-01"/>
    <n v="108949"/>
    <n v="0"/>
    <s v="Centralización ventas febrero 2026  #37727 - valor total"/>
    <n v="108949"/>
    <s v="Activo"/>
    <n v="108949"/>
    <x v="9"/>
  </r>
  <r>
    <n v="2026"/>
    <n v="2"/>
    <s v="28-02-2026"/>
    <n v="10203"/>
    <s v="1104-01"/>
    <n v="28972"/>
    <n v="0"/>
    <s v="Centralización ventas febrero 2026  #37728 - valor total"/>
    <n v="28972"/>
    <s v="Activo"/>
    <n v="28972"/>
    <x v="9"/>
  </r>
  <r>
    <n v="2026"/>
    <n v="2"/>
    <s v="28-02-2026"/>
    <n v="10204"/>
    <s v="1104-01"/>
    <n v="43971"/>
    <n v="0"/>
    <s v="Centralización ventas febrero 2026  #37729 - valor total"/>
    <n v="43971"/>
    <s v="Activo"/>
    <n v="43971"/>
    <x v="9"/>
  </r>
  <r>
    <n v="2026"/>
    <n v="2"/>
    <s v="28-02-2026"/>
    <n v="10205"/>
    <s v="1104-01"/>
    <n v="34990"/>
    <n v="0"/>
    <s v="Centralización ventas febrero 2026  #37731 - valor total"/>
    <n v="34990"/>
    <s v="Activo"/>
    <n v="34990"/>
    <x v="9"/>
  </r>
  <r>
    <n v="2026"/>
    <n v="2"/>
    <s v="28-02-2026"/>
    <n v="10206"/>
    <s v="1104-01"/>
    <n v="29990"/>
    <n v="0"/>
    <s v="Centralización ventas febrero 2026  #37732 - valor total"/>
    <n v="29990"/>
    <s v="Activo"/>
    <n v="29990"/>
    <x v="9"/>
  </r>
  <r>
    <n v="2026"/>
    <n v="2"/>
    <s v="28-02-2026"/>
    <n v="10207"/>
    <s v="1104-01"/>
    <n v="14990"/>
    <n v="0"/>
    <s v="Centralización ventas febrero 2026  #37733 - valor total"/>
    <n v="14990"/>
    <s v="Activo"/>
    <n v="14990"/>
    <x v="9"/>
  </r>
  <r>
    <n v="2026"/>
    <n v="2"/>
    <s v="28-02-2026"/>
    <n v="10208"/>
    <s v="1104-01"/>
    <n v="425637"/>
    <n v="0"/>
    <s v="Centralización ventas febrero 2026  #37735 - valor total"/>
    <n v="425637"/>
    <s v="Activo"/>
    <n v="425637"/>
    <x v="9"/>
  </r>
  <r>
    <n v="2026"/>
    <n v="2"/>
    <s v="28-02-2026"/>
    <n v="10209"/>
    <s v="1104-01"/>
    <n v="22990"/>
    <n v="0"/>
    <s v="Centralización ventas febrero 2026  #37736 - valor total"/>
    <n v="22990"/>
    <s v="Activo"/>
    <n v="22990"/>
    <x v="9"/>
  </r>
  <r>
    <n v="2026"/>
    <n v="2"/>
    <s v="28-02-2026"/>
    <n v="10210"/>
    <s v="1104-01"/>
    <n v="29990"/>
    <n v="0"/>
    <s v="Centralización ventas febrero 2026  #37737 - valor total"/>
    <n v="29990"/>
    <s v="Activo"/>
    <n v="29990"/>
    <x v="9"/>
  </r>
  <r>
    <n v="2026"/>
    <n v="2"/>
    <s v="28-02-2026"/>
    <n v="10211"/>
    <s v="1104-01"/>
    <n v="43999"/>
    <n v="0"/>
    <s v="Centralización ventas febrero 2026  #37738 - valor total"/>
    <n v="43999"/>
    <s v="Activo"/>
    <n v="43999"/>
    <x v="9"/>
  </r>
  <r>
    <n v="2026"/>
    <n v="2"/>
    <s v="28-02-2026"/>
    <n v="10212"/>
    <s v="1104-01"/>
    <n v="32989"/>
    <n v="0"/>
    <s v="Centralización ventas febrero 2026  #37740 - valor total"/>
    <n v="32989"/>
    <s v="Activo"/>
    <n v="32989"/>
    <x v="9"/>
  </r>
  <r>
    <n v="2026"/>
    <n v="2"/>
    <s v="28-02-2026"/>
    <n v="10213"/>
    <s v="1104-01"/>
    <n v="70000"/>
    <n v="0"/>
    <s v="Centralización ventas febrero 2026  #37741 - valor total"/>
    <n v="70000"/>
    <s v="Activo"/>
    <n v="70000"/>
    <x v="9"/>
  </r>
  <r>
    <n v="2026"/>
    <n v="2"/>
    <s v="28-02-2026"/>
    <n v="10214"/>
    <s v="1104-01"/>
    <n v="42990"/>
    <n v="0"/>
    <s v="Centralización ventas febrero 2026  #37742 - valor total"/>
    <n v="42990"/>
    <s v="Activo"/>
    <n v="42990"/>
    <x v="9"/>
  </r>
  <r>
    <n v="2026"/>
    <n v="2"/>
    <s v="28-02-2026"/>
    <n v="10215"/>
    <s v="1104-01"/>
    <n v="17990"/>
    <n v="0"/>
    <s v="Centralización ventas febrero 2026  #37743 - valor total"/>
    <n v="17990"/>
    <s v="Activo"/>
    <n v="17990"/>
    <x v="9"/>
  </r>
  <r>
    <n v="2026"/>
    <n v="2"/>
    <s v="28-02-2026"/>
    <n v="10216"/>
    <s v="1104-01"/>
    <n v="24990"/>
    <n v="0"/>
    <s v="Centralización ventas febrero 2026  #37744 - valor total"/>
    <n v="24990"/>
    <s v="Activo"/>
    <n v="24990"/>
    <x v="9"/>
  </r>
  <r>
    <n v="2026"/>
    <n v="2"/>
    <s v="28-02-2026"/>
    <n v="10217"/>
    <s v="1104-01"/>
    <n v="24990"/>
    <n v="0"/>
    <s v="Centralización ventas febrero 2026  #37745 - valor total"/>
    <n v="24990"/>
    <s v="Activo"/>
    <n v="24990"/>
    <x v="9"/>
  </r>
  <r>
    <n v="2026"/>
    <n v="2"/>
    <s v="28-02-2026"/>
    <n v="10218"/>
    <s v="1104-01"/>
    <n v="165525"/>
    <n v="0"/>
    <s v="Centralización ventas febrero 2026  #37746 - valor total"/>
    <n v="165525"/>
    <s v="Activo"/>
    <n v="165525"/>
    <x v="9"/>
  </r>
  <r>
    <n v="2026"/>
    <n v="2"/>
    <s v="28-02-2026"/>
    <n v="10219"/>
    <s v="1104-01"/>
    <n v="39990"/>
    <n v="0"/>
    <s v="Centralización ventas febrero 2026  #37747 - valor total"/>
    <n v="39990"/>
    <s v="Activo"/>
    <n v="39990"/>
    <x v="9"/>
  </r>
  <r>
    <n v="2026"/>
    <n v="2"/>
    <s v="28-02-2026"/>
    <n v="10220"/>
    <s v="1104-01"/>
    <n v="51990"/>
    <n v="0"/>
    <s v="Centralización ventas febrero 2026  #37748 - valor total"/>
    <n v="51990"/>
    <s v="Activo"/>
    <n v="51990"/>
    <x v="9"/>
  </r>
  <r>
    <n v="2026"/>
    <n v="2"/>
    <s v="28-02-2026"/>
    <n v="10221"/>
    <s v="1104-01"/>
    <n v="24990"/>
    <n v="0"/>
    <s v="Centralización ventas febrero 2026  #37749 - valor total"/>
    <n v="24990"/>
    <s v="Activo"/>
    <n v="24990"/>
    <x v="9"/>
  </r>
  <r>
    <n v="2026"/>
    <n v="2"/>
    <s v="28-02-2026"/>
    <n v="10222"/>
    <s v="1104-01"/>
    <n v="31990"/>
    <n v="0"/>
    <s v="Centralización ventas febrero 2026  #37750 - valor total"/>
    <n v="31990"/>
    <s v="Activo"/>
    <n v="31990"/>
    <x v="9"/>
  </r>
  <r>
    <n v="2026"/>
    <n v="2"/>
    <s v="28-02-2026"/>
    <n v="10223"/>
    <s v="1104-01"/>
    <n v="39990"/>
    <n v="0"/>
    <s v="Centralización ventas febrero 2026  #37751 - valor total"/>
    <n v="39990"/>
    <s v="Activo"/>
    <n v="39990"/>
    <x v="9"/>
  </r>
  <r>
    <n v="2026"/>
    <n v="2"/>
    <s v="28-02-2026"/>
    <n v="10224"/>
    <s v="1104-01"/>
    <n v="46990"/>
    <n v="0"/>
    <s v="Centralización ventas febrero 2026  #37752 - valor total"/>
    <n v="46990"/>
    <s v="Activo"/>
    <n v="46990"/>
    <x v="9"/>
  </r>
  <r>
    <n v="2026"/>
    <n v="2"/>
    <s v="28-02-2026"/>
    <n v="10225"/>
    <s v="1104-01"/>
    <n v="290867"/>
    <n v="0"/>
    <s v="Centralización ventas febrero 2026  #37753 - valor total"/>
    <n v="290867"/>
    <s v="Activo"/>
    <n v="290867"/>
    <x v="9"/>
  </r>
  <r>
    <n v="2026"/>
    <n v="2"/>
    <s v="28-02-2026"/>
    <n v="10226"/>
    <s v="1104-01"/>
    <n v="48970"/>
    <n v="0"/>
    <s v="Centralización ventas febrero 2026  #37754 - valor total"/>
    <n v="48970"/>
    <s v="Activo"/>
    <n v="48970"/>
    <x v="9"/>
  </r>
  <r>
    <n v="2026"/>
    <n v="2"/>
    <s v="28-02-2026"/>
    <n v="10227"/>
    <s v="1104-01"/>
    <n v="42990"/>
    <n v="0"/>
    <s v="Centralización ventas febrero 2026  #37755 - valor total"/>
    <n v="42990"/>
    <s v="Activo"/>
    <n v="42990"/>
    <x v="9"/>
  </r>
  <r>
    <n v="2026"/>
    <n v="2"/>
    <s v="28-02-2026"/>
    <n v="10228"/>
    <s v="1104-01"/>
    <n v="21990"/>
    <n v="0"/>
    <s v="Centralización ventas febrero 2026  #37756 - valor total"/>
    <n v="21990"/>
    <s v="Activo"/>
    <n v="21990"/>
    <x v="9"/>
  </r>
  <r>
    <n v="2026"/>
    <n v="2"/>
    <s v="28-02-2026"/>
    <n v="10229"/>
    <s v="1104-01"/>
    <n v="22990"/>
    <n v="0"/>
    <s v="Centralización ventas febrero 2026  #37757 - valor total"/>
    <n v="22990"/>
    <s v="Activo"/>
    <n v="22990"/>
    <x v="9"/>
  </r>
  <r>
    <n v="2026"/>
    <n v="2"/>
    <s v="28-02-2026"/>
    <n v="10230"/>
    <s v="1104-01"/>
    <n v="21990"/>
    <n v="0"/>
    <s v="Centralización ventas febrero 2026  #37759 - valor total"/>
    <n v="21990"/>
    <s v="Activo"/>
    <n v="21990"/>
    <x v="9"/>
  </r>
  <r>
    <n v="2026"/>
    <n v="2"/>
    <s v="28-02-2026"/>
    <n v="10231"/>
    <s v="1104-01"/>
    <n v="874631"/>
    <n v="0"/>
    <s v="Centralización ventas febrero 2026  #37760 - valor total"/>
    <n v="874631"/>
    <s v="Activo"/>
    <n v="874631"/>
    <x v="9"/>
  </r>
  <r>
    <n v="2026"/>
    <n v="2"/>
    <s v="28-02-2026"/>
    <n v="10232"/>
    <s v="1104-01"/>
    <n v="24990"/>
    <n v="0"/>
    <s v="Centralización ventas febrero 2026  #37761 - valor total"/>
    <n v="24990"/>
    <s v="Activo"/>
    <n v="24990"/>
    <x v="9"/>
  </r>
  <r>
    <n v="2026"/>
    <n v="2"/>
    <s v="28-02-2026"/>
    <n v="10233"/>
    <s v="1104-01"/>
    <n v="35000"/>
    <n v="0"/>
    <s v="Centralización ventas febrero 2026  #37762 - valor total"/>
    <n v="35000"/>
    <s v="Activo"/>
    <n v="35000"/>
    <x v="9"/>
  </r>
  <r>
    <n v="2026"/>
    <n v="2"/>
    <s v="28-02-2026"/>
    <n v="10234"/>
    <s v="1104-01"/>
    <n v="28990"/>
    <n v="0"/>
    <s v="Centralización ventas febrero 2026  #37763 - valor total"/>
    <n v="28990"/>
    <s v="Activo"/>
    <n v="28990"/>
    <x v="9"/>
  </r>
  <r>
    <n v="2026"/>
    <n v="2"/>
    <s v="28-02-2026"/>
    <n v="10235"/>
    <s v="1104-01"/>
    <n v="24990"/>
    <n v="0"/>
    <s v="Centralización ventas febrero 2026  #37764 - valor total"/>
    <n v="24990"/>
    <s v="Activo"/>
    <n v="24990"/>
    <x v="9"/>
  </r>
  <r>
    <n v="2026"/>
    <n v="2"/>
    <s v="28-02-2026"/>
    <n v="10236"/>
    <s v="1104-01"/>
    <n v="21990"/>
    <n v="0"/>
    <s v="Centralización ventas febrero 2026  #37766 - valor total"/>
    <n v="21990"/>
    <s v="Activo"/>
    <n v="21990"/>
    <x v="9"/>
  </r>
  <r>
    <n v="2026"/>
    <n v="2"/>
    <s v="28-02-2026"/>
    <n v="10237"/>
    <s v="1104-01"/>
    <n v="472930"/>
    <n v="0"/>
    <s v="Centralización ventas febrero 2026  #37767 - valor total"/>
    <n v="472930"/>
    <s v="Activo"/>
    <n v="472930"/>
    <x v="9"/>
  </r>
  <r>
    <n v="2026"/>
    <n v="2"/>
    <s v="28-02-2026"/>
    <n v="10238"/>
    <s v="1104-01"/>
    <n v="24990"/>
    <n v="0"/>
    <s v="Centralización ventas febrero 2026  #37768 - valor total"/>
    <n v="24990"/>
    <s v="Activo"/>
    <n v="24990"/>
    <x v="9"/>
  </r>
  <r>
    <n v="2026"/>
    <n v="2"/>
    <s v="28-02-2026"/>
    <n v="10239"/>
    <s v="1104-01"/>
    <n v="79980"/>
    <n v="0"/>
    <s v="Centralización ventas febrero 2026  #37769 - valor total"/>
    <n v="79980"/>
    <s v="Activo"/>
    <n v="79980"/>
    <x v="9"/>
  </r>
  <r>
    <n v="2026"/>
    <n v="2"/>
    <s v="28-02-2026"/>
    <n v="10240"/>
    <s v="1104-01"/>
    <n v="34990"/>
    <n v="0"/>
    <s v="Centralización ventas febrero 2026  #37770 - valor total"/>
    <n v="34990"/>
    <s v="Activo"/>
    <n v="34990"/>
    <x v="9"/>
  </r>
  <r>
    <n v="2026"/>
    <n v="2"/>
    <s v="28-02-2026"/>
    <n v="10241"/>
    <s v="1104-01"/>
    <n v="36990"/>
    <n v="0"/>
    <s v="Centralización ventas febrero 2026  #37771 - valor total"/>
    <n v="36990"/>
    <s v="Activo"/>
    <n v="36990"/>
    <x v="9"/>
  </r>
  <r>
    <n v="2026"/>
    <n v="2"/>
    <s v="28-02-2026"/>
    <n v="10242"/>
    <s v="1104-01"/>
    <n v="34990"/>
    <n v="0"/>
    <s v="Centralización ventas febrero 2026  #37772 - valor total"/>
    <n v="34990"/>
    <s v="Activo"/>
    <n v="34990"/>
    <x v="9"/>
  </r>
  <r>
    <n v="2026"/>
    <n v="2"/>
    <s v="28-02-2026"/>
    <n v="10243"/>
    <s v="1104-01"/>
    <n v="44990"/>
    <n v="0"/>
    <s v="Centralización ventas febrero 2026  #37773 - valor total"/>
    <n v="44990"/>
    <s v="Activo"/>
    <n v="44990"/>
    <x v="9"/>
  </r>
  <r>
    <n v="2026"/>
    <n v="2"/>
    <s v="28-02-2026"/>
    <n v="10244"/>
    <s v="1104-01"/>
    <n v="94586"/>
    <n v="0"/>
    <s v="Centralización ventas febrero 2026  #37774 - valor total"/>
    <n v="94586"/>
    <s v="Activo"/>
    <n v="94586"/>
    <x v="9"/>
  </r>
  <r>
    <n v="2026"/>
    <n v="2"/>
    <s v="28-02-2026"/>
    <n v="10245"/>
    <s v="1104-01"/>
    <n v="54990"/>
    <n v="0"/>
    <s v="Centralización ventas febrero 2026  #37775 - valor total"/>
    <n v="54990"/>
    <s v="Activo"/>
    <n v="54990"/>
    <x v="9"/>
  </r>
  <r>
    <n v="2026"/>
    <n v="2"/>
    <s v="28-02-2026"/>
    <n v="10246"/>
    <s v="1104-01"/>
    <n v="69590"/>
    <n v="0"/>
    <s v="Centralización ventas febrero 2026  #37776 - valor total"/>
    <n v="69590"/>
    <s v="Activo"/>
    <n v="69590"/>
    <x v="9"/>
  </r>
  <r>
    <n v="2026"/>
    <n v="2"/>
    <s v="28-02-2026"/>
    <n v="10247"/>
    <s v="1104-01"/>
    <n v="2380000"/>
    <n v="0"/>
    <s v="Centralización ventas febrero 2026  #37777 - valor total"/>
    <n v="2380000"/>
    <s v="Activo"/>
    <n v="2380000"/>
    <x v="9"/>
  </r>
  <r>
    <n v="2026"/>
    <n v="2"/>
    <s v="28-02-2026"/>
    <n v="10248"/>
    <s v="1104-01"/>
    <n v="33980"/>
    <n v="0"/>
    <s v="Centralización ventas febrero 2026  #37778 - valor total"/>
    <n v="33980"/>
    <s v="Activo"/>
    <n v="33980"/>
    <x v="9"/>
  </r>
  <r>
    <n v="2026"/>
    <n v="2"/>
    <s v="28-02-2026"/>
    <n v="10249"/>
    <s v="1104-01"/>
    <n v="39990"/>
    <n v="0"/>
    <s v="Centralización ventas febrero 2026  #37779 - valor total"/>
    <n v="39990"/>
    <s v="Activo"/>
    <n v="39990"/>
    <x v="9"/>
  </r>
  <r>
    <n v="2026"/>
    <n v="2"/>
    <s v="28-02-2026"/>
    <n v="10250"/>
    <s v="1104-01"/>
    <n v="50000"/>
    <n v="0"/>
    <s v="Centralización ventas febrero 2026  #37780 - valor total"/>
    <n v="50000"/>
    <s v="Activo"/>
    <n v="50000"/>
    <x v="9"/>
  </r>
  <r>
    <n v="2026"/>
    <n v="2"/>
    <s v="28-02-2026"/>
    <n v="10251"/>
    <s v="1104-01"/>
    <n v="50000"/>
    <n v="0"/>
    <s v="Centralización ventas febrero 2026  #37781 - valor total"/>
    <n v="50000"/>
    <s v="Activo"/>
    <n v="50000"/>
    <x v="9"/>
  </r>
  <r>
    <n v="2026"/>
    <n v="2"/>
    <s v="28-02-2026"/>
    <n v="10252"/>
    <s v="1104-01"/>
    <n v="60940"/>
    <n v="0"/>
    <s v="Centralización ventas febrero 2026  #37782 - valor total"/>
    <n v="60940"/>
    <s v="Activo"/>
    <n v="60940"/>
    <x v="9"/>
  </r>
  <r>
    <n v="2026"/>
    <n v="2"/>
    <s v="28-02-2026"/>
    <n v="10253"/>
    <s v="1104-01"/>
    <n v="28990"/>
    <n v="0"/>
    <s v="Centralización ventas febrero 2026  #37783 - valor total"/>
    <n v="28990"/>
    <s v="Activo"/>
    <n v="28990"/>
    <x v="9"/>
  </r>
  <r>
    <n v="2026"/>
    <n v="2"/>
    <s v="28-02-2026"/>
    <n v="10254"/>
    <s v="1104-01"/>
    <n v="113503"/>
    <n v="0"/>
    <s v="Centralización ventas febrero 2026  #37784 - valor total"/>
    <n v="113503"/>
    <s v="Activo"/>
    <n v="113503"/>
    <x v="9"/>
  </r>
  <r>
    <n v="2026"/>
    <n v="2"/>
    <s v="28-02-2026"/>
    <n v="10255"/>
    <s v="1104-01"/>
    <n v="99315"/>
    <n v="0"/>
    <s v="Centralización ventas febrero 2026  #37785 - valor total"/>
    <n v="99315"/>
    <s v="Activo"/>
    <n v="99315"/>
    <x v="9"/>
  </r>
  <r>
    <n v="2026"/>
    <n v="2"/>
    <s v="28-02-2026"/>
    <n v="10256"/>
    <s v="1104-01"/>
    <n v="236465"/>
    <n v="0"/>
    <s v="Centralización ventas febrero 2026  #37786 - valor total"/>
    <n v="236465"/>
    <s v="Activo"/>
    <n v="236465"/>
    <x v="9"/>
  </r>
  <r>
    <n v="2026"/>
    <n v="2"/>
    <s v="28-02-2026"/>
    <n v="10257"/>
    <s v="1104-01"/>
    <n v="174821"/>
    <n v="0"/>
    <s v="Centralización ventas febrero 2026  #37787 - valor total"/>
    <n v="174821"/>
    <s v="Activo"/>
    <n v="174821"/>
    <x v="9"/>
  </r>
  <r>
    <n v="2026"/>
    <n v="2"/>
    <s v="28-02-2026"/>
    <n v="10258"/>
    <s v="1104-01"/>
    <n v="219493"/>
    <n v="0"/>
    <s v="Centralización ventas febrero 2026  #37788 - valor total"/>
    <n v="219493"/>
    <s v="Activo"/>
    <n v="219493"/>
    <x v="9"/>
  </r>
  <r>
    <n v="2026"/>
    <n v="2"/>
    <s v="28-02-2026"/>
    <n v="10259"/>
    <s v="1104-01"/>
    <n v="425637"/>
    <n v="0"/>
    <s v="Centralización ventas febrero 2026  #37792 - valor total"/>
    <n v="425637"/>
    <s v="Activo"/>
    <n v="425637"/>
    <x v="9"/>
  </r>
  <r>
    <n v="2026"/>
    <n v="2"/>
    <s v="28-02-2026"/>
    <n v="10260"/>
    <s v="1104-01"/>
    <n v="24990"/>
    <n v="0"/>
    <s v="Centralización ventas febrero 2026  #37793 - valor total"/>
    <n v="24990"/>
    <s v="Activo"/>
    <n v="24990"/>
    <x v="9"/>
  </r>
  <r>
    <n v="2026"/>
    <n v="2"/>
    <s v="28-02-2026"/>
    <n v="10261"/>
    <s v="1104-01"/>
    <n v="39990"/>
    <n v="0"/>
    <s v="Centralización ventas febrero 2026  #37794 - valor total"/>
    <n v="39990"/>
    <s v="Activo"/>
    <n v="39990"/>
    <x v="9"/>
  </r>
  <r>
    <n v="2026"/>
    <n v="2"/>
    <s v="28-02-2026"/>
    <n v="10262"/>
    <s v="1104-01"/>
    <n v="30000"/>
    <n v="0"/>
    <s v="Centralización ventas febrero 2026  #37811 - valor total"/>
    <n v="30000"/>
    <s v="Activo"/>
    <n v="30000"/>
    <x v="9"/>
  </r>
  <r>
    <n v="2026"/>
    <n v="2"/>
    <s v="28-02-2026"/>
    <n v="10263"/>
    <s v="1104-01"/>
    <n v="30000"/>
    <n v="0"/>
    <s v="Centralización ventas febrero 2026  #37812 - valor total"/>
    <n v="30000"/>
    <s v="Activo"/>
    <n v="30000"/>
    <x v="9"/>
  </r>
  <r>
    <n v="2026"/>
    <n v="2"/>
    <s v="28-02-2026"/>
    <n v="10264"/>
    <s v="1104-01"/>
    <n v="48000"/>
    <n v="0"/>
    <s v="Centralización ventas febrero 2026  #37827 - valor total"/>
    <n v="48000"/>
    <s v="Activo"/>
    <n v="48000"/>
    <x v="9"/>
  </r>
  <r>
    <n v="2026"/>
    <n v="2"/>
    <s v="28-02-2026"/>
    <n v="10265"/>
    <s v="1104-01"/>
    <n v="19990"/>
    <n v="0"/>
    <s v="Centralización ventas febrero 2026  #37842 - valor total"/>
    <n v="19990"/>
    <s v="Activo"/>
    <n v="19990"/>
    <x v="9"/>
  </r>
  <r>
    <n v="2026"/>
    <n v="2"/>
    <s v="28-02-2026"/>
    <n v="10266"/>
    <s v="1104-01"/>
    <n v="139981"/>
    <n v="0"/>
    <s v="Centralización ventas febrero 2026  #37884 - valor total"/>
    <n v="139981"/>
    <s v="Activo"/>
    <n v="139981"/>
    <x v="9"/>
  </r>
  <r>
    <n v="2026"/>
    <n v="2"/>
    <s v="28-02-2026"/>
    <n v="10267"/>
    <s v="1104-01"/>
    <n v="560626"/>
    <n v="0"/>
    <s v="Centralización ventas febrero 2026  #37885 - valor total"/>
    <n v="560626"/>
    <s v="Activo"/>
    <n v="560626"/>
    <x v="9"/>
  </r>
  <r>
    <n v="2026"/>
    <n v="2"/>
    <s v="28-02-2026"/>
    <n v="10268"/>
    <s v="1104-01"/>
    <n v="224864"/>
    <n v="0"/>
    <s v="Centralización ventas febrero 2026  #37886 - valor total"/>
    <n v="224864"/>
    <s v="Activo"/>
    <n v="224864"/>
    <x v="9"/>
  </r>
  <r>
    <n v="2026"/>
    <n v="2"/>
    <s v="28-02-2026"/>
    <n v="10269"/>
    <s v="1104-01"/>
    <n v="42000"/>
    <n v="0"/>
    <s v="Centralización ventas febrero 2026  #37896 - valor total"/>
    <n v="42000"/>
    <s v="Activo"/>
    <n v="42000"/>
    <x v="9"/>
  </r>
  <r>
    <n v="2026"/>
    <n v="2"/>
    <s v="28-02-2026"/>
    <n v="10270"/>
    <s v="1104-01"/>
    <n v="14990"/>
    <n v="0"/>
    <s v="Centralización ventas febrero 2026  #37929 - valor total"/>
    <n v="14990"/>
    <s v="Activo"/>
    <n v="14990"/>
    <x v="9"/>
  </r>
  <r>
    <n v="2026"/>
    <n v="2"/>
    <s v="28-02-2026"/>
    <n v="10271"/>
    <s v="1104-01"/>
    <n v="2028336"/>
    <n v="0"/>
    <s v="Centralización ventas febrero 2026  #37947 - valor total"/>
    <n v="2028336"/>
    <s v="Activo"/>
    <n v="2028336"/>
    <x v="9"/>
  </r>
  <r>
    <n v="2026"/>
    <n v="2"/>
    <s v="28-02-2026"/>
    <n v="10272"/>
    <s v="1104-01"/>
    <n v="160933"/>
    <n v="0"/>
    <s v="Centralización ventas febrero 2026  #37948 - valor total"/>
    <n v="160933"/>
    <s v="Activo"/>
    <n v="160933"/>
    <x v="9"/>
  </r>
  <r>
    <n v="2026"/>
    <n v="2"/>
    <s v="28-02-2026"/>
    <n v="10273"/>
    <s v="1104-01"/>
    <n v="133280"/>
    <n v="0"/>
    <s v="Centralización ventas febrero 2026  #37949 - valor total"/>
    <n v="133280"/>
    <s v="Activo"/>
    <n v="133280"/>
    <x v="9"/>
  </r>
  <r>
    <n v="2026"/>
    <n v="2"/>
    <s v="28-02-2026"/>
    <n v="10274"/>
    <s v="1104-01"/>
    <n v="72971"/>
    <n v="0"/>
    <s v="Centralización ventas febrero 2026  #37951 - valor total"/>
    <n v="72971"/>
    <s v="Activo"/>
    <n v="72971"/>
    <x v="9"/>
  </r>
  <r>
    <n v="2026"/>
    <n v="2"/>
    <s v="28-02-2026"/>
    <n v="10275"/>
    <s v="1104-01"/>
    <n v="36990"/>
    <n v="0"/>
    <s v="Centralización ventas febrero 2026  #37954 - valor total"/>
    <n v="36990"/>
    <s v="Activo"/>
    <n v="36990"/>
    <x v="9"/>
  </r>
  <r>
    <n v="2026"/>
    <n v="2"/>
    <s v="28-02-2026"/>
    <n v="10276"/>
    <s v="1104-01"/>
    <n v="36990"/>
    <n v="0"/>
    <s v="Centralización ventas febrero 2026  #37955 - valor total"/>
    <n v="36990"/>
    <s v="Activo"/>
    <n v="36990"/>
    <x v="9"/>
  </r>
  <r>
    <n v="2026"/>
    <n v="2"/>
    <s v="28-02-2026"/>
    <n v="10277"/>
    <s v="1104-01"/>
    <n v="38990"/>
    <n v="0"/>
    <s v="Centralización ventas febrero 2026  #37956 - valor total"/>
    <n v="38990"/>
    <s v="Activo"/>
    <n v="38990"/>
    <x v="9"/>
  </r>
  <r>
    <n v="2026"/>
    <n v="2"/>
    <s v="28-02-2026"/>
    <n v="10278"/>
    <s v="1104-01"/>
    <n v="31990"/>
    <n v="0"/>
    <s v="Centralización ventas febrero 2026  #37957 - valor total"/>
    <n v="31990"/>
    <s v="Activo"/>
    <n v="31990"/>
    <x v="9"/>
  </r>
  <r>
    <n v="2026"/>
    <n v="2"/>
    <s v="28-02-2026"/>
    <n v="10279"/>
    <s v="1104-01"/>
    <n v="21990"/>
    <n v="0"/>
    <s v="Centralización ventas febrero 2026  #37958 - valor total"/>
    <n v="21990"/>
    <s v="Activo"/>
    <n v="21990"/>
    <x v="9"/>
  </r>
  <r>
    <n v="2026"/>
    <n v="2"/>
    <s v="28-02-2026"/>
    <n v="10280"/>
    <s v="1104-01"/>
    <n v="32990"/>
    <n v="0"/>
    <s v="Centralización ventas febrero 2026  #37960 - valor total"/>
    <n v="32990"/>
    <s v="Activo"/>
    <n v="32990"/>
    <x v="9"/>
  </r>
  <r>
    <n v="2026"/>
    <n v="2"/>
    <s v="28-02-2026"/>
    <n v="10281"/>
    <s v="1104-01"/>
    <n v="54990"/>
    <n v="0"/>
    <s v="Centralización ventas febrero 2026  #37961 - valor total"/>
    <n v="54990"/>
    <s v="Activo"/>
    <n v="54990"/>
    <x v="9"/>
  </r>
  <r>
    <n v="2026"/>
    <n v="2"/>
    <s v="28-02-2026"/>
    <n v="10282"/>
    <s v="1104-01"/>
    <n v="0"/>
    <n v="9990"/>
    <s v="Centralización ventas febrero 2026  #4464 - valor total"/>
    <n v="-9990"/>
    <s v="Activo"/>
    <n v="-9990"/>
    <x v="9"/>
  </r>
  <r>
    <n v="2026"/>
    <n v="2"/>
    <s v="28-02-2026"/>
    <n v="10283"/>
    <s v="1104-01"/>
    <n v="0"/>
    <n v="9990"/>
    <s v="Centralización ventas febrero 2026  #4465 - valor total"/>
    <n v="-9990"/>
    <s v="Activo"/>
    <n v="-9990"/>
    <x v="9"/>
  </r>
  <r>
    <n v="2026"/>
    <n v="2"/>
    <s v="28-02-2026"/>
    <n v="10284"/>
    <s v="1104-01"/>
    <n v="0"/>
    <n v="9990"/>
    <s v="Centralización ventas febrero 2026  #4466 - valor total"/>
    <n v="-9990"/>
    <s v="Activo"/>
    <n v="-9990"/>
    <x v="9"/>
  </r>
  <r>
    <n v="2026"/>
    <n v="2"/>
    <s v="28-02-2026"/>
    <n v="10285"/>
    <s v="1104-01"/>
    <n v="0"/>
    <n v="39990"/>
    <s v="Centralización ventas febrero 2026  #4467 - valor total"/>
    <n v="-39990"/>
    <s v="Activo"/>
    <n v="-39990"/>
    <x v="9"/>
  </r>
  <r>
    <n v="2026"/>
    <n v="2"/>
    <s v="28-02-2026"/>
    <n v="10286"/>
    <s v="1104-01"/>
    <n v="0"/>
    <n v="39990"/>
    <s v="Centralización ventas febrero 2026  #4468 - valor total"/>
    <n v="-39990"/>
    <s v="Activo"/>
    <n v="-39990"/>
    <x v="9"/>
  </r>
  <r>
    <n v="2026"/>
    <n v="2"/>
    <s v="28-02-2026"/>
    <n v="10287"/>
    <s v="1104-01"/>
    <n v="0"/>
    <n v="4512"/>
    <s v="Centralización ventas febrero 2026  #4469 - valor total"/>
    <n v="-4512"/>
    <s v="Activo"/>
    <n v="-4512"/>
    <x v="9"/>
  </r>
  <r>
    <n v="2026"/>
    <n v="2"/>
    <s v="28-02-2026"/>
    <n v="10288"/>
    <s v="1104-01"/>
    <n v="0"/>
    <n v="38990"/>
    <s v="Centralización ventas febrero 2026  #4470 - valor total"/>
    <n v="-38990"/>
    <s v="Activo"/>
    <n v="-38990"/>
    <x v="9"/>
  </r>
  <r>
    <n v="2026"/>
    <n v="2"/>
    <s v="28-02-2026"/>
    <n v="10289"/>
    <s v="1104-01"/>
    <n v="0"/>
    <n v="21990"/>
    <s v="Centralización ventas febrero 2026  #4471 - valor total"/>
    <n v="-21990"/>
    <s v="Activo"/>
    <n v="-21990"/>
    <x v="9"/>
  </r>
  <r>
    <n v="2026"/>
    <n v="2"/>
    <s v="28-02-2026"/>
    <n v="10290"/>
    <s v="1104-01"/>
    <n v="0"/>
    <n v="39990"/>
    <s v="Centralización ventas febrero 2026  #4473 - valor total"/>
    <n v="-39990"/>
    <s v="Activo"/>
    <n v="-39990"/>
    <x v="9"/>
  </r>
  <r>
    <n v="2026"/>
    <n v="2"/>
    <s v="28-02-2026"/>
    <n v="10291"/>
    <s v="1104-01"/>
    <n v="0"/>
    <n v="43990"/>
    <s v="Centralización ventas febrero 2026  #4474 - valor total"/>
    <n v="-43990"/>
    <s v="Activo"/>
    <n v="-43990"/>
    <x v="9"/>
  </r>
  <r>
    <n v="2026"/>
    <n v="2"/>
    <s v="28-02-2026"/>
    <n v="10292"/>
    <s v="1104-01"/>
    <n v="0"/>
    <n v="27251"/>
    <s v="Centralización ventas febrero 2026  #4475 - valor total"/>
    <n v="-27251"/>
    <s v="Activo"/>
    <n v="-27251"/>
    <x v="9"/>
  </r>
  <r>
    <n v="2026"/>
    <n v="2"/>
    <s v="28-02-2026"/>
    <n v="10293"/>
    <s v="1104-01"/>
    <n v="0"/>
    <n v="18985"/>
    <s v="Centralización ventas febrero 2026  #4476 - valor total"/>
    <n v="-18985"/>
    <s v="Activo"/>
    <n v="-18985"/>
    <x v="9"/>
  </r>
  <r>
    <n v="2026"/>
    <n v="2"/>
    <s v="28-02-2026"/>
    <n v="10294"/>
    <s v="1104-01"/>
    <n v="0"/>
    <n v="22980"/>
    <s v="Centralización ventas febrero 2026  #4477 - valor total"/>
    <n v="-22980"/>
    <s v="Activo"/>
    <n v="-22980"/>
    <x v="9"/>
  </r>
  <r>
    <n v="2026"/>
    <n v="2"/>
    <s v="28-02-2026"/>
    <n v="10295"/>
    <s v="1104-01"/>
    <n v="0"/>
    <n v="22981"/>
    <s v="Centralización ventas febrero 2026  #4478 - valor total"/>
    <n v="-22981"/>
    <s v="Activo"/>
    <n v="-22981"/>
    <x v="9"/>
  </r>
  <r>
    <n v="2026"/>
    <n v="2"/>
    <s v="28-02-2026"/>
    <n v="10296"/>
    <s v="1104-01"/>
    <n v="0"/>
    <n v="60000"/>
    <s v="Centralización ventas febrero 2026  #4480 - valor total"/>
    <n v="-60000"/>
    <s v="Activo"/>
    <n v="-60000"/>
    <x v="9"/>
  </r>
  <r>
    <n v="2026"/>
    <n v="2"/>
    <s v="28-02-2026"/>
    <n v="10297"/>
    <s v="1104-01"/>
    <n v="0"/>
    <n v="23980"/>
    <s v="Centralización ventas febrero 2026  #4481 - valor total"/>
    <n v="-23980"/>
    <s v="Activo"/>
    <n v="-23980"/>
    <x v="9"/>
  </r>
  <r>
    <n v="2026"/>
    <n v="2"/>
    <s v="28-02-2026"/>
    <n v="10298"/>
    <s v="1104-01"/>
    <n v="0"/>
    <n v="23980"/>
    <s v="Centralización ventas febrero 2026  #4482 - valor total"/>
    <n v="-23980"/>
    <s v="Activo"/>
    <n v="-23980"/>
    <x v="9"/>
  </r>
  <r>
    <n v="2026"/>
    <n v="2"/>
    <s v="28-02-2026"/>
    <n v="10299"/>
    <s v="1104-01"/>
    <n v="0"/>
    <n v="99993"/>
    <s v="Centralización ventas febrero 2026  #4483 - valor total"/>
    <n v="-99993"/>
    <s v="Activo"/>
    <n v="-99993"/>
    <x v="9"/>
  </r>
  <r>
    <n v="2026"/>
    <n v="2"/>
    <s v="28-02-2026"/>
    <n v="10300"/>
    <s v="1104-01"/>
    <n v="0"/>
    <n v="22980"/>
    <s v="Centralización ventas febrero 2026  #4484 - valor total"/>
    <n v="-22980"/>
    <s v="Activo"/>
    <n v="-22980"/>
    <x v="9"/>
  </r>
  <r>
    <n v="2026"/>
    <n v="2"/>
    <s v="28-02-2026"/>
    <n v="10301"/>
    <s v="1104-01"/>
    <n v="0"/>
    <n v="22980"/>
    <s v="Centralización ventas febrero 2026  #4485 - valor total"/>
    <n v="-22980"/>
    <s v="Activo"/>
    <n v="-22980"/>
    <x v="9"/>
  </r>
  <r>
    <n v="2026"/>
    <n v="2"/>
    <s v="28-02-2026"/>
    <n v="10302"/>
    <s v="1104-01"/>
    <n v="0"/>
    <n v="22980"/>
    <s v="Centralización ventas febrero 2026  #4486 - valor total"/>
    <n v="-22980"/>
    <s v="Activo"/>
    <n v="-22980"/>
    <x v="9"/>
  </r>
  <r>
    <n v="2026"/>
    <n v="2"/>
    <s v="28-02-2026"/>
    <n v="10303"/>
    <s v="1104-01"/>
    <n v="0"/>
    <n v="39990"/>
    <s v="Centralización ventas febrero 2026  #4487 - valor total"/>
    <n v="-39990"/>
    <s v="Activo"/>
    <n v="-39990"/>
    <x v="9"/>
  </r>
  <r>
    <n v="2026"/>
    <n v="2"/>
    <s v="28-02-2026"/>
    <n v="10304"/>
    <s v="1104-01"/>
    <n v="0"/>
    <n v="39990"/>
    <s v="Centralización ventas febrero 2026  #4488 - valor total"/>
    <n v="-39990"/>
    <s v="Activo"/>
    <n v="-39990"/>
    <x v="9"/>
  </r>
  <r>
    <n v="2026"/>
    <n v="2"/>
    <s v="28-02-2026"/>
    <n v="10305"/>
    <s v="1104-01"/>
    <n v="0"/>
    <n v="39990"/>
    <s v="Centralización ventas febrero 2026  #4489 - valor total"/>
    <n v="-39990"/>
    <s v="Activo"/>
    <n v="-39990"/>
    <x v="9"/>
  </r>
  <r>
    <n v="2026"/>
    <n v="2"/>
    <s v="28-02-2026"/>
    <n v="10306"/>
    <s v="1104-01"/>
    <n v="0"/>
    <n v="33970"/>
    <s v="Centralización ventas febrero 2026  #4490 - valor total"/>
    <n v="-33970"/>
    <s v="Activo"/>
    <n v="-33970"/>
    <x v="9"/>
  </r>
  <r>
    <n v="2026"/>
    <n v="2"/>
    <s v="28-02-2026"/>
    <n v="10307"/>
    <s v="1104-01"/>
    <n v="0"/>
    <n v="497778"/>
    <s v="Centralización ventas febrero 2026  #4491 - valor total"/>
    <n v="-497778"/>
    <s v="Activo"/>
    <n v="-497778"/>
    <x v="9"/>
  </r>
  <r>
    <n v="2026"/>
    <n v="2"/>
    <s v="28-02-2026"/>
    <n v="10308"/>
    <s v="1104-01"/>
    <n v="0"/>
    <n v="24980"/>
    <s v="Centralización ventas febrero 2026  #4492 - valor total"/>
    <n v="-24980"/>
    <s v="Activo"/>
    <n v="-24980"/>
    <x v="9"/>
  </r>
  <r>
    <n v="2026"/>
    <n v="2"/>
    <s v="28-02-2026"/>
    <n v="10309"/>
    <s v="1104-01"/>
    <n v="0"/>
    <n v="14990"/>
    <s v="Centralización ventas febrero 2026  #4493 - valor total"/>
    <n v="-14990"/>
    <s v="Activo"/>
    <n v="-14990"/>
    <x v="9"/>
  </r>
  <r>
    <n v="2026"/>
    <n v="2"/>
    <s v="28-02-2026"/>
    <n v="10310"/>
    <s v="1104-01"/>
    <n v="0"/>
    <n v="38970"/>
    <s v="Centralización ventas febrero 2026  #4494 - valor total"/>
    <n v="-38970"/>
    <s v="Activo"/>
    <n v="-38970"/>
    <x v="9"/>
  </r>
  <r>
    <n v="2026"/>
    <n v="2"/>
    <s v="28-02-2026"/>
    <n v="10311"/>
    <s v="1104-01"/>
    <n v="0"/>
    <n v="24990"/>
    <s v="Centralización ventas febrero 2026  #4495 - valor total"/>
    <n v="-24990"/>
    <s v="Activo"/>
    <n v="-24990"/>
    <x v="9"/>
  </r>
  <r>
    <n v="2026"/>
    <n v="2"/>
    <s v="28-02-2026"/>
    <n v="10312"/>
    <s v="1104-01"/>
    <n v="0"/>
    <n v="39990"/>
    <s v="Centralización ventas febrero 2026  #4496 - valor total"/>
    <n v="-39990"/>
    <s v="Activo"/>
    <n v="-39990"/>
    <x v="9"/>
  </r>
  <r>
    <n v="2026"/>
    <n v="2"/>
    <s v="28-02-2026"/>
    <n v="10313"/>
    <s v="1104-01"/>
    <n v="0"/>
    <n v="30000"/>
    <s v="Centralización ventas febrero 2026  #4497 - valor total"/>
    <n v="-30000"/>
    <s v="Activo"/>
    <n v="-30000"/>
    <x v="9"/>
  </r>
  <r>
    <n v="2026"/>
    <n v="2"/>
    <s v="28-02-2026"/>
    <n v="10314"/>
    <s v="1104-01"/>
    <n v="0"/>
    <n v="28000"/>
    <s v="Centralización ventas febrero 2026  #4498 - valor total"/>
    <n v="-28000"/>
    <s v="Activo"/>
    <n v="-28000"/>
    <x v="9"/>
  </r>
  <r>
    <n v="2026"/>
    <n v="2"/>
    <s v="28-02-2026"/>
    <n v="10315"/>
    <s v="1104-01"/>
    <n v="0"/>
    <n v="40080"/>
    <s v="Centralización ventas febrero 2026  #4499 - valor total"/>
    <n v="-40080"/>
    <s v="Activo"/>
    <n v="-40080"/>
    <x v="9"/>
  </r>
  <r>
    <n v="2026"/>
    <n v="2"/>
    <s v="28-02-2026"/>
    <n v="10316"/>
    <s v="1104-01"/>
    <n v="0"/>
    <n v="30000"/>
    <s v="Centralización ventas febrero 2026  #4500 - valor total"/>
    <n v="-30000"/>
    <s v="Activo"/>
    <n v="-30000"/>
    <x v="9"/>
  </r>
  <r>
    <n v="2026"/>
    <n v="2"/>
    <s v="28-02-2026"/>
    <n v="10317"/>
    <s v="1104-01"/>
    <n v="0"/>
    <n v="22980"/>
    <s v="Centralización ventas febrero 2026  #4502 - valor total"/>
    <n v="-22980"/>
    <s v="Activo"/>
    <n v="-22980"/>
    <x v="9"/>
  </r>
  <r>
    <n v="2026"/>
    <n v="2"/>
    <s v="28-02-2026"/>
    <n v="10318"/>
    <s v="1104-01"/>
    <n v="0"/>
    <n v="40000"/>
    <s v="Centralización ventas febrero 2026  #4503 - valor total"/>
    <n v="-40000"/>
    <s v="Activo"/>
    <n v="-40000"/>
    <x v="9"/>
  </r>
  <r>
    <n v="2026"/>
    <n v="2"/>
    <s v="28-02-2026"/>
    <n v="10319"/>
    <s v="1104-01"/>
    <n v="0"/>
    <n v="122980"/>
    <s v="Centralización ventas febrero 2026  #4504 - valor total"/>
    <n v="-122980"/>
    <s v="Activo"/>
    <n v="-122980"/>
    <x v="9"/>
  </r>
  <r>
    <n v="2026"/>
    <n v="2"/>
    <s v="28-02-2026"/>
    <n v="10320"/>
    <s v="1104-01"/>
    <n v="0"/>
    <n v="14990"/>
    <s v="Centralización ventas febrero 2026  #4505 - valor total"/>
    <n v="-14990"/>
    <s v="Activo"/>
    <n v="-14990"/>
    <x v="9"/>
  </r>
  <r>
    <n v="2026"/>
    <n v="2"/>
    <s v="28-02-2026"/>
    <n v="10321"/>
    <s v="1104-01"/>
    <n v="0"/>
    <n v="54000"/>
    <s v="Centralización ventas febrero 2026  #4506 - valor total"/>
    <n v="-54000"/>
    <s v="Activo"/>
    <n v="-54000"/>
    <x v="9"/>
  </r>
  <r>
    <n v="2026"/>
    <n v="2"/>
    <s v="28-02-2026"/>
    <n v="10322"/>
    <s v="1104-01"/>
    <n v="0"/>
    <n v="17990"/>
    <s v="Centralización ventas febrero 2026  #4507 - valor total"/>
    <n v="-17990"/>
    <s v="Activo"/>
    <n v="-17990"/>
    <x v="9"/>
  </r>
  <r>
    <n v="2026"/>
    <n v="2"/>
    <s v="28-02-2026"/>
    <n v="10323"/>
    <s v="1104-01"/>
    <n v="0"/>
    <n v="22980"/>
    <s v="Centralización ventas febrero 2026  #4508 - valor total"/>
    <n v="-22980"/>
    <s v="Activo"/>
    <n v="-22980"/>
    <x v="9"/>
  </r>
  <r>
    <n v="2026"/>
    <n v="2"/>
    <s v="28-02-2026"/>
    <n v="10324"/>
    <s v="1104-01"/>
    <n v="0"/>
    <n v="51000"/>
    <s v="Centralización ventas febrero 2026  #4509 - valor total"/>
    <n v="-51000"/>
    <s v="Activo"/>
    <n v="-51000"/>
    <x v="9"/>
  </r>
  <r>
    <n v="2026"/>
    <n v="2"/>
    <s v="28-02-2026"/>
    <n v="10325"/>
    <s v="1104-01"/>
    <n v="0"/>
    <n v="41950"/>
    <s v="Centralización ventas febrero 2026  #4511 - valor total"/>
    <n v="-41950"/>
    <s v="Activo"/>
    <n v="-41950"/>
    <x v="9"/>
  </r>
  <r>
    <n v="2026"/>
    <n v="2"/>
    <s v="28-02-2026"/>
    <n v="10326"/>
    <s v="1104-01"/>
    <n v="0"/>
    <n v="33990"/>
    <s v="Centralización ventas febrero 2026  #4512 - valor total"/>
    <n v="-33990"/>
    <s v="Activo"/>
    <n v="-33990"/>
    <x v="9"/>
  </r>
  <r>
    <n v="2026"/>
    <n v="2"/>
    <s v="28-02-2026"/>
    <n v="10327"/>
    <s v="1104-01"/>
    <n v="0"/>
    <n v="40000"/>
    <s v="Centralización ventas febrero 2026  #4513 - valor total"/>
    <n v="-40000"/>
    <s v="Activo"/>
    <n v="-40000"/>
    <x v="9"/>
  </r>
  <r>
    <n v="2026"/>
    <n v="2"/>
    <s v="28-02-2026"/>
    <n v="10328"/>
    <s v="1104-01"/>
    <n v="0"/>
    <n v="40000"/>
    <s v="Centralización ventas febrero 2026  #4514 - valor total"/>
    <n v="-40000"/>
    <s v="Activo"/>
    <n v="-40000"/>
    <x v="9"/>
  </r>
  <r>
    <n v="2026"/>
    <n v="2"/>
    <s v="28-02-2026"/>
    <n v="10329"/>
    <s v="1104-01"/>
    <n v="0"/>
    <n v="23416"/>
    <s v="Centralización ventas febrero 2026  #4515 - valor total"/>
    <n v="-23416"/>
    <s v="Activo"/>
    <n v="-23416"/>
    <x v="9"/>
  </r>
  <r>
    <n v="2026"/>
    <n v="2"/>
    <s v="28-02-2026"/>
    <n v="10330"/>
    <s v="1104-01"/>
    <n v="0"/>
    <n v="30000"/>
    <s v="Centralización ventas febrero 2026  #4516 - valor total"/>
    <n v="-30000"/>
    <s v="Activo"/>
    <n v="-30000"/>
    <x v="9"/>
  </r>
  <r>
    <n v="2026"/>
    <n v="2"/>
    <s v="28-02-2026"/>
    <n v="10331"/>
    <s v="1104-01"/>
    <n v="0"/>
    <n v="9494"/>
    <s v="Centralización ventas febrero 2026  #4517 - valor total"/>
    <n v="-9494"/>
    <s v="Activo"/>
    <n v="-9494"/>
    <x v="9"/>
  </r>
  <r>
    <n v="2026"/>
    <n v="2"/>
    <s v="28-02-2026"/>
    <n v="10332"/>
    <s v="1104-01"/>
    <n v="0"/>
    <n v="19494"/>
    <s v="Centralización ventas febrero 2026  #4518 - valor total"/>
    <n v="-19494"/>
    <s v="Activo"/>
    <n v="-19494"/>
    <x v="9"/>
  </r>
  <r>
    <n v="2026"/>
    <n v="2"/>
    <s v="28-02-2026"/>
    <n v="10333"/>
    <s v="1104-01"/>
    <n v="0"/>
    <n v="22980"/>
    <s v="Centralización ventas febrero 2026  #4519 - valor total"/>
    <n v="-22980"/>
    <s v="Activo"/>
    <n v="-22980"/>
    <x v="9"/>
  </r>
  <r>
    <n v="2026"/>
    <n v="2"/>
    <s v="28-02-2026"/>
    <n v="10334"/>
    <s v="1104-01"/>
    <n v="0"/>
    <n v="34980"/>
    <s v="Centralización ventas febrero 2026  #4521 - valor total"/>
    <n v="-34980"/>
    <s v="Activo"/>
    <n v="-34980"/>
    <x v="9"/>
  </r>
  <r>
    <n v="2026"/>
    <n v="2"/>
    <s v="28-02-2026"/>
    <n v="10335"/>
    <s v="1104-01"/>
    <n v="0"/>
    <n v="29990"/>
    <s v="Centralización ventas febrero 2026  #4522 - valor total"/>
    <n v="-29990"/>
    <s v="Activo"/>
    <n v="-29990"/>
    <x v="9"/>
  </r>
  <r>
    <n v="2026"/>
    <n v="2"/>
    <s v="28-02-2026"/>
    <n v="10336"/>
    <s v="1104-01"/>
    <n v="0"/>
    <n v="14990"/>
    <s v="Centralización ventas febrero 2026  #4523 - valor total"/>
    <n v="-14990"/>
    <s v="Activo"/>
    <n v="-14990"/>
    <x v="9"/>
  </r>
  <r>
    <n v="2026"/>
    <n v="2"/>
    <s v="28-02-2026"/>
    <n v="10337"/>
    <s v="1104-01"/>
    <n v="0"/>
    <n v="24990"/>
    <s v="Centralización ventas febrero 2026  #4524 - valor total"/>
    <n v="-24990"/>
    <s v="Activo"/>
    <n v="-24990"/>
    <x v="9"/>
  </r>
  <r>
    <n v="2026"/>
    <n v="2"/>
    <s v="28-02-2026"/>
    <n v="10338"/>
    <s v="1104-01"/>
    <n v="51980"/>
    <n v="0"/>
    <s v="Centralización ventas febrero 2026  #37339 - valor total"/>
    <n v="51980"/>
    <s v="Activo"/>
    <n v="51980"/>
    <x v="9"/>
  </r>
  <r>
    <n v="2026"/>
    <n v="2"/>
    <s v="28-02-2026"/>
    <n v="10339"/>
    <s v="1104-01"/>
    <n v="40000"/>
    <n v="0"/>
    <s v="Centralización ventas febrero 2026  #37347 - valor total"/>
    <n v="40000"/>
    <s v="Activo"/>
    <n v="40000"/>
    <x v="9"/>
  </r>
  <r>
    <n v="2026"/>
    <n v="2"/>
    <s v="28-02-2026"/>
    <n v="10340"/>
    <s v="1104-01"/>
    <n v="33990"/>
    <n v="0"/>
    <s v="Centralización ventas febrero 2026  #37349 - valor total"/>
    <n v="33990"/>
    <s v="Activo"/>
    <n v="33990"/>
    <x v="9"/>
  </r>
  <r>
    <n v="2026"/>
    <n v="2"/>
    <s v="28-02-2026"/>
    <n v="10341"/>
    <s v="1104-01"/>
    <n v="200789"/>
    <n v="0"/>
    <s v="Centralización ventas febrero 2026  #37350 - valor total"/>
    <n v="200789"/>
    <s v="Activo"/>
    <n v="200789"/>
    <x v="9"/>
  </r>
  <r>
    <n v="2026"/>
    <n v="2"/>
    <s v="28-02-2026"/>
    <n v="10342"/>
    <s v="1104-01"/>
    <n v="86052"/>
    <n v="0"/>
    <s v="Centralización ventas febrero 2026  #37407 - valor total"/>
    <n v="86052"/>
    <s v="Activo"/>
    <n v="86052"/>
    <x v="9"/>
  </r>
  <r>
    <n v="2026"/>
    <n v="2"/>
    <s v="28-02-2026"/>
    <n v="10343"/>
    <s v="1104-01"/>
    <n v="43999"/>
    <n v="0"/>
    <s v="Centralización ventas febrero 2026  #37411 - valor total"/>
    <n v="43999"/>
    <s v="Activo"/>
    <n v="43999"/>
    <x v="9"/>
  </r>
  <r>
    <n v="2026"/>
    <n v="2"/>
    <s v="28-02-2026"/>
    <n v="10344"/>
    <s v="1104-01"/>
    <n v="36953"/>
    <n v="0"/>
    <s v="Centralización ventas febrero 2026  #37417 - valor total"/>
    <n v="36953"/>
    <s v="Activo"/>
    <n v="36953"/>
    <x v="9"/>
  </r>
  <r>
    <n v="2026"/>
    <n v="2"/>
    <s v="28-02-2026"/>
    <n v="10345"/>
    <s v="1104-01"/>
    <n v="17990"/>
    <n v="0"/>
    <s v="Centralización ventas febrero 2026  #37419 - valor total"/>
    <n v="17990"/>
    <s v="Activo"/>
    <n v="17990"/>
    <x v="9"/>
  </r>
  <r>
    <n v="2026"/>
    <n v="2"/>
    <s v="28-02-2026"/>
    <n v="10346"/>
    <s v="1104-01"/>
    <n v="47490"/>
    <n v="0"/>
    <s v="Centralización ventas febrero 2026  #37421 - valor total"/>
    <n v="47490"/>
    <s v="Activo"/>
    <n v="47490"/>
    <x v="9"/>
  </r>
  <r>
    <n v="2026"/>
    <n v="2"/>
    <s v="28-02-2026"/>
    <n v="10347"/>
    <s v="1104-01"/>
    <n v="36980"/>
    <n v="0"/>
    <s v="Centralización ventas febrero 2026  #37423 - valor total"/>
    <n v="36980"/>
    <s v="Activo"/>
    <n v="36980"/>
    <x v="9"/>
  </r>
  <r>
    <n v="2026"/>
    <n v="2"/>
    <s v="28-02-2026"/>
    <n v="10348"/>
    <s v="1104-01"/>
    <n v="24990"/>
    <n v="0"/>
    <s v="Centralización ventas febrero 2026  #37425 - valor total"/>
    <n v="24990"/>
    <s v="Activo"/>
    <n v="24990"/>
    <x v="9"/>
  </r>
  <r>
    <n v="2026"/>
    <n v="2"/>
    <s v="28-02-2026"/>
    <n v="10349"/>
    <s v="1104-01"/>
    <n v="30000"/>
    <n v="0"/>
    <s v="Centralización ventas febrero 2026  #37429 - valor total"/>
    <n v="30000"/>
    <s v="Activo"/>
    <n v="30000"/>
    <x v="9"/>
  </r>
  <r>
    <n v="2026"/>
    <n v="2"/>
    <s v="28-02-2026"/>
    <n v="10350"/>
    <s v="1104-01"/>
    <n v="30000"/>
    <n v="0"/>
    <s v="Centralización ventas febrero 2026  #37436 - valor total"/>
    <n v="30000"/>
    <s v="Activo"/>
    <n v="30000"/>
    <x v="9"/>
  </r>
  <r>
    <n v="2026"/>
    <n v="2"/>
    <s v="28-02-2026"/>
    <n v="10351"/>
    <s v="1104-01"/>
    <n v="40000"/>
    <n v="0"/>
    <s v="Centralización ventas febrero 2026  #37442 - valor total"/>
    <n v="40000"/>
    <s v="Activo"/>
    <n v="40000"/>
    <x v="9"/>
  </r>
  <r>
    <n v="2026"/>
    <n v="2"/>
    <s v="28-02-2026"/>
    <n v="10352"/>
    <s v="1104-01"/>
    <n v="59981"/>
    <n v="0"/>
    <s v="Centralización ventas febrero 2026  #37446 - valor total"/>
    <n v="59981"/>
    <s v="Activo"/>
    <n v="59981"/>
    <x v="9"/>
  </r>
  <r>
    <n v="2026"/>
    <n v="2"/>
    <s v="28-02-2026"/>
    <n v="10353"/>
    <s v="1104-01"/>
    <n v="32990"/>
    <n v="0"/>
    <s v="Centralización ventas febrero 2026  #37447 - valor total"/>
    <n v="32990"/>
    <s v="Activo"/>
    <n v="32990"/>
    <x v="9"/>
  </r>
  <r>
    <n v="2026"/>
    <n v="2"/>
    <s v="28-02-2026"/>
    <n v="10354"/>
    <s v="1104-01"/>
    <n v="33990"/>
    <n v="0"/>
    <s v="Centralización ventas febrero 2026  #37464 - valor total"/>
    <n v="33990"/>
    <s v="Activo"/>
    <n v="33990"/>
    <x v="9"/>
  </r>
  <r>
    <n v="2026"/>
    <n v="2"/>
    <s v="28-02-2026"/>
    <n v="10355"/>
    <s v="1104-01"/>
    <n v="30000"/>
    <n v="0"/>
    <s v="Centralización ventas febrero 2026  #37475 - valor total"/>
    <n v="30000"/>
    <s v="Activo"/>
    <n v="30000"/>
    <x v="9"/>
  </r>
  <r>
    <n v="2026"/>
    <n v="2"/>
    <s v="28-02-2026"/>
    <n v="10356"/>
    <s v="1104-01"/>
    <n v="30000"/>
    <n v="0"/>
    <s v="Centralización ventas febrero 2026  #37479 - valor total"/>
    <n v="30000"/>
    <s v="Activo"/>
    <n v="30000"/>
    <x v="9"/>
  </r>
  <r>
    <n v="2026"/>
    <n v="2"/>
    <s v="28-02-2026"/>
    <n v="10357"/>
    <s v="1104-01"/>
    <n v="40000"/>
    <n v="0"/>
    <s v="Centralización ventas febrero 2026  #37482 - valor total"/>
    <n v="40000"/>
    <s v="Activo"/>
    <n v="40000"/>
    <x v="9"/>
  </r>
  <r>
    <n v="2026"/>
    <n v="2"/>
    <s v="28-02-2026"/>
    <n v="10358"/>
    <s v="1104-01"/>
    <n v="30000"/>
    <n v="0"/>
    <s v="Centralización ventas febrero 2026  #37483 - valor total"/>
    <n v="30000"/>
    <s v="Activo"/>
    <n v="30000"/>
    <x v="9"/>
  </r>
  <r>
    <n v="2026"/>
    <n v="2"/>
    <s v="28-02-2026"/>
    <n v="10359"/>
    <s v="1104-01"/>
    <n v="40000"/>
    <n v="0"/>
    <s v="Centralización ventas febrero 2026  #37485 - valor total"/>
    <n v="40000"/>
    <s v="Activo"/>
    <n v="40000"/>
    <x v="9"/>
  </r>
  <r>
    <n v="2026"/>
    <n v="2"/>
    <s v="28-02-2026"/>
    <n v="10360"/>
    <s v="1104-01"/>
    <n v="24990"/>
    <n v="0"/>
    <s v="Centralización ventas febrero 2026  #37498 - valor total"/>
    <n v="24990"/>
    <s v="Activo"/>
    <n v="24990"/>
    <x v="9"/>
  </r>
  <r>
    <n v="2026"/>
    <n v="2"/>
    <s v="28-02-2026"/>
    <n v="10361"/>
    <s v="1104-01"/>
    <n v="119250"/>
    <n v="0"/>
    <s v="Centralización ventas febrero 2026  #37510 - valor total"/>
    <n v="119250"/>
    <s v="Activo"/>
    <n v="119250"/>
    <x v="9"/>
  </r>
  <r>
    <n v="2026"/>
    <n v="2"/>
    <s v="28-02-2026"/>
    <n v="10362"/>
    <s v="1104-01"/>
    <n v="35000"/>
    <n v="0"/>
    <s v="Centralización ventas febrero 2026  #37531 - valor total"/>
    <n v="35000"/>
    <s v="Activo"/>
    <n v="35000"/>
    <x v="9"/>
  </r>
  <r>
    <n v="2026"/>
    <n v="2"/>
    <s v="28-02-2026"/>
    <n v="10363"/>
    <s v="1104-01"/>
    <n v="39990"/>
    <n v="0"/>
    <s v="Centralización ventas febrero 2026  #37555 - valor total"/>
    <n v="39990"/>
    <s v="Activo"/>
    <n v="39990"/>
    <x v="9"/>
  </r>
  <r>
    <n v="2026"/>
    <n v="2"/>
    <s v="28-02-2026"/>
    <n v="10364"/>
    <s v="1104-01"/>
    <n v="46990"/>
    <n v="0"/>
    <s v="Centralización ventas febrero 2026  #37559 - valor total"/>
    <n v="46990"/>
    <s v="Activo"/>
    <n v="46990"/>
    <x v="9"/>
  </r>
  <r>
    <n v="2026"/>
    <n v="2"/>
    <s v="28-02-2026"/>
    <n v="10365"/>
    <s v="1104-01"/>
    <n v="26000"/>
    <n v="0"/>
    <s v="Centralización ventas febrero 2026  #37565 - valor total"/>
    <n v="26000"/>
    <s v="Activo"/>
    <n v="26000"/>
    <x v="9"/>
  </r>
  <r>
    <n v="2026"/>
    <n v="2"/>
    <s v="28-02-2026"/>
    <n v="10366"/>
    <s v="1104-01"/>
    <n v="14990"/>
    <n v="0"/>
    <s v="Centralización ventas febrero 2026  #37581 - valor total"/>
    <n v="14990"/>
    <s v="Activo"/>
    <n v="14990"/>
    <x v="9"/>
  </r>
  <r>
    <n v="2026"/>
    <n v="2"/>
    <s v="28-02-2026"/>
    <n v="10367"/>
    <s v="1104-01"/>
    <n v="38980"/>
    <n v="0"/>
    <s v="Centralización ventas febrero 2026  #37584 - valor total"/>
    <n v="38980"/>
    <s v="Activo"/>
    <n v="38980"/>
    <x v="9"/>
  </r>
  <r>
    <n v="2026"/>
    <n v="2"/>
    <s v="28-02-2026"/>
    <n v="10368"/>
    <s v="1104-01"/>
    <n v="21990"/>
    <n v="0"/>
    <s v="Centralización ventas febrero 2026  #37590 - valor total"/>
    <n v="21990"/>
    <s v="Activo"/>
    <n v="21990"/>
    <x v="9"/>
  </r>
  <r>
    <n v="2026"/>
    <n v="2"/>
    <s v="28-02-2026"/>
    <n v="10369"/>
    <s v="1104-01"/>
    <n v="30000"/>
    <n v="0"/>
    <s v="Centralización ventas febrero 2026  #37595 - valor total"/>
    <n v="30000"/>
    <s v="Activo"/>
    <n v="30000"/>
    <x v="9"/>
  </r>
  <r>
    <n v="2026"/>
    <n v="2"/>
    <s v="28-02-2026"/>
    <n v="10370"/>
    <s v="1104-01"/>
    <n v="32981"/>
    <n v="0"/>
    <s v="Centralización ventas febrero 2026  #37598 - valor total"/>
    <n v="32981"/>
    <s v="Activo"/>
    <n v="32981"/>
    <x v="9"/>
  </r>
  <r>
    <n v="2026"/>
    <n v="2"/>
    <s v="28-02-2026"/>
    <n v="10371"/>
    <s v="1104-01"/>
    <n v="46990"/>
    <n v="0"/>
    <s v="Centralización ventas febrero 2026  #37613 - valor total"/>
    <n v="46990"/>
    <s v="Activo"/>
    <n v="46990"/>
    <x v="9"/>
  </r>
  <r>
    <n v="2026"/>
    <n v="2"/>
    <s v="28-02-2026"/>
    <n v="10372"/>
    <s v="1104-01"/>
    <n v="614808"/>
    <n v="0"/>
    <s v="Centralización ventas febrero 2026  #37622 - valor total"/>
    <n v="614808"/>
    <s v="Activo"/>
    <n v="614808"/>
    <x v="9"/>
  </r>
  <r>
    <n v="2026"/>
    <n v="2"/>
    <s v="28-02-2026"/>
    <n v="10373"/>
    <s v="1104-01"/>
    <n v="21990"/>
    <n v="0"/>
    <s v="Centralización ventas febrero 2026  #37625 - valor total"/>
    <n v="21990"/>
    <s v="Activo"/>
    <n v="21990"/>
    <x v="9"/>
  </r>
  <r>
    <n v="2026"/>
    <n v="2"/>
    <s v="28-02-2026"/>
    <n v="10374"/>
    <s v="1104-01"/>
    <n v="35990"/>
    <n v="0"/>
    <s v="Centralización ventas febrero 2026  #37627 - valor total"/>
    <n v="35990"/>
    <s v="Activo"/>
    <n v="35990"/>
    <x v="9"/>
  </r>
  <r>
    <n v="2026"/>
    <n v="2"/>
    <s v="28-02-2026"/>
    <n v="10375"/>
    <s v="1104-01"/>
    <n v="21990"/>
    <n v="0"/>
    <s v="Centralización ventas febrero 2026  #37632 - valor total"/>
    <n v="21990"/>
    <s v="Activo"/>
    <n v="21990"/>
    <x v="9"/>
  </r>
  <r>
    <n v="2026"/>
    <n v="2"/>
    <s v="28-02-2026"/>
    <n v="10376"/>
    <s v="1104-01"/>
    <n v="195000"/>
    <n v="0"/>
    <s v="Centralización ventas febrero 2026  #37634 - valor total"/>
    <n v="195000"/>
    <s v="Activo"/>
    <n v="195000"/>
    <x v="9"/>
  </r>
  <r>
    <n v="2026"/>
    <n v="2"/>
    <s v="28-02-2026"/>
    <n v="10377"/>
    <s v="1104-01"/>
    <n v="31971"/>
    <n v="0"/>
    <s v="Centralización ventas febrero 2026  #37652 - valor total"/>
    <n v="31971"/>
    <s v="Activo"/>
    <n v="31971"/>
    <x v="9"/>
  </r>
  <r>
    <n v="2026"/>
    <n v="2"/>
    <s v="28-02-2026"/>
    <n v="10378"/>
    <s v="1104-01"/>
    <n v="28990"/>
    <n v="0"/>
    <s v="Centralización ventas febrero 2026  #37659 - valor total"/>
    <n v="28990"/>
    <s v="Activo"/>
    <n v="28990"/>
    <x v="9"/>
  </r>
  <r>
    <n v="2026"/>
    <n v="2"/>
    <s v="28-02-2026"/>
    <n v="10379"/>
    <s v="1104-01"/>
    <n v="24990"/>
    <n v="0"/>
    <s v="Centralización ventas febrero 2026  #37664 - valor total"/>
    <n v="24990"/>
    <s v="Activo"/>
    <n v="24990"/>
    <x v="9"/>
  </r>
  <r>
    <n v="2026"/>
    <n v="2"/>
    <s v="28-02-2026"/>
    <n v="10380"/>
    <s v="1104-01"/>
    <n v="30000"/>
    <n v="0"/>
    <s v="Centralización ventas febrero 2026  #37680 - valor total"/>
    <n v="30000"/>
    <s v="Activo"/>
    <n v="30000"/>
    <x v="9"/>
  </r>
  <r>
    <n v="2026"/>
    <n v="2"/>
    <s v="28-02-2026"/>
    <n v="10381"/>
    <s v="1104-01"/>
    <n v="89990"/>
    <n v="0"/>
    <s v="Centralización ventas febrero 2026  #37689 - valor total"/>
    <n v="89990"/>
    <s v="Activo"/>
    <n v="89990"/>
    <x v="9"/>
  </r>
  <r>
    <n v="2026"/>
    <n v="2"/>
    <s v="28-02-2026"/>
    <n v="10382"/>
    <s v="1104-01"/>
    <n v="69980"/>
    <n v="0"/>
    <s v="Centralización ventas febrero 2026  #37698 - valor total"/>
    <n v="69980"/>
    <s v="Activo"/>
    <n v="69980"/>
    <x v="9"/>
  </r>
  <r>
    <n v="2026"/>
    <n v="2"/>
    <s v="28-02-2026"/>
    <n v="10383"/>
    <s v="1104-01"/>
    <n v="111399"/>
    <n v="0"/>
    <s v="Centralización ventas febrero 2026  #37725 - valor total"/>
    <n v="111399"/>
    <s v="Activo"/>
    <n v="111399"/>
    <x v="9"/>
  </r>
  <r>
    <n v="2026"/>
    <n v="2"/>
    <s v="28-02-2026"/>
    <n v="10384"/>
    <s v="1104-01"/>
    <n v="24990"/>
    <n v="0"/>
    <s v="Centralización ventas febrero 2026  #37734 - valor total"/>
    <n v="24990"/>
    <s v="Activo"/>
    <n v="24990"/>
    <x v="9"/>
  </r>
  <r>
    <n v="2026"/>
    <n v="2"/>
    <s v="28-02-2026"/>
    <n v="10385"/>
    <s v="1104-01"/>
    <n v="21990"/>
    <n v="0"/>
    <s v="Centralización ventas febrero 2026  #37758 - valor total"/>
    <n v="21990"/>
    <s v="Activo"/>
    <n v="21990"/>
    <x v="9"/>
  </r>
  <r>
    <n v="2026"/>
    <n v="2"/>
    <s v="28-02-2026"/>
    <n v="10386"/>
    <s v="1104-01"/>
    <n v="29990"/>
    <n v="0"/>
    <s v="Centralización ventas febrero 2026  #37765 - valor total"/>
    <n v="29990"/>
    <s v="Activo"/>
    <n v="29990"/>
    <x v="9"/>
  </r>
  <r>
    <n v="2026"/>
    <n v="2"/>
    <s v="28-02-2026"/>
    <n v="10387"/>
    <s v="1104-01"/>
    <n v="24990"/>
    <n v="0"/>
    <s v="Centralización ventas febrero 2026  #37790 - valor total"/>
    <n v="24990"/>
    <s v="Activo"/>
    <n v="24990"/>
    <x v="9"/>
  </r>
  <r>
    <n v="2026"/>
    <n v="2"/>
    <s v="28-02-2026"/>
    <n v="10388"/>
    <s v="1104-01"/>
    <n v="29990"/>
    <n v="0"/>
    <s v="Centralización ventas febrero 2026  #37791 - valor total"/>
    <n v="29990"/>
    <s v="Activo"/>
    <n v="29990"/>
    <x v="9"/>
  </r>
  <r>
    <n v="2026"/>
    <n v="2"/>
    <s v="28-02-2026"/>
    <n v="10389"/>
    <s v="1104-01"/>
    <n v="33490"/>
    <n v="0"/>
    <s v="Centralización ventas febrero 2026  #37795 - valor total"/>
    <n v="33490"/>
    <s v="Activo"/>
    <n v="33490"/>
    <x v="9"/>
  </r>
  <r>
    <n v="2026"/>
    <n v="2"/>
    <s v="28-02-2026"/>
    <n v="10390"/>
    <s v="1104-01"/>
    <n v="28990"/>
    <n v="0"/>
    <s v="Centralización ventas febrero 2026  #37796 - valor total"/>
    <n v="28990"/>
    <s v="Activo"/>
    <n v="28990"/>
    <x v="9"/>
  </r>
  <r>
    <n v="2026"/>
    <n v="2"/>
    <s v="28-02-2026"/>
    <n v="10391"/>
    <s v="1104-01"/>
    <n v="21990"/>
    <n v="0"/>
    <s v="Centralización ventas febrero 2026  #37797 - valor total"/>
    <n v="21990"/>
    <s v="Activo"/>
    <n v="21990"/>
    <x v="9"/>
  </r>
  <r>
    <n v="2026"/>
    <n v="2"/>
    <s v="28-02-2026"/>
    <n v="10392"/>
    <s v="1104-01"/>
    <n v="70970"/>
    <n v="0"/>
    <s v="Centralización ventas febrero 2026  #37798 - valor total"/>
    <n v="70970"/>
    <s v="Activo"/>
    <n v="70970"/>
    <x v="9"/>
  </r>
  <r>
    <n v="2026"/>
    <n v="2"/>
    <s v="28-02-2026"/>
    <n v="10393"/>
    <s v="1104-01"/>
    <n v="29990"/>
    <n v="0"/>
    <s v="Centralización ventas febrero 2026  #37799 - valor total"/>
    <n v="29990"/>
    <s v="Activo"/>
    <n v="29990"/>
    <x v="9"/>
  </r>
  <r>
    <n v="2026"/>
    <n v="2"/>
    <s v="28-02-2026"/>
    <n v="10394"/>
    <s v="1104-01"/>
    <n v="28990"/>
    <n v="0"/>
    <s v="Centralización ventas febrero 2026  #37800 - valor total"/>
    <n v="28990"/>
    <s v="Activo"/>
    <n v="28990"/>
    <x v="9"/>
  </r>
  <r>
    <n v="2026"/>
    <n v="2"/>
    <s v="28-02-2026"/>
    <n v="10395"/>
    <s v="1104-01"/>
    <n v="165525"/>
    <n v="0"/>
    <s v="Centralización ventas febrero 2026  #37801 - valor total"/>
    <n v="165525"/>
    <s v="Activo"/>
    <n v="165525"/>
    <x v="9"/>
  </r>
  <r>
    <n v="2026"/>
    <n v="2"/>
    <s v="28-02-2026"/>
    <n v="10396"/>
    <s v="1104-01"/>
    <n v="28990"/>
    <n v="0"/>
    <s v="Centralización ventas febrero 2026  #37802 - valor total"/>
    <n v="28990"/>
    <s v="Activo"/>
    <n v="28990"/>
    <x v="9"/>
  </r>
  <r>
    <n v="2026"/>
    <n v="2"/>
    <s v="28-02-2026"/>
    <n v="10397"/>
    <s v="1104-01"/>
    <n v="69990"/>
    <n v="0"/>
    <s v="Centralización ventas febrero 2026  #37803 - valor total"/>
    <n v="69990"/>
    <s v="Activo"/>
    <n v="69990"/>
    <x v="9"/>
  </r>
  <r>
    <n v="2026"/>
    <n v="2"/>
    <s v="28-02-2026"/>
    <n v="10398"/>
    <s v="1104-01"/>
    <n v="60000"/>
    <n v="0"/>
    <s v="Centralización ventas febrero 2026  #37804 - valor total"/>
    <n v="60000"/>
    <s v="Activo"/>
    <n v="60000"/>
    <x v="9"/>
  </r>
  <r>
    <n v="2026"/>
    <n v="2"/>
    <s v="28-02-2026"/>
    <n v="10399"/>
    <s v="1104-01"/>
    <n v="60000"/>
    <n v="0"/>
    <s v="Centralización ventas febrero 2026  #37805 - valor total"/>
    <n v="60000"/>
    <s v="Activo"/>
    <n v="60000"/>
    <x v="9"/>
  </r>
  <r>
    <n v="2026"/>
    <n v="2"/>
    <s v="28-02-2026"/>
    <n v="10400"/>
    <s v="1104-01"/>
    <n v="1554071"/>
    <n v="0"/>
    <s v="Centralización ventas febrero 2026  #37806 - valor total"/>
    <n v="1554071"/>
    <s v="Activo"/>
    <n v="1554071"/>
    <x v="9"/>
  </r>
  <r>
    <n v="2026"/>
    <n v="2"/>
    <s v="28-02-2026"/>
    <n v="10401"/>
    <s v="1104-01"/>
    <n v="43980"/>
    <n v="0"/>
    <s v="Centralización ventas febrero 2026  #37807 - valor total"/>
    <n v="43980"/>
    <s v="Activo"/>
    <n v="43980"/>
    <x v="9"/>
  </r>
  <r>
    <n v="2026"/>
    <n v="2"/>
    <s v="28-02-2026"/>
    <n v="10402"/>
    <s v="1104-01"/>
    <n v="54990"/>
    <n v="0"/>
    <s v="Centralización ventas febrero 2026  #37808 - valor total"/>
    <n v="54990"/>
    <s v="Activo"/>
    <n v="54990"/>
    <x v="9"/>
  </r>
  <r>
    <n v="2026"/>
    <n v="2"/>
    <s v="28-02-2026"/>
    <n v="10403"/>
    <s v="1104-01"/>
    <n v="803980"/>
    <n v="0"/>
    <s v="Centralización ventas febrero 2026  #37809 - valor total"/>
    <n v="803980"/>
    <s v="Activo"/>
    <n v="803980"/>
    <x v="9"/>
  </r>
  <r>
    <n v="2026"/>
    <n v="2"/>
    <s v="28-02-2026"/>
    <n v="10404"/>
    <s v="1104-01"/>
    <n v="84000"/>
    <n v="0"/>
    <s v="Centralización ventas febrero 2026  #37810 - valor total"/>
    <n v="84000"/>
    <s v="Activo"/>
    <n v="84000"/>
    <x v="9"/>
  </r>
  <r>
    <n v="2026"/>
    <n v="2"/>
    <s v="28-02-2026"/>
    <n v="10405"/>
    <s v="1104-01"/>
    <n v="425637"/>
    <n v="0"/>
    <s v="Centralización ventas febrero 2026  #37813 - valor total"/>
    <n v="425637"/>
    <s v="Activo"/>
    <n v="425637"/>
    <x v="9"/>
  </r>
  <r>
    <n v="2026"/>
    <n v="2"/>
    <s v="28-02-2026"/>
    <n v="10406"/>
    <s v="1104-01"/>
    <n v="50990"/>
    <n v="0"/>
    <s v="Centralización ventas febrero 2026  #37814 - valor total"/>
    <n v="50990"/>
    <s v="Activo"/>
    <n v="50990"/>
    <x v="9"/>
  </r>
  <r>
    <n v="2026"/>
    <n v="2"/>
    <s v="28-02-2026"/>
    <n v="10407"/>
    <s v="1104-01"/>
    <n v="50000"/>
    <n v="0"/>
    <s v="Centralización ventas febrero 2026  #37815 - valor total"/>
    <n v="50000"/>
    <s v="Activo"/>
    <n v="50000"/>
    <x v="9"/>
  </r>
  <r>
    <n v="2026"/>
    <n v="2"/>
    <s v="28-02-2026"/>
    <n v="10408"/>
    <s v="1104-01"/>
    <n v="24990"/>
    <n v="0"/>
    <s v="Centralización ventas febrero 2026  #37817 - valor total"/>
    <n v="24990"/>
    <s v="Activo"/>
    <n v="24990"/>
    <x v="9"/>
  </r>
  <r>
    <n v="2026"/>
    <n v="2"/>
    <s v="28-02-2026"/>
    <n v="10409"/>
    <s v="1104-01"/>
    <n v="424580"/>
    <n v="0"/>
    <s v="Centralización ventas febrero 2026  #37818 - valor total"/>
    <n v="424580"/>
    <s v="Activo"/>
    <n v="424580"/>
    <x v="9"/>
  </r>
  <r>
    <n v="2026"/>
    <n v="2"/>
    <s v="28-02-2026"/>
    <n v="10410"/>
    <s v="1104-01"/>
    <n v="32990"/>
    <n v="0"/>
    <s v="Centralización ventas febrero 2026  #37819 - valor total"/>
    <n v="32990"/>
    <s v="Activo"/>
    <n v="32990"/>
    <x v="9"/>
  </r>
  <r>
    <n v="2026"/>
    <n v="2"/>
    <s v="28-02-2026"/>
    <n v="10411"/>
    <s v="1104-01"/>
    <n v="24990"/>
    <n v="0"/>
    <s v="Centralización ventas febrero 2026  #37820 - valor total"/>
    <n v="24990"/>
    <s v="Activo"/>
    <n v="24990"/>
    <x v="9"/>
  </r>
  <r>
    <n v="2026"/>
    <n v="2"/>
    <s v="28-02-2026"/>
    <n v="10412"/>
    <s v="1104-01"/>
    <n v="674102"/>
    <n v="0"/>
    <s v="Centralización ventas febrero 2026  #37821 - valor total"/>
    <n v="674102"/>
    <s v="Activo"/>
    <n v="674102"/>
    <x v="9"/>
  </r>
  <r>
    <n v="2026"/>
    <n v="2"/>
    <s v="28-02-2026"/>
    <n v="10413"/>
    <s v="1104-01"/>
    <n v="39990"/>
    <n v="0"/>
    <s v="Centralización ventas febrero 2026  #37822 - valor total"/>
    <n v="39990"/>
    <s v="Activo"/>
    <n v="39990"/>
    <x v="9"/>
  </r>
  <r>
    <n v="2026"/>
    <n v="2"/>
    <s v="28-02-2026"/>
    <n v="10414"/>
    <s v="1104-01"/>
    <n v="21990"/>
    <n v="0"/>
    <s v="Centralización ventas febrero 2026  #37823 - valor total"/>
    <n v="21990"/>
    <s v="Activo"/>
    <n v="21990"/>
    <x v="9"/>
  </r>
  <r>
    <n v="2026"/>
    <n v="2"/>
    <s v="28-02-2026"/>
    <n v="10415"/>
    <s v="1104-01"/>
    <n v="59488"/>
    <n v="0"/>
    <s v="Centralización ventas febrero 2026  #37824 - valor total"/>
    <n v="59488"/>
    <s v="Activo"/>
    <n v="59488"/>
    <x v="9"/>
  </r>
  <r>
    <n v="2026"/>
    <n v="2"/>
    <s v="28-02-2026"/>
    <n v="10416"/>
    <s v="1104-01"/>
    <n v="64990"/>
    <n v="0"/>
    <s v="Centralización ventas febrero 2026  #37825 - valor total"/>
    <n v="64990"/>
    <s v="Activo"/>
    <n v="64990"/>
    <x v="9"/>
  </r>
  <r>
    <n v="2026"/>
    <n v="2"/>
    <s v="28-02-2026"/>
    <n v="10417"/>
    <s v="1104-01"/>
    <n v="39990"/>
    <n v="0"/>
    <s v="Centralización ventas febrero 2026  #37826 - valor total"/>
    <n v="39990"/>
    <s v="Activo"/>
    <n v="39990"/>
    <x v="9"/>
  </r>
  <r>
    <n v="2026"/>
    <n v="2"/>
    <s v="28-02-2026"/>
    <n v="10418"/>
    <s v="1104-01"/>
    <n v="24990"/>
    <n v="0"/>
    <s v="Centralización ventas febrero 2026  #37828 - valor total"/>
    <n v="24990"/>
    <s v="Activo"/>
    <n v="24990"/>
    <x v="9"/>
  </r>
  <r>
    <n v="2026"/>
    <n v="2"/>
    <s v="28-02-2026"/>
    <n v="10419"/>
    <s v="1104-01"/>
    <n v="44990"/>
    <n v="0"/>
    <s v="Centralización ventas febrero 2026  #37829 - valor total"/>
    <n v="44990"/>
    <s v="Activo"/>
    <n v="44990"/>
    <x v="9"/>
  </r>
  <r>
    <n v="2026"/>
    <n v="2"/>
    <s v="28-02-2026"/>
    <n v="10420"/>
    <s v="1104-01"/>
    <n v="24990"/>
    <n v="0"/>
    <s v="Centralización ventas febrero 2026  #37830 - valor total"/>
    <n v="24990"/>
    <s v="Activo"/>
    <n v="24990"/>
    <x v="9"/>
  </r>
  <r>
    <n v="2026"/>
    <n v="2"/>
    <s v="28-02-2026"/>
    <n v="10421"/>
    <s v="1104-01"/>
    <n v="65438"/>
    <n v="0"/>
    <s v="Centralización ventas febrero 2026  #37831 - valor total"/>
    <n v="65438"/>
    <s v="Activo"/>
    <n v="65438"/>
    <x v="9"/>
  </r>
  <r>
    <n v="2026"/>
    <n v="2"/>
    <s v="28-02-2026"/>
    <n v="10422"/>
    <s v="1104-01"/>
    <n v="27360"/>
    <n v="0"/>
    <s v="Centralización ventas febrero 2026  #37833 - valor total"/>
    <n v="27360"/>
    <s v="Activo"/>
    <n v="27360"/>
    <x v="9"/>
  </r>
  <r>
    <n v="2026"/>
    <n v="2"/>
    <s v="28-02-2026"/>
    <n v="10423"/>
    <s v="1104-01"/>
    <n v="29738"/>
    <n v="0"/>
    <s v="Centralización ventas febrero 2026  #37834 - valor total"/>
    <n v="29738"/>
    <s v="Activo"/>
    <n v="29738"/>
    <x v="9"/>
  </r>
  <r>
    <n v="2026"/>
    <n v="2"/>
    <s v="28-02-2026"/>
    <n v="10424"/>
    <s v="1104-01"/>
    <n v="46638"/>
    <n v="0"/>
    <s v="Centralización ventas febrero 2026  #37835 - valor total"/>
    <n v="46638"/>
    <s v="Activo"/>
    <n v="46638"/>
    <x v="9"/>
  </r>
  <r>
    <n v="2026"/>
    <n v="2"/>
    <s v="28-02-2026"/>
    <n v="10425"/>
    <s v="1104-01"/>
    <n v="29990"/>
    <n v="0"/>
    <s v="Centralización ventas febrero 2026  #37836 - valor total"/>
    <n v="29990"/>
    <s v="Activo"/>
    <n v="29990"/>
    <x v="9"/>
  </r>
  <r>
    <n v="2026"/>
    <n v="2"/>
    <s v="28-02-2026"/>
    <n v="10426"/>
    <s v="1104-01"/>
    <n v="40000"/>
    <n v="0"/>
    <s v="Centralización ventas febrero 2026  #37837 - valor total"/>
    <n v="40000"/>
    <s v="Activo"/>
    <n v="40000"/>
    <x v="9"/>
  </r>
  <r>
    <n v="2026"/>
    <n v="2"/>
    <s v="28-02-2026"/>
    <n v="10427"/>
    <s v="1104-01"/>
    <n v="32990"/>
    <n v="0"/>
    <s v="Centralización ventas febrero 2026  #37838 - valor total"/>
    <n v="32990"/>
    <s v="Activo"/>
    <n v="32990"/>
    <x v="9"/>
  </r>
  <r>
    <n v="2026"/>
    <n v="2"/>
    <s v="28-02-2026"/>
    <n v="10428"/>
    <s v="1104-01"/>
    <n v="41638"/>
    <n v="0"/>
    <s v="Centralización ventas febrero 2026  #37839 - valor total"/>
    <n v="41638"/>
    <s v="Activo"/>
    <n v="41638"/>
    <x v="9"/>
  </r>
  <r>
    <n v="2026"/>
    <n v="2"/>
    <s v="28-02-2026"/>
    <n v="10429"/>
    <s v="1104-01"/>
    <n v="40000"/>
    <n v="0"/>
    <s v="Centralización ventas febrero 2026  #37840 - valor total"/>
    <n v="40000"/>
    <s v="Activo"/>
    <n v="40000"/>
    <x v="9"/>
  </r>
  <r>
    <n v="2026"/>
    <n v="2"/>
    <s v="28-02-2026"/>
    <n v="10430"/>
    <s v="1104-01"/>
    <n v="19990"/>
    <n v="0"/>
    <s v="Centralización ventas febrero 2026  #37841 - valor total"/>
    <n v="19990"/>
    <s v="Activo"/>
    <n v="19990"/>
    <x v="9"/>
  </r>
  <r>
    <n v="2026"/>
    <n v="2"/>
    <s v="28-02-2026"/>
    <n v="10431"/>
    <s v="1104-01"/>
    <n v="17990"/>
    <n v="0"/>
    <s v="Centralización ventas febrero 2026  #37843 - valor total"/>
    <n v="17990"/>
    <s v="Activo"/>
    <n v="17990"/>
    <x v="9"/>
  </r>
  <r>
    <n v="2026"/>
    <n v="2"/>
    <s v="28-02-2026"/>
    <n v="10432"/>
    <s v="1104-01"/>
    <n v="21990"/>
    <n v="0"/>
    <s v="Centralización ventas febrero 2026  #37844 - valor total"/>
    <n v="21990"/>
    <s v="Activo"/>
    <n v="21990"/>
    <x v="9"/>
  </r>
  <r>
    <n v="2026"/>
    <n v="2"/>
    <s v="28-02-2026"/>
    <n v="10433"/>
    <s v="1104-01"/>
    <n v="94000"/>
    <n v="0"/>
    <s v="Centralización ventas febrero 2026  #37846 - valor total"/>
    <n v="94000"/>
    <s v="Activo"/>
    <n v="94000"/>
    <x v="9"/>
  </r>
  <r>
    <n v="2026"/>
    <n v="2"/>
    <s v="28-02-2026"/>
    <n v="10434"/>
    <s v="1104-01"/>
    <n v="24990"/>
    <n v="0"/>
    <s v="Centralización ventas febrero 2026  #37847 - valor total"/>
    <n v="24990"/>
    <s v="Activo"/>
    <n v="24990"/>
    <x v="9"/>
  </r>
  <r>
    <n v="2026"/>
    <n v="2"/>
    <s v="28-02-2026"/>
    <n v="10435"/>
    <s v="1104-01"/>
    <n v="21990"/>
    <n v="0"/>
    <s v="Centralización ventas febrero 2026  #37848 - valor total"/>
    <n v="21990"/>
    <s v="Activo"/>
    <n v="21990"/>
    <x v="9"/>
  </r>
  <r>
    <n v="2026"/>
    <n v="2"/>
    <s v="28-02-2026"/>
    <n v="10436"/>
    <s v="1104-01"/>
    <n v="60000"/>
    <n v="0"/>
    <s v="Centralización ventas febrero 2026  #37849 - valor total"/>
    <n v="60000"/>
    <s v="Activo"/>
    <n v="60000"/>
    <x v="9"/>
  </r>
  <r>
    <n v="2026"/>
    <n v="2"/>
    <s v="28-02-2026"/>
    <n v="10437"/>
    <s v="1104-01"/>
    <n v="24990"/>
    <n v="0"/>
    <s v="Centralización ventas febrero 2026  #37850 - valor total"/>
    <n v="24990"/>
    <s v="Activo"/>
    <n v="24990"/>
    <x v="9"/>
  </r>
  <r>
    <n v="2026"/>
    <n v="2"/>
    <s v="28-02-2026"/>
    <n v="10438"/>
    <s v="1104-01"/>
    <n v="83300"/>
    <n v="0"/>
    <s v="Centralización ventas febrero 2026  #37851 - valor total"/>
    <n v="83300"/>
    <s v="Activo"/>
    <n v="83300"/>
    <x v="9"/>
  </r>
  <r>
    <n v="2026"/>
    <n v="2"/>
    <s v="28-02-2026"/>
    <n v="10439"/>
    <s v="1104-01"/>
    <n v="14990"/>
    <n v="0"/>
    <s v="Centralización ventas febrero 2026  #37852 - valor total"/>
    <n v="14990"/>
    <s v="Activo"/>
    <n v="14990"/>
    <x v="9"/>
  </r>
  <r>
    <n v="2026"/>
    <n v="2"/>
    <s v="28-02-2026"/>
    <n v="10440"/>
    <s v="1104-01"/>
    <n v="155000"/>
    <n v="0"/>
    <s v="Centralización ventas febrero 2026  #37853 - valor total"/>
    <n v="155000"/>
    <s v="Activo"/>
    <n v="155000"/>
    <x v="9"/>
  </r>
  <r>
    <n v="2026"/>
    <n v="2"/>
    <s v="28-02-2026"/>
    <n v="10441"/>
    <s v="1104-01"/>
    <n v="24990"/>
    <n v="0"/>
    <s v="Centralización ventas febrero 2026  #37854 - valor total"/>
    <n v="24990"/>
    <s v="Activo"/>
    <n v="24990"/>
    <x v="9"/>
  </r>
  <r>
    <n v="2026"/>
    <n v="2"/>
    <s v="28-02-2026"/>
    <n v="10442"/>
    <s v="1104-01"/>
    <n v="53538"/>
    <n v="0"/>
    <s v="Centralización ventas febrero 2026  #37855 - valor total"/>
    <n v="53538"/>
    <s v="Activo"/>
    <n v="53538"/>
    <x v="9"/>
  </r>
  <r>
    <n v="2026"/>
    <n v="2"/>
    <s v="28-02-2026"/>
    <n v="10443"/>
    <s v="1104-01"/>
    <n v="41638"/>
    <n v="0"/>
    <s v="Centralización ventas febrero 2026  #37856 - valor total"/>
    <n v="41638"/>
    <s v="Activo"/>
    <n v="41638"/>
    <x v="9"/>
  </r>
  <r>
    <n v="2026"/>
    <n v="2"/>
    <s v="28-02-2026"/>
    <n v="10444"/>
    <s v="1104-01"/>
    <n v="14990"/>
    <n v="0"/>
    <s v="Centralización ventas febrero 2026  #37857 - valor total"/>
    <n v="14990"/>
    <s v="Activo"/>
    <n v="14990"/>
    <x v="9"/>
  </r>
  <r>
    <n v="2026"/>
    <n v="2"/>
    <s v="28-02-2026"/>
    <n v="10445"/>
    <s v="1104-01"/>
    <n v="30000"/>
    <n v="0"/>
    <s v="Centralización ventas febrero 2026  #37858 - valor total"/>
    <n v="30000"/>
    <s v="Activo"/>
    <n v="30000"/>
    <x v="9"/>
  </r>
  <r>
    <n v="2026"/>
    <n v="2"/>
    <s v="28-02-2026"/>
    <n v="10446"/>
    <s v="1104-01"/>
    <n v="23790"/>
    <n v="0"/>
    <s v="Centralización ventas febrero 2026  #37859 - valor total"/>
    <n v="23790"/>
    <s v="Activo"/>
    <n v="23790"/>
    <x v="9"/>
  </r>
  <r>
    <n v="2026"/>
    <n v="2"/>
    <s v="28-02-2026"/>
    <n v="10447"/>
    <s v="1104-01"/>
    <n v="30000"/>
    <n v="0"/>
    <s v="Centralización ventas febrero 2026  #37860 - valor total"/>
    <n v="30000"/>
    <s v="Activo"/>
    <n v="30000"/>
    <x v="9"/>
  </r>
  <r>
    <n v="2026"/>
    <n v="2"/>
    <s v="28-02-2026"/>
    <n v="10448"/>
    <s v="1104-01"/>
    <n v="118964"/>
    <n v="0"/>
    <s v="Centralización ventas febrero 2026  #37861 - valor total"/>
    <n v="118964"/>
    <s v="Activo"/>
    <n v="118964"/>
    <x v="9"/>
  </r>
  <r>
    <n v="2026"/>
    <n v="2"/>
    <s v="28-02-2026"/>
    <n v="10449"/>
    <s v="1104-01"/>
    <n v="24990"/>
    <n v="0"/>
    <s v="Centralización ventas febrero 2026  #37862 - valor total"/>
    <n v="24990"/>
    <s v="Activo"/>
    <n v="24990"/>
    <x v="9"/>
  </r>
  <r>
    <n v="2026"/>
    <n v="2"/>
    <s v="28-02-2026"/>
    <n v="10450"/>
    <s v="1104-01"/>
    <n v="320462"/>
    <n v="0"/>
    <s v="Centralización ventas febrero 2026  #37863 - valor total"/>
    <n v="320462"/>
    <s v="Activo"/>
    <n v="320462"/>
    <x v="9"/>
  </r>
  <r>
    <n v="2026"/>
    <n v="2"/>
    <s v="28-02-2026"/>
    <n v="10451"/>
    <s v="1104-01"/>
    <n v="21900"/>
    <n v="0"/>
    <s v="Centralización ventas febrero 2026  #37864 - valor total"/>
    <n v="21900"/>
    <s v="Activo"/>
    <n v="21900"/>
    <x v="9"/>
  </r>
  <r>
    <n v="2026"/>
    <n v="2"/>
    <s v="28-02-2026"/>
    <n v="10452"/>
    <s v="1104-01"/>
    <n v="21990"/>
    <n v="0"/>
    <s v="Centralización ventas febrero 2026  #37865 - valor total"/>
    <n v="21990"/>
    <s v="Activo"/>
    <n v="21990"/>
    <x v="9"/>
  </r>
  <r>
    <n v="2026"/>
    <n v="2"/>
    <s v="28-02-2026"/>
    <n v="10453"/>
    <s v="1104-01"/>
    <n v="49980"/>
    <n v="0"/>
    <s v="Centralización ventas febrero 2026  #37866 - valor total"/>
    <n v="49980"/>
    <s v="Activo"/>
    <n v="49980"/>
    <x v="9"/>
  </r>
  <r>
    <n v="2026"/>
    <n v="2"/>
    <s v="28-02-2026"/>
    <n v="10454"/>
    <s v="1104-01"/>
    <n v="22000"/>
    <n v="0"/>
    <s v="Centralización ventas febrero 2026  #37868 - valor total"/>
    <n v="22000"/>
    <s v="Activo"/>
    <n v="22000"/>
    <x v="9"/>
  </r>
  <r>
    <n v="2026"/>
    <n v="2"/>
    <s v="28-02-2026"/>
    <n v="10455"/>
    <s v="1104-01"/>
    <n v="21990"/>
    <n v="0"/>
    <s v="Centralización ventas febrero 2026  #37869 - valor total"/>
    <n v="21990"/>
    <s v="Activo"/>
    <n v="21990"/>
    <x v="9"/>
  </r>
  <r>
    <n v="2026"/>
    <n v="2"/>
    <s v="28-02-2026"/>
    <n v="10456"/>
    <s v="1104-01"/>
    <n v="182803"/>
    <n v="0"/>
    <s v="Centralización ventas febrero 2026  #37870 - valor total"/>
    <n v="182803"/>
    <s v="Activo"/>
    <n v="182803"/>
    <x v="9"/>
  </r>
  <r>
    <n v="2026"/>
    <n v="2"/>
    <s v="28-02-2026"/>
    <n v="10457"/>
    <s v="1104-01"/>
    <n v="36000"/>
    <n v="0"/>
    <s v="Centralización ventas febrero 2026  #37871 - valor total"/>
    <n v="36000"/>
    <s v="Activo"/>
    <n v="36000"/>
    <x v="9"/>
  </r>
  <r>
    <n v="2026"/>
    <n v="2"/>
    <s v="28-02-2026"/>
    <n v="10458"/>
    <s v="1104-01"/>
    <n v="14990"/>
    <n v="0"/>
    <s v="Centralización ventas febrero 2026  #37872 - valor total"/>
    <n v="14990"/>
    <s v="Activo"/>
    <n v="14990"/>
    <x v="9"/>
  </r>
  <r>
    <n v="2026"/>
    <n v="2"/>
    <s v="28-02-2026"/>
    <n v="10459"/>
    <s v="1104-01"/>
    <n v="24990"/>
    <n v="0"/>
    <s v="Centralización ventas febrero 2026  #37873 - valor total"/>
    <n v="24990"/>
    <s v="Activo"/>
    <n v="24990"/>
    <x v="9"/>
  </r>
  <r>
    <n v="2026"/>
    <n v="2"/>
    <s v="28-02-2026"/>
    <n v="10460"/>
    <s v="1104-01"/>
    <n v="29738"/>
    <n v="0"/>
    <s v="Centralización ventas febrero 2026  #37874 - valor total"/>
    <n v="29738"/>
    <s v="Activo"/>
    <n v="29738"/>
    <x v="9"/>
  </r>
  <r>
    <n v="2026"/>
    <n v="2"/>
    <s v="28-02-2026"/>
    <n v="10461"/>
    <s v="1104-01"/>
    <n v="367813"/>
    <n v="0"/>
    <s v="Centralización ventas febrero 2026  #37875 - valor total"/>
    <n v="367813"/>
    <s v="Activo"/>
    <n v="367813"/>
    <x v="9"/>
  </r>
  <r>
    <n v="2026"/>
    <n v="2"/>
    <s v="28-02-2026"/>
    <n v="10462"/>
    <s v="1104-01"/>
    <n v="160967"/>
    <n v="0"/>
    <s v="Centralización ventas febrero 2026  #37876 - valor total"/>
    <n v="160967"/>
    <s v="Activo"/>
    <n v="160967"/>
    <x v="9"/>
  </r>
  <r>
    <n v="2026"/>
    <n v="2"/>
    <s v="28-02-2026"/>
    <n v="10463"/>
    <s v="1104-01"/>
    <n v="28990"/>
    <n v="0"/>
    <s v="Centralización ventas febrero 2026  #37877 - valor total"/>
    <n v="28990"/>
    <s v="Activo"/>
    <n v="28990"/>
    <x v="9"/>
  </r>
  <r>
    <n v="2026"/>
    <n v="2"/>
    <s v="28-02-2026"/>
    <n v="10464"/>
    <s v="1104-01"/>
    <n v="24990"/>
    <n v="0"/>
    <s v="Centralización ventas febrero 2026  #37879 - valor total"/>
    <n v="24990"/>
    <s v="Activo"/>
    <n v="24990"/>
    <x v="9"/>
  </r>
  <r>
    <n v="2026"/>
    <n v="2"/>
    <s v="28-02-2026"/>
    <n v="10465"/>
    <s v="1104-01"/>
    <n v="32980"/>
    <n v="0"/>
    <s v="Centralización ventas febrero 2026  #37880 - valor total"/>
    <n v="32980"/>
    <s v="Activo"/>
    <n v="32980"/>
    <x v="9"/>
  </r>
  <r>
    <n v="2026"/>
    <n v="2"/>
    <s v="28-02-2026"/>
    <n v="10466"/>
    <s v="1104-01"/>
    <n v="14990"/>
    <n v="0"/>
    <s v="Centralización ventas febrero 2026  #37881 - valor total"/>
    <n v="14990"/>
    <s v="Activo"/>
    <n v="14990"/>
    <x v="9"/>
  </r>
  <r>
    <n v="2026"/>
    <n v="2"/>
    <s v="28-02-2026"/>
    <n v="10467"/>
    <s v="1104-01"/>
    <n v="21990"/>
    <n v="0"/>
    <s v="Centralización ventas febrero 2026  #37882 - valor total"/>
    <n v="21990"/>
    <s v="Activo"/>
    <n v="21990"/>
    <x v="9"/>
  </r>
  <r>
    <n v="2026"/>
    <n v="2"/>
    <s v="28-02-2026"/>
    <n v="10468"/>
    <s v="1104-01"/>
    <n v="40000"/>
    <n v="0"/>
    <s v="Centralización ventas febrero 2026  #37883 - valor total"/>
    <n v="40000"/>
    <s v="Activo"/>
    <n v="40000"/>
    <x v="9"/>
  </r>
  <r>
    <n v="2026"/>
    <n v="2"/>
    <s v="28-02-2026"/>
    <n v="10469"/>
    <s v="1104-01"/>
    <n v="232730"/>
    <n v="0"/>
    <s v="Centralización ventas febrero 2026  #37887 - valor total"/>
    <n v="232730"/>
    <s v="Activo"/>
    <n v="232730"/>
    <x v="9"/>
  </r>
  <r>
    <n v="2026"/>
    <n v="2"/>
    <s v="28-02-2026"/>
    <n v="10470"/>
    <s v="1104-01"/>
    <n v="110000"/>
    <n v="0"/>
    <s v="Centralización ventas febrero 2026  #37888 - valor total"/>
    <n v="110000"/>
    <s v="Activo"/>
    <n v="110000"/>
    <x v="9"/>
  </r>
  <r>
    <n v="2026"/>
    <n v="2"/>
    <s v="28-02-2026"/>
    <n v="10471"/>
    <s v="1104-01"/>
    <n v="14990"/>
    <n v="0"/>
    <s v="Centralización ventas febrero 2026  #37889 - valor total"/>
    <n v="14990"/>
    <s v="Activo"/>
    <n v="14990"/>
    <x v="9"/>
  </r>
  <r>
    <n v="2026"/>
    <n v="2"/>
    <s v="28-02-2026"/>
    <n v="10472"/>
    <s v="1104-01"/>
    <n v="34990"/>
    <n v="0"/>
    <s v="Centralización ventas febrero 2026  #37890 - valor total"/>
    <n v="34990"/>
    <s v="Activo"/>
    <n v="34990"/>
    <x v="9"/>
  </r>
  <r>
    <n v="2026"/>
    <n v="2"/>
    <s v="28-02-2026"/>
    <n v="10473"/>
    <s v="1104-01"/>
    <n v="520000"/>
    <n v="0"/>
    <s v="Centralización ventas febrero 2026  #37891 - valor total"/>
    <n v="520000"/>
    <s v="Activo"/>
    <n v="520000"/>
    <x v="9"/>
  </r>
  <r>
    <n v="2026"/>
    <n v="2"/>
    <s v="28-02-2026"/>
    <n v="10474"/>
    <s v="1104-01"/>
    <n v="24990"/>
    <n v="0"/>
    <s v="Centralización ventas febrero 2026  #37892 - valor total"/>
    <n v="24990"/>
    <s v="Activo"/>
    <n v="24990"/>
    <x v="9"/>
  </r>
  <r>
    <n v="2026"/>
    <n v="2"/>
    <s v="28-02-2026"/>
    <n v="10475"/>
    <s v="1104-01"/>
    <n v="208250"/>
    <n v="0"/>
    <s v="Centralización ventas febrero 2026  #37894 - valor total"/>
    <n v="208250"/>
    <s v="Activo"/>
    <n v="208250"/>
    <x v="9"/>
  </r>
  <r>
    <n v="2026"/>
    <n v="2"/>
    <s v="28-02-2026"/>
    <n v="10476"/>
    <s v="1104-01"/>
    <n v="30000"/>
    <n v="0"/>
    <s v="Centralización ventas febrero 2026  #37895 - valor total"/>
    <n v="30000"/>
    <s v="Activo"/>
    <n v="30000"/>
    <x v="9"/>
  </r>
  <r>
    <n v="2026"/>
    <n v="2"/>
    <s v="28-02-2026"/>
    <n v="10477"/>
    <s v="1104-01"/>
    <n v="520000"/>
    <n v="0"/>
    <s v="Centralización ventas febrero 2026  #37897 - valor total"/>
    <n v="520000"/>
    <s v="Activo"/>
    <n v="520000"/>
    <x v="9"/>
  </r>
  <r>
    <n v="2026"/>
    <n v="2"/>
    <s v="28-02-2026"/>
    <n v="10478"/>
    <s v="1104-01"/>
    <n v="163404"/>
    <n v="0"/>
    <s v="Centralización ventas febrero 2026  #37898 - valor total"/>
    <n v="163404"/>
    <s v="Activo"/>
    <n v="163404"/>
    <x v="9"/>
  </r>
  <r>
    <n v="2026"/>
    <n v="2"/>
    <s v="28-02-2026"/>
    <n v="10479"/>
    <s v="1104-01"/>
    <n v="41650"/>
    <n v="0"/>
    <s v="Centralización ventas febrero 2026  #37899 - valor total"/>
    <n v="41650"/>
    <s v="Activo"/>
    <n v="41650"/>
    <x v="9"/>
  </r>
  <r>
    <n v="2026"/>
    <n v="2"/>
    <s v="28-02-2026"/>
    <n v="10480"/>
    <s v="1104-01"/>
    <n v="21990"/>
    <n v="0"/>
    <s v="Centralización ventas febrero 2026  #37900 - valor total"/>
    <n v="21990"/>
    <s v="Activo"/>
    <n v="21990"/>
    <x v="9"/>
  </r>
  <r>
    <n v="2026"/>
    <n v="2"/>
    <s v="28-02-2026"/>
    <n v="10481"/>
    <s v="1104-01"/>
    <n v="79959"/>
    <n v="0"/>
    <s v="Centralización ventas febrero 2026  #37901 - valor total"/>
    <n v="79959"/>
    <s v="Activo"/>
    <n v="79959"/>
    <x v="9"/>
  </r>
  <r>
    <n v="2026"/>
    <n v="2"/>
    <s v="28-02-2026"/>
    <n v="10482"/>
    <s v="1104-01"/>
    <n v="54990"/>
    <n v="0"/>
    <s v="Centralización ventas febrero 2026  #37902 - valor total"/>
    <n v="54990"/>
    <s v="Activo"/>
    <n v="54990"/>
    <x v="9"/>
  </r>
  <r>
    <n v="2026"/>
    <n v="2"/>
    <s v="28-02-2026"/>
    <n v="10483"/>
    <s v="1104-01"/>
    <n v="520000"/>
    <n v="0"/>
    <s v="Centralización ventas febrero 2026  #37903 - valor total"/>
    <n v="520000"/>
    <s v="Activo"/>
    <n v="520000"/>
    <x v="9"/>
  </r>
  <r>
    <n v="2026"/>
    <n v="2"/>
    <s v="28-02-2026"/>
    <n v="10484"/>
    <s v="1104-01"/>
    <n v="24990"/>
    <n v="0"/>
    <s v="Centralización ventas febrero 2026  #37904 - valor total"/>
    <n v="24990"/>
    <s v="Activo"/>
    <n v="24990"/>
    <x v="9"/>
  </r>
  <r>
    <n v="2026"/>
    <n v="2"/>
    <s v="28-02-2026"/>
    <n v="10485"/>
    <s v="1104-01"/>
    <n v="34990"/>
    <n v="0"/>
    <s v="Centralización ventas febrero 2026  #37905 - valor total"/>
    <n v="34990"/>
    <s v="Activo"/>
    <n v="34990"/>
    <x v="9"/>
  </r>
  <r>
    <n v="2026"/>
    <n v="2"/>
    <s v="28-02-2026"/>
    <n v="10486"/>
    <s v="1104-01"/>
    <n v="331051"/>
    <n v="0"/>
    <s v="Centralización ventas febrero 2026  #37906 - valor total"/>
    <n v="331051"/>
    <s v="Activo"/>
    <n v="331051"/>
    <x v="9"/>
  </r>
  <r>
    <n v="2026"/>
    <n v="2"/>
    <s v="28-02-2026"/>
    <n v="10487"/>
    <s v="1104-01"/>
    <n v="14990"/>
    <n v="0"/>
    <s v="Centralización ventas febrero 2026  #37907 - valor total"/>
    <n v="14990"/>
    <s v="Activo"/>
    <n v="14990"/>
    <x v="9"/>
  </r>
  <r>
    <n v="2026"/>
    <n v="2"/>
    <s v="28-02-2026"/>
    <n v="10488"/>
    <s v="1104-01"/>
    <n v="28990"/>
    <n v="0"/>
    <s v="Centralización ventas febrero 2026  #37910 - valor total"/>
    <n v="28990"/>
    <s v="Activo"/>
    <n v="28990"/>
    <x v="9"/>
  </r>
  <r>
    <n v="2026"/>
    <n v="2"/>
    <s v="28-02-2026"/>
    <n v="10489"/>
    <s v="1104-01"/>
    <n v="33000"/>
    <n v="0"/>
    <s v="Centralización ventas febrero 2026  #37911 - valor total"/>
    <n v="33000"/>
    <s v="Activo"/>
    <n v="33000"/>
    <x v="9"/>
  </r>
  <r>
    <n v="2026"/>
    <n v="2"/>
    <s v="28-02-2026"/>
    <n v="10490"/>
    <s v="1104-01"/>
    <n v="2192981"/>
    <n v="0"/>
    <s v="Centralización ventas febrero 2026  #37912 - valor total"/>
    <n v="2192981"/>
    <s v="Activo"/>
    <n v="2192981"/>
    <x v="9"/>
  </r>
  <r>
    <n v="2026"/>
    <n v="2"/>
    <s v="28-02-2026"/>
    <n v="10491"/>
    <s v="1104-01"/>
    <n v="799186"/>
    <n v="0"/>
    <s v="Centralización ventas febrero 2026  #37913 - valor total"/>
    <n v="799186"/>
    <s v="Activo"/>
    <n v="799186"/>
    <x v="9"/>
  </r>
  <r>
    <n v="2026"/>
    <n v="2"/>
    <s v="28-02-2026"/>
    <n v="10492"/>
    <s v="1104-01"/>
    <n v="60000"/>
    <n v="0"/>
    <s v="Centralización ventas febrero 2026  #37914 - valor total"/>
    <n v="60000"/>
    <s v="Activo"/>
    <n v="60000"/>
    <x v="9"/>
  </r>
  <r>
    <n v="2026"/>
    <n v="2"/>
    <s v="28-02-2026"/>
    <n v="10493"/>
    <s v="1104-01"/>
    <n v="89250"/>
    <n v="0"/>
    <s v="Centralización ventas febrero 2026  #37915 - valor total"/>
    <n v="89250"/>
    <s v="Activo"/>
    <n v="89250"/>
    <x v="9"/>
  </r>
  <r>
    <n v="2026"/>
    <n v="2"/>
    <s v="28-02-2026"/>
    <n v="10494"/>
    <s v="1104-01"/>
    <n v="54990"/>
    <n v="0"/>
    <s v="Centralización ventas febrero 2026  #37916 - valor total"/>
    <n v="54990"/>
    <s v="Activo"/>
    <n v="54990"/>
    <x v="9"/>
  </r>
  <r>
    <n v="2026"/>
    <n v="2"/>
    <s v="28-02-2026"/>
    <n v="10495"/>
    <s v="1104-01"/>
    <n v="21990"/>
    <n v="0"/>
    <s v="Centralización ventas febrero 2026  #37917 - valor total"/>
    <n v="21990"/>
    <s v="Activo"/>
    <n v="21990"/>
    <x v="9"/>
  </r>
  <r>
    <n v="2026"/>
    <n v="2"/>
    <s v="28-02-2026"/>
    <n v="10496"/>
    <s v="1104-01"/>
    <n v="89240"/>
    <n v="0"/>
    <s v="Centralización ventas febrero 2026  #37918 - valor total"/>
    <n v="89240"/>
    <s v="Activo"/>
    <n v="89240"/>
    <x v="9"/>
  </r>
  <r>
    <n v="2026"/>
    <n v="2"/>
    <s v="28-02-2026"/>
    <n v="10497"/>
    <s v="1104-01"/>
    <n v="25000"/>
    <n v="0"/>
    <s v="Centralización ventas febrero 2026  #37919 - valor total"/>
    <n v="25000"/>
    <s v="Activo"/>
    <n v="25000"/>
    <x v="9"/>
  </r>
  <r>
    <n v="2026"/>
    <n v="2"/>
    <s v="28-02-2026"/>
    <n v="10498"/>
    <s v="1104-01"/>
    <n v="774787"/>
    <n v="0"/>
    <s v="Centralización ventas febrero 2026  #37920 - valor total"/>
    <n v="774787"/>
    <s v="Activo"/>
    <n v="774787"/>
    <x v="9"/>
  </r>
  <r>
    <n v="2026"/>
    <n v="2"/>
    <s v="28-02-2026"/>
    <n v="10499"/>
    <s v="1104-01"/>
    <n v="189172"/>
    <n v="0"/>
    <s v="Centralización ventas febrero 2026  #37922 - valor total"/>
    <n v="189172"/>
    <s v="Activo"/>
    <n v="189172"/>
    <x v="9"/>
  </r>
  <r>
    <n v="2026"/>
    <n v="2"/>
    <s v="28-02-2026"/>
    <n v="10500"/>
    <s v="1104-01"/>
    <n v="14990"/>
    <n v="0"/>
    <s v="Centralización ventas febrero 2026  #37923 - valor total"/>
    <n v="14990"/>
    <s v="Activo"/>
    <n v="14990"/>
    <x v="9"/>
  </r>
  <r>
    <n v="2026"/>
    <n v="2"/>
    <s v="28-02-2026"/>
    <n v="10501"/>
    <s v="1104-01"/>
    <n v="35700"/>
    <n v="0"/>
    <s v="Centralización ventas febrero 2026  #37924 - valor total"/>
    <n v="35700"/>
    <s v="Activo"/>
    <n v="35700"/>
    <x v="9"/>
  </r>
  <r>
    <n v="2026"/>
    <n v="2"/>
    <s v="28-02-2026"/>
    <n v="10502"/>
    <s v="1104-01"/>
    <n v="40000"/>
    <n v="0"/>
    <s v="Centralización ventas febrero 2026  #37925 - valor total"/>
    <n v="40000"/>
    <s v="Activo"/>
    <n v="40000"/>
    <x v="9"/>
  </r>
  <r>
    <n v="2026"/>
    <n v="2"/>
    <s v="28-02-2026"/>
    <n v="10503"/>
    <s v="1104-01"/>
    <n v="1706002"/>
    <n v="0"/>
    <s v="Centralización ventas febrero 2026  #37926 - valor total"/>
    <n v="1706002"/>
    <s v="Activo"/>
    <n v="1706002"/>
    <x v="9"/>
  </r>
  <r>
    <n v="2026"/>
    <n v="2"/>
    <s v="28-02-2026"/>
    <n v="10504"/>
    <s v="1104-01"/>
    <n v="24990"/>
    <n v="0"/>
    <s v="Centralización ventas febrero 2026  #37927 - valor total"/>
    <n v="24990"/>
    <s v="Activo"/>
    <n v="24990"/>
    <x v="9"/>
  </r>
  <r>
    <n v="2026"/>
    <n v="2"/>
    <s v="28-02-2026"/>
    <n v="10505"/>
    <s v="1104-01"/>
    <n v="24990"/>
    <n v="0"/>
    <s v="Centralización ventas febrero 2026  #37928 - valor total"/>
    <n v="24990"/>
    <s v="Activo"/>
    <n v="24990"/>
    <x v="9"/>
  </r>
  <r>
    <n v="2026"/>
    <n v="2"/>
    <s v="28-02-2026"/>
    <n v="10506"/>
    <s v="1104-01"/>
    <n v="14990"/>
    <n v="0"/>
    <s v="Centralización ventas febrero 2026  #37930 - valor total"/>
    <n v="14990"/>
    <s v="Activo"/>
    <n v="14990"/>
    <x v="9"/>
  </r>
  <r>
    <n v="2026"/>
    <n v="2"/>
    <s v="28-02-2026"/>
    <n v="10507"/>
    <s v="1104-01"/>
    <n v="34990"/>
    <n v="0"/>
    <s v="Centralización ventas febrero 2026  #37931 - valor total"/>
    <n v="34990"/>
    <s v="Activo"/>
    <n v="34990"/>
    <x v="9"/>
  </r>
  <r>
    <n v="2026"/>
    <n v="2"/>
    <s v="28-02-2026"/>
    <n v="10508"/>
    <s v="1104-01"/>
    <n v="567630"/>
    <n v="0"/>
    <s v="Centralización ventas febrero 2026  #37932 - valor total"/>
    <n v="567630"/>
    <s v="Activo"/>
    <n v="567630"/>
    <x v="9"/>
  </r>
  <r>
    <n v="2026"/>
    <n v="2"/>
    <s v="28-02-2026"/>
    <n v="10509"/>
    <s v="1104-01"/>
    <n v="35700"/>
    <n v="0"/>
    <s v="Centralización ventas febrero 2026  #37933 - valor total"/>
    <n v="35700"/>
    <s v="Activo"/>
    <n v="35700"/>
    <x v="9"/>
  </r>
  <r>
    <n v="2026"/>
    <n v="2"/>
    <s v="28-02-2026"/>
    <n v="10510"/>
    <s v="1104-01"/>
    <n v="24000"/>
    <n v="0"/>
    <s v="Centralización ventas febrero 2026  #37934 - valor total"/>
    <n v="24000"/>
    <s v="Activo"/>
    <n v="24000"/>
    <x v="9"/>
  </r>
  <r>
    <n v="2026"/>
    <n v="2"/>
    <s v="28-02-2026"/>
    <n v="10511"/>
    <s v="1104-01"/>
    <n v="29750"/>
    <n v="0"/>
    <s v="Centralización ventas febrero 2026  #37935 - valor total"/>
    <n v="29750"/>
    <s v="Activo"/>
    <n v="29750"/>
    <x v="9"/>
  </r>
  <r>
    <n v="2026"/>
    <n v="2"/>
    <s v="28-02-2026"/>
    <n v="10512"/>
    <s v="1104-01"/>
    <n v="76857"/>
    <n v="0"/>
    <s v="Centralización ventas febrero 2026  #37936 - valor total"/>
    <n v="76857"/>
    <s v="Activo"/>
    <n v="76857"/>
    <x v="9"/>
  </r>
  <r>
    <n v="2026"/>
    <n v="2"/>
    <s v="28-02-2026"/>
    <n v="10513"/>
    <s v="1104-01"/>
    <n v="2380000"/>
    <n v="0"/>
    <s v="Centralización ventas febrero 2026  #37937 - valor total"/>
    <n v="2380000"/>
    <s v="Activo"/>
    <n v="2380000"/>
    <x v="9"/>
  </r>
  <r>
    <n v="2026"/>
    <n v="2"/>
    <s v="28-02-2026"/>
    <n v="10514"/>
    <s v="1104-01"/>
    <n v="2380000"/>
    <n v="0"/>
    <s v="Centralización ventas febrero 2026  #37938 - valor total"/>
    <n v="2380000"/>
    <s v="Activo"/>
    <n v="2380000"/>
    <x v="9"/>
  </r>
  <r>
    <n v="2026"/>
    <n v="2"/>
    <s v="28-02-2026"/>
    <n v="10515"/>
    <s v="1104-01"/>
    <n v="56519"/>
    <n v="0"/>
    <s v="Centralización ventas febrero 2026  #37939 - valor total"/>
    <n v="56519"/>
    <s v="Activo"/>
    <n v="56519"/>
    <x v="9"/>
  </r>
  <r>
    <n v="2026"/>
    <n v="2"/>
    <s v="28-02-2026"/>
    <n v="10516"/>
    <s v="1104-01"/>
    <n v="121274"/>
    <n v="0"/>
    <s v="Centralización ventas febrero 2026  #37941 - valor total"/>
    <n v="121274"/>
    <s v="Activo"/>
    <n v="121274"/>
    <x v="9"/>
  </r>
  <r>
    <n v="2026"/>
    <n v="2"/>
    <s v="28-02-2026"/>
    <n v="10517"/>
    <s v="1104-01"/>
    <n v="247382"/>
    <n v="0"/>
    <s v="Centralización ventas febrero 2026  #37942 - valor total"/>
    <n v="247382"/>
    <s v="Activo"/>
    <n v="247382"/>
    <x v="9"/>
  </r>
  <r>
    <n v="2026"/>
    <n v="2"/>
    <s v="28-02-2026"/>
    <n v="10518"/>
    <s v="1104-01"/>
    <n v="129191"/>
    <n v="0"/>
    <s v="Centralización ventas febrero 2026  #37943 - valor total"/>
    <n v="129191"/>
    <s v="Activo"/>
    <n v="129191"/>
    <x v="9"/>
  </r>
  <r>
    <n v="2026"/>
    <n v="2"/>
    <s v="28-02-2026"/>
    <n v="10519"/>
    <s v="1104-01"/>
    <n v="155000"/>
    <n v="0"/>
    <s v="Centralización ventas febrero 2026  #37945 - valor total"/>
    <n v="155000"/>
    <s v="Activo"/>
    <n v="155000"/>
    <x v="9"/>
  </r>
  <r>
    <n v="2026"/>
    <n v="2"/>
    <s v="28-02-2026"/>
    <n v="10520"/>
    <s v="1104-01"/>
    <n v="820242"/>
    <n v="0"/>
    <s v="Centralización ventas febrero 2026  #37953 - valor total"/>
    <n v="820242"/>
    <s v="Activo"/>
    <n v="820242"/>
    <x v="9"/>
  </r>
  <r>
    <n v="2026"/>
    <n v="2"/>
    <s v="28-02-2026"/>
    <n v="10521"/>
    <s v="1104-01"/>
    <n v="29990"/>
    <n v="0"/>
    <s v="Centralización ventas febrero 2026  #37959 - valor total"/>
    <n v="29990"/>
    <s v="Activo"/>
    <n v="29990"/>
    <x v="9"/>
  </r>
  <r>
    <n v="2026"/>
    <n v="2"/>
    <s v="28-02-2026"/>
    <n v="10522"/>
    <s v="1104-01"/>
    <n v="26170"/>
    <n v="0"/>
    <s v="Centralización ventas febrero 2026  #37962 - valor total"/>
    <n v="26170"/>
    <s v="Activo"/>
    <n v="26170"/>
    <x v="9"/>
  </r>
  <r>
    <n v="2026"/>
    <n v="2"/>
    <s v="28-02-2026"/>
    <n v="10523"/>
    <s v="1104-01"/>
    <n v="28990"/>
    <n v="0"/>
    <s v="Centralización ventas febrero 2026  #37963 - valor total"/>
    <n v="28990"/>
    <s v="Activo"/>
    <n v="28990"/>
    <x v="9"/>
  </r>
  <r>
    <n v="2026"/>
    <n v="2"/>
    <s v="28-02-2026"/>
    <n v="10524"/>
    <s v="1104-01"/>
    <n v="24990"/>
    <n v="0"/>
    <s v="Centralización ventas febrero 2026  #37964 - valor total"/>
    <n v="24990"/>
    <s v="Activo"/>
    <n v="24990"/>
    <x v="9"/>
  </r>
  <r>
    <n v="2026"/>
    <n v="2"/>
    <s v="28-02-2026"/>
    <n v="10525"/>
    <s v="1104-01"/>
    <n v="336351"/>
    <n v="0"/>
    <s v="Centralización ventas febrero 2026  #37965 - valor total"/>
    <n v="336351"/>
    <s v="Activo"/>
    <n v="336351"/>
    <x v="9"/>
  </r>
  <r>
    <n v="2026"/>
    <n v="2"/>
    <s v="28-02-2026"/>
    <n v="10526"/>
    <s v="1104-01"/>
    <n v="348167"/>
    <n v="0"/>
    <s v="Centralización ventas febrero 2026  #37966 - valor total"/>
    <n v="348167"/>
    <s v="Activo"/>
    <n v="348167"/>
    <x v="9"/>
  </r>
  <r>
    <n v="2026"/>
    <n v="2"/>
    <s v="28-02-2026"/>
    <n v="10527"/>
    <s v="1104-01"/>
    <n v="2478885"/>
    <n v="0"/>
    <s v="Centralización ventas febrero 2026  #37968 - valor total"/>
    <n v="2478885"/>
    <s v="Activo"/>
    <n v="2478885"/>
    <x v="9"/>
  </r>
  <r>
    <n v="2026"/>
    <n v="2"/>
    <s v="28-02-2026"/>
    <n v="10528"/>
    <s v="1104-01"/>
    <n v="19990"/>
    <n v="0"/>
    <s v="Centralización ventas febrero 2026  #37969 - valor total"/>
    <n v="19990"/>
    <s v="Activo"/>
    <n v="19990"/>
    <x v="9"/>
  </r>
  <r>
    <n v="2026"/>
    <n v="2"/>
    <s v="28-02-2026"/>
    <n v="10529"/>
    <s v="1104-01"/>
    <n v="0"/>
    <n v="29750"/>
    <s v="Centralización ventas febrero 2026  #4501 - valor total"/>
    <n v="-29750"/>
    <s v="Activo"/>
    <n v="-29750"/>
    <x v="9"/>
  </r>
  <r>
    <n v="2026"/>
    <n v="2"/>
    <s v="28-02-2026"/>
    <n v="10530"/>
    <s v="1104-01"/>
    <n v="0"/>
    <n v="89240"/>
    <s v="Centralización ventas febrero 2026  #4510 - valor total"/>
    <n v="-89240"/>
    <s v="Activo"/>
    <n v="-89240"/>
    <x v="9"/>
  </r>
  <r>
    <n v="2026"/>
    <n v="2"/>
    <s v="28-02-2026"/>
    <n v="10531"/>
    <s v="1104-01"/>
    <n v="0"/>
    <n v="247382"/>
    <s v="Centralización ventas febrero 2026  #4520 - valor total"/>
    <n v="-247382"/>
    <s v="Activo"/>
    <n v="-247382"/>
    <x v="9"/>
  </r>
  <r>
    <n v="2026"/>
    <n v="2"/>
    <s v="28-02-2026"/>
    <n v="10532"/>
    <s v="1104-01"/>
    <n v="0"/>
    <n v="53980"/>
    <s v="Centralización ventas febrero 2026  #4525 - valor total"/>
    <n v="-53980"/>
    <s v="Activo"/>
    <n v="-53980"/>
    <x v="9"/>
  </r>
  <r>
    <n v="2026"/>
    <n v="2"/>
    <s v="28-02-2026"/>
    <n v="10533"/>
    <s v="1104-01"/>
    <n v="0"/>
    <n v="19149"/>
    <s v="Centralización ventas febrero 2026  #4527 - valor total"/>
    <n v="-19149"/>
    <s v="Activo"/>
    <n v="-19149"/>
    <x v="9"/>
  </r>
  <r>
    <n v="2026"/>
    <n v="2"/>
    <s v="28-02-2026"/>
    <n v="10534"/>
    <s v="1104-01"/>
    <n v="0"/>
    <n v="12990"/>
    <s v="Centralización ventas febrero 2026  #4528 - valor total"/>
    <n v="-12990"/>
    <s v="Activo"/>
    <n v="-12990"/>
    <x v="9"/>
  </r>
  <r>
    <n v="2026"/>
    <n v="2"/>
    <s v="28-02-2026"/>
    <n v="10535"/>
    <s v="1104-01"/>
    <n v="0"/>
    <n v="32980"/>
    <s v="Centralización ventas febrero 2026  #4529 - valor total"/>
    <n v="-32980"/>
    <s v="Activo"/>
    <n v="-32980"/>
    <x v="9"/>
  </r>
  <r>
    <n v="2026"/>
    <n v="2"/>
    <s v="28-02-2026"/>
    <n v="10536"/>
    <s v="1104-01"/>
    <n v="0"/>
    <n v="36990"/>
    <s v="Centralización ventas febrero 2026  #4530 - valor total"/>
    <n v="-36990"/>
    <s v="Activo"/>
    <n v="-36990"/>
    <x v="9"/>
  </r>
  <r>
    <n v="2026"/>
    <n v="2"/>
    <s v="28-02-2026"/>
    <n v="10537"/>
    <s v="1104-01"/>
    <n v="0"/>
    <n v="132000"/>
    <s v="Centralización ventas febrero 2026  #4531 - valor total"/>
    <n v="-132000"/>
    <s v="Activo"/>
    <n v="-132000"/>
    <x v="9"/>
  </r>
  <r>
    <n v="2026"/>
    <n v="2"/>
    <s v="28-02-2026"/>
    <n v="10538"/>
    <s v="1104-01"/>
    <n v="0"/>
    <n v="155000"/>
    <s v="Centralización ventas febrero 2026  #4532 - valor total"/>
    <n v="-155000"/>
    <s v="Activo"/>
    <n v="-155000"/>
    <x v="9"/>
  </r>
  <r>
    <n v="2026"/>
    <n v="2"/>
    <s v="28-02-2026"/>
    <n v="10539"/>
    <s v="1104-01"/>
    <n v="0"/>
    <n v="22980"/>
    <s v="Centralización ventas febrero 2026  #4533 - valor total"/>
    <n v="-22980"/>
    <s v="Activo"/>
    <n v="-22980"/>
    <x v="9"/>
  </r>
  <r>
    <n v="2026"/>
    <n v="2"/>
    <s v="28-02-2026"/>
    <n v="10540"/>
    <s v="1104-01"/>
    <n v="0"/>
    <n v="38980"/>
    <s v="Centralización ventas febrero 2026  #4534 - valor total"/>
    <n v="-38980"/>
    <s v="Activo"/>
    <n v="-38980"/>
    <x v="9"/>
  </r>
  <r>
    <n v="2026"/>
    <n v="2"/>
    <s v="28-02-2026"/>
    <n v="10541"/>
    <s v="1104-01"/>
    <n v="0"/>
    <n v="8395"/>
    <s v="Centralización ventas febrero 2026  #4535 - valor total"/>
    <n v="-8395"/>
    <s v="Activo"/>
    <n v="-8395"/>
    <x v="9"/>
  </r>
  <r>
    <n v="2026"/>
    <n v="2"/>
    <s v="28-02-2026"/>
    <n v="10542"/>
    <s v="1104-01"/>
    <n v="0"/>
    <n v="12990"/>
    <s v="Centralización ventas febrero 2026  #4536 - valor total"/>
    <n v="-12990"/>
    <s v="Activo"/>
    <n v="-12990"/>
    <x v="9"/>
  </r>
  <r>
    <n v="2026"/>
    <n v="2"/>
    <s v="28-02-2026"/>
    <n v="10543"/>
    <s v="1104-01"/>
    <n v="0"/>
    <n v="23980"/>
    <s v="Centralización ventas febrero 2026  #4537 - valor total"/>
    <n v="-23980"/>
    <s v="Activo"/>
    <n v="-23980"/>
    <x v="9"/>
  </r>
  <r>
    <n v="2026"/>
    <n v="2"/>
    <s v="28-02-2026"/>
    <n v="10544"/>
    <s v="1104-01"/>
    <n v="0"/>
    <n v="25980"/>
    <s v="Centralización ventas febrero 2026  #4538 - valor total"/>
    <n v="-25980"/>
    <s v="Activo"/>
    <n v="-25980"/>
    <x v="9"/>
  </r>
  <r>
    <n v="2026"/>
    <n v="2"/>
    <s v="28-02-2026"/>
    <n v="10545"/>
    <s v="1104-01"/>
    <n v="0"/>
    <n v="33865"/>
    <s v="Centralización ventas febrero 2026  #4539 - valor total"/>
    <n v="-33865"/>
    <s v="Activo"/>
    <n v="-33865"/>
    <x v="9"/>
  </r>
  <r>
    <n v="2026"/>
    <n v="2"/>
    <s v="28-02-2026"/>
    <n v="10546"/>
    <s v="1104-01"/>
    <n v="0"/>
    <n v="28990"/>
    <s v="Centralización ventas febrero 2026  #4540 - valor total"/>
    <n v="-28990"/>
    <s v="Activo"/>
    <n v="-28990"/>
    <x v="9"/>
  </r>
  <r>
    <n v="2026"/>
    <n v="2"/>
    <s v="28-02-2026"/>
    <n v="10547"/>
    <s v="1104-01"/>
    <n v="0"/>
    <n v="30000"/>
    <s v="Centralización ventas febrero 2026  #4541 - valor total"/>
    <n v="-30000"/>
    <s v="Activo"/>
    <n v="-30000"/>
    <x v="9"/>
  </r>
  <r>
    <n v="2026"/>
    <n v="2"/>
    <s v="28-02-2026"/>
    <n v="10548"/>
    <s v="1104-01"/>
    <n v="0"/>
    <n v="12990"/>
    <s v="Centralización ventas febrero 2026  #4542 - valor total"/>
    <n v="-12990"/>
    <s v="Activo"/>
    <n v="-12990"/>
    <x v="9"/>
  </r>
  <r>
    <n v="2026"/>
    <n v="2"/>
    <s v="28-02-2026"/>
    <n v="10549"/>
    <s v="1104-01"/>
    <n v="0"/>
    <n v="9990"/>
    <s v="Centralización ventas febrero 2026  #4543 - valor total"/>
    <n v="-9990"/>
    <s v="Activo"/>
    <n v="-9990"/>
    <x v="9"/>
  </r>
  <r>
    <n v="2026"/>
    <n v="2"/>
    <s v="28-02-2026"/>
    <n v="10550"/>
    <s v="1104-01"/>
    <n v="0"/>
    <n v="61899"/>
    <s v="Centralización ventas febrero 2026  #4544 - valor total"/>
    <n v="-61899"/>
    <s v="Activo"/>
    <n v="-61899"/>
    <x v="9"/>
  </r>
  <r>
    <n v="2026"/>
    <n v="2"/>
    <s v="28-02-2026"/>
    <n v="10551"/>
    <s v="1104-01"/>
    <n v="0"/>
    <n v="44264"/>
    <s v="Centralización ventas febrero 2026  #4545 - valor total"/>
    <n v="-44264"/>
    <s v="Activo"/>
    <n v="-44264"/>
    <x v="9"/>
  </r>
  <r>
    <n v="2026"/>
    <n v="2"/>
    <s v="28-02-2026"/>
    <n v="10552"/>
    <s v="1104-01"/>
    <n v="0"/>
    <n v="1999"/>
    <s v="Centralización ventas febrero 2026  #4546 - valor total"/>
    <n v="-1999"/>
    <s v="Activo"/>
    <n v="-1999"/>
    <x v="9"/>
  </r>
  <r>
    <n v="2026"/>
    <n v="2"/>
    <s v="28-02-2026"/>
    <n v="10553"/>
    <s v="1104-01"/>
    <n v="0"/>
    <n v="21990"/>
    <s v="Centralización ventas febrero 2026  #4547 - valor total"/>
    <n v="-21990"/>
    <s v="Activo"/>
    <n v="-21990"/>
    <x v="9"/>
  </r>
  <r>
    <n v="2026"/>
    <n v="2"/>
    <s v="28-02-2026"/>
    <n v="10554"/>
    <s v="1104-01"/>
    <n v="0"/>
    <n v="30591"/>
    <s v="Centralización ventas febrero 2026  #4548 - valor total"/>
    <n v="-30591"/>
    <s v="Activo"/>
    <n v="-30591"/>
    <x v="9"/>
  </r>
  <r>
    <n v="2026"/>
    <n v="2"/>
    <s v="28-02-2026"/>
    <n v="10555"/>
    <s v="1104-01"/>
    <n v="0"/>
    <n v="14660"/>
    <s v="Centralización ventas febrero 2026  #4549 - valor total"/>
    <n v="-14660"/>
    <s v="Activo"/>
    <n v="-14660"/>
    <x v="9"/>
  </r>
  <r>
    <n v="2026"/>
    <n v="2"/>
    <s v="28-02-2026"/>
    <n v="10556"/>
    <s v="1104-01"/>
    <n v="0"/>
    <n v="9494"/>
    <s v="Centralización ventas febrero 2026  #4550 - valor total"/>
    <n v="-9494"/>
    <s v="Activo"/>
    <n v="-9494"/>
    <x v="9"/>
  </r>
  <r>
    <n v="2026"/>
    <n v="2"/>
    <s v="28-02-2026"/>
    <n v="10557"/>
    <s v="1104-01"/>
    <n v="0"/>
    <n v="19990"/>
    <s v="Centralización ventas febrero 2026  #4551 - valor total"/>
    <n v="-19990"/>
    <s v="Activo"/>
    <n v="-19990"/>
    <x v="9"/>
  </r>
  <r>
    <n v="2026"/>
    <n v="2"/>
    <s v="28-02-2026"/>
    <n v="10558"/>
    <s v="1104-01"/>
    <n v="0"/>
    <n v="16126"/>
    <s v="Centralización ventas febrero 2026  #4552 - valor total"/>
    <n v="-16126"/>
    <s v="Activo"/>
    <n v="-16126"/>
    <x v="9"/>
  </r>
  <r>
    <n v="2026"/>
    <n v="2"/>
    <s v="28-02-2026"/>
    <n v="10559"/>
    <s v="1104-01"/>
    <n v="0"/>
    <n v="14990"/>
    <s v="Centralización ventas febrero 2026  #4553 - valor total"/>
    <n v="-14990"/>
    <s v="Activo"/>
    <n v="-14990"/>
    <x v="9"/>
  </r>
  <r>
    <n v="2026"/>
    <n v="2"/>
    <s v="28-02-2026"/>
    <n v="10560"/>
    <s v="1104-01"/>
    <n v="0"/>
    <n v="12990"/>
    <s v="Centralización ventas febrero 2026  #4554 - valor total"/>
    <n v="-12990"/>
    <s v="Activo"/>
    <n v="-12990"/>
    <x v="9"/>
  </r>
  <r>
    <n v="2026"/>
    <n v="2"/>
    <s v="28-02-2026"/>
    <n v="10561"/>
    <s v="1104-01"/>
    <n v="0"/>
    <n v="32960"/>
    <s v="Centralización ventas febrero 2026  #4555 - valor total"/>
    <n v="-32960"/>
    <s v="Activo"/>
    <n v="-32960"/>
    <x v="9"/>
  </r>
  <r>
    <n v="2026"/>
    <n v="2"/>
    <s v="28-02-2026"/>
    <n v="10562"/>
    <s v="1104-01"/>
    <n v="0"/>
    <n v="31980"/>
    <s v="Centralización ventas febrero 2026  #4556 - valor total"/>
    <n v="-31980"/>
    <s v="Activo"/>
    <n v="-31980"/>
    <x v="9"/>
  </r>
  <r>
    <n v="2026"/>
    <n v="2"/>
    <s v="28-02-2026"/>
    <n v="10563"/>
    <s v="1104-01"/>
    <n v="0"/>
    <n v="31970"/>
    <s v="Centralización ventas febrero 2026  #4557 - valor total"/>
    <n v="-31970"/>
    <s v="Activo"/>
    <n v="-31970"/>
    <x v="9"/>
  </r>
  <r>
    <n v="2026"/>
    <n v="2"/>
    <s v="28-02-2026"/>
    <n v="10564"/>
    <s v="1104-01"/>
    <n v="0"/>
    <n v="30990"/>
    <s v="Centralización ventas febrero 2026  #4558 - valor total"/>
    <n v="-30990"/>
    <s v="Activo"/>
    <n v="-30990"/>
    <x v="9"/>
  </r>
  <r>
    <n v="2026"/>
    <n v="2"/>
    <s v="28-02-2026"/>
    <n v="10565"/>
    <s v="1104-01"/>
    <n v="0"/>
    <n v="30000"/>
    <s v="Centralización ventas febrero 2026  #4559 - valor total"/>
    <n v="-30000"/>
    <s v="Activo"/>
    <n v="-30000"/>
    <x v="9"/>
  </r>
  <r>
    <n v="2026"/>
    <n v="2"/>
    <s v="28-02-2026"/>
    <n v="10566"/>
    <s v="1104-01"/>
    <n v="0"/>
    <n v="30000"/>
    <s v="Centralización ventas febrero 2026  #4560 - valor total"/>
    <n v="-30000"/>
    <s v="Activo"/>
    <n v="-30000"/>
    <x v="9"/>
  </r>
  <r>
    <n v="2026"/>
    <n v="2"/>
    <s v="28-02-2026"/>
    <n v="10567"/>
    <s v="1104-01"/>
    <n v="0"/>
    <n v="28990"/>
    <s v="Centralización ventas febrero 2026  #4561 - valor total"/>
    <n v="-28990"/>
    <s v="Activo"/>
    <n v="-28990"/>
    <x v="9"/>
  </r>
  <r>
    <n v="2026"/>
    <n v="2"/>
    <s v="28-02-2026"/>
    <n v="10568"/>
    <s v="1104-01"/>
    <n v="0"/>
    <n v="44990"/>
    <s v="Centralización ventas febrero 2026  #4562 - valor total"/>
    <n v="-44990"/>
    <s v="Activo"/>
    <n v="-44990"/>
    <x v="9"/>
  </r>
  <r>
    <n v="2026"/>
    <n v="2"/>
    <s v="28-02-2026"/>
    <n v="10569"/>
    <s v="1104-01"/>
    <n v="0"/>
    <n v="24980"/>
    <s v="Centralización ventas febrero 2026  #4563 - valor total"/>
    <n v="-24980"/>
    <s v="Activo"/>
    <n v="-24980"/>
    <x v="9"/>
  </r>
  <r>
    <n v="2026"/>
    <n v="2"/>
    <s v="28-02-2026"/>
    <n v="10570"/>
    <s v="1104-01"/>
    <n v="0"/>
    <n v="22990"/>
    <s v="Centralización ventas febrero 2026  #4564 - valor total"/>
    <n v="-22990"/>
    <s v="Activo"/>
    <n v="-22990"/>
    <x v="9"/>
  </r>
  <r>
    <n v="2026"/>
    <n v="2"/>
    <s v="28-02-2026"/>
    <n v="10571"/>
    <s v="1104-01"/>
    <n v="0"/>
    <n v="22980"/>
    <s v="Centralización ventas febrero 2026  #4565 - valor total"/>
    <n v="-22980"/>
    <s v="Activo"/>
    <n v="-22980"/>
    <x v="9"/>
  </r>
  <r>
    <n v="2026"/>
    <n v="2"/>
    <s v="28-02-2026"/>
    <n v="10572"/>
    <s v="1104-01"/>
    <n v="0"/>
    <n v="21990"/>
    <s v="Centralización ventas febrero 2026  #4566 - valor total"/>
    <n v="-21990"/>
    <s v="Activo"/>
    <n v="-21990"/>
    <x v="9"/>
  </r>
  <r>
    <n v="2026"/>
    <n v="2"/>
    <s v="28-02-2026"/>
    <n v="10573"/>
    <s v="1104-01"/>
    <n v="0"/>
    <n v="21248"/>
    <s v="Centralización ventas febrero 2026  #4567 - valor total"/>
    <n v="-21248"/>
    <s v="Activo"/>
    <n v="-21248"/>
    <x v="9"/>
  </r>
  <r>
    <n v="2026"/>
    <n v="2"/>
    <s v="28-02-2026"/>
    <n v="10574"/>
    <s v="1104-01"/>
    <n v="0"/>
    <n v="19990"/>
    <s v="Centralización ventas febrero 2026  #4568 - valor total"/>
    <n v="-19990"/>
    <s v="Activo"/>
    <n v="-19990"/>
    <x v="9"/>
  </r>
  <r>
    <n v="2026"/>
    <n v="2"/>
    <s v="28-02-2026"/>
    <n v="10575"/>
    <s v="1104-01"/>
    <n v="0"/>
    <n v="15000"/>
    <s v="Centralización ventas febrero 2026  #4569 - valor total"/>
    <n v="-15000"/>
    <s v="Activo"/>
    <n v="-15000"/>
    <x v="9"/>
  </r>
  <r>
    <n v="2026"/>
    <n v="2"/>
    <s v="28-02-2026"/>
    <n v="10576"/>
    <s v="1104-01"/>
    <n v="0"/>
    <n v="14990"/>
    <s v="Centralización ventas febrero 2026  #4570 - valor total"/>
    <n v="-14990"/>
    <s v="Activo"/>
    <n v="-14990"/>
    <x v="9"/>
  </r>
  <r>
    <n v="2026"/>
    <n v="2"/>
    <s v="28-02-2026"/>
    <n v="10577"/>
    <s v="1104-01"/>
    <n v="0"/>
    <n v="14990"/>
    <s v="Centralización ventas febrero 2026  #4571 - valor total"/>
    <n v="-14990"/>
    <s v="Activo"/>
    <n v="-14990"/>
    <x v="9"/>
  </r>
  <r>
    <n v="2026"/>
    <n v="2"/>
    <s v="28-02-2026"/>
    <n v="10578"/>
    <s v="1104-01"/>
    <n v="0"/>
    <n v="12990"/>
    <s v="Centralización ventas febrero 2026  #4572 - valor total"/>
    <n v="-12990"/>
    <s v="Activo"/>
    <n v="-12990"/>
    <x v="9"/>
  </r>
  <r>
    <n v="2026"/>
    <n v="2"/>
    <s v="28-02-2026"/>
    <n v="10579"/>
    <s v="1104-01"/>
    <n v="0"/>
    <n v="12990"/>
    <s v="Centralización ventas febrero 2026  #4573 - valor total"/>
    <n v="-12990"/>
    <s v="Activo"/>
    <n v="-12990"/>
    <x v="9"/>
  </r>
  <r>
    <n v="2026"/>
    <n v="2"/>
    <s v="28-02-2026"/>
    <n v="10580"/>
    <s v="1104-01"/>
    <n v="0"/>
    <n v="5196"/>
    <s v="Centralización ventas febrero 2026  #4574 - valor total"/>
    <n v="-5196"/>
    <s v="Activo"/>
    <n v="-5196"/>
    <x v="9"/>
  </r>
  <r>
    <n v="2026"/>
    <n v="2"/>
    <s v="28-02-2026"/>
    <n v="10581"/>
    <s v="1104-01"/>
    <n v="0"/>
    <n v="44980"/>
    <s v="Centralización ventas febrero 2026  #4575 - valor total"/>
    <n v="-44980"/>
    <s v="Activo"/>
    <n v="-44980"/>
    <x v="9"/>
  </r>
  <r>
    <n v="2026"/>
    <n v="2"/>
    <s v="28-02-2026"/>
    <n v="10582"/>
    <s v="1104-01"/>
    <n v="0"/>
    <n v="40000"/>
    <s v="Centralización ventas febrero 2026  #4576 - valor total"/>
    <n v="-40000"/>
    <s v="Activo"/>
    <n v="-40000"/>
    <x v="9"/>
  </r>
  <r>
    <n v="2026"/>
    <n v="2"/>
    <s v="28-02-2026"/>
    <n v="10583"/>
    <s v="1104-01"/>
    <n v="0"/>
    <n v="40000"/>
    <s v="Centralización ventas febrero 2026  #4577 - valor total"/>
    <n v="-40000"/>
    <s v="Activo"/>
    <n v="-40000"/>
    <x v="9"/>
  </r>
  <r>
    <n v="2026"/>
    <n v="2"/>
    <s v="28-02-2026"/>
    <n v="10584"/>
    <s v="1104-01"/>
    <n v="0"/>
    <n v="38971"/>
    <s v="Centralización ventas febrero 2026  #4578 - valor total"/>
    <n v="-38971"/>
    <s v="Activo"/>
    <n v="-38971"/>
    <x v="9"/>
  </r>
  <r>
    <n v="2026"/>
    <n v="2"/>
    <s v="28-02-2026"/>
    <n v="10585"/>
    <s v="1104-01"/>
    <n v="0"/>
    <n v="26482"/>
    <s v="Centralización ventas febrero 2026  #4579 - valor total"/>
    <n v="-26482"/>
    <s v="Activo"/>
    <n v="-26482"/>
    <x v="9"/>
  </r>
  <r>
    <n v="2026"/>
    <n v="2"/>
    <s v="28-02-2026"/>
    <n v="10586"/>
    <s v="1104-01"/>
    <n v="0"/>
    <n v="820242"/>
    <s v="Centralización ventas febrero 2026  #4580 - valor total"/>
    <n v="-820242"/>
    <s v="Activo"/>
    <n v="-820242"/>
    <x v="9"/>
  </r>
  <r>
    <n v="2026"/>
    <n v="2"/>
    <s v="28-02-2026"/>
    <n v="10587"/>
    <s v="1104-01"/>
    <n v="0"/>
    <n v="28994"/>
    <s v="Centralización ventas febrero 2026  #4581 - valor total"/>
    <n v="-28994"/>
    <s v="Activo"/>
    <n v="-28994"/>
    <x v="9"/>
  </r>
  <r>
    <n v="2026"/>
    <n v="3"/>
    <s v="02-03-2026"/>
    <n v="11114"/>
    <s v="1104-01"/>
    <n v="0"/>
    <n v="7660301"/>
    <s v="0966893109 abn crd db tran transba"/>
    <n v="-7660301"/>
    <s v="Activo"/>
    <n v="-7660301"/>
    <x v="9"/>
  </r>
  <r>
    <n v="2026"/>
    <n v="3"/>
    <s v="02-03-2026"/>
    <n v="11115"/>
    <s v="1104-01"/>
    <n v="0"/>
    <n v="2222235"/>
    <s v="0761872877 transf. khipu spa"/>
    <n v="-2222235"/>
    <s v="Activo"/>
    <n v="-2222235"/>
    <x v="9"/>
  </r>
  <r>
    <n v="2026"/>
    <n v="3"/>
    <s v="02-03-2026"/>
    <n v="11170"/>
    <s v="1104-01"/>
    <n v="0"/>
    <n v="40000"/>
    <s v="Centralización recaudaciones marzo 2026 #2862 - #2862"/>
    <n v="-40000"/>
    <s v="Activo"/>
    <n v="-40000"/>
    <x v="9"/>
  </r>
  <r>
    <n v="2026"/>
    <n v="3"/>
    <s v="02-03-2026"/>
    <n v="11173"/>
    <s v="1104-01"/>
    <n v="0"/>
    <n v="40000"/>
    <s v="Centralización recaudaciones marzo 2026 #2866 - #2866"/>
    <n v="-40000"/>
    <s v="Activo"/>
    <n v="-40000"/>
    <x v="9"/>
  </r>
  <r>
    <n v="2026"/>
    <n v="3"/>
    <s v="02-03-2026"/>
    <n v="11175"/>
    <s v="1104-01"/>
    <n v="0"/>
    <n v="14990"/>
    <s v="Centralización recaudaciones marzo 2026 #3489 - #3489"/>
    <n v="-14990"/>
    <s v="Activo"/>
    <n v="-14990"/>
    <x v="9"/>
  </r>
  <r>
    <n v="2026"/>
    <n v="3"/>
    <s v="02-03-2026"/>
    <n v="11183"/>
    <s v="1104-01"/>
    <n v="0"/>
    <n v="244900"/>
    <s v="Centralización recaudaciones marzo 2026 #2872 - #2872"/>
    <n v="-244900"/>
    <s v="Activo"/>
    <n v="-244900"/>
    <x v="9"/>
  </r>
  <r>
    <n v="2026"/>
    <n v="3"/>
    <s v="02-03-2026"/>
    <n v="11187"/>
    <s v="1104-01"/>
    <n v="0"/>
    <n v="69999"/>
    <s v="Centralización recaudaciones marzo 2026 #2876 - #2876"/>
    <n v="-69999"/>
    <s v="Activo"/>
    <n v="-69999"/>
    <x v="9"/>
  </r>
  <r>
    <n v="2026"/>
    <n v="3"/>
    <s v="02-03-2026"/>
    <n v="11188"/>
    <s v="1104-01"/>
    <n v="0"/>
    <n v="113503"/>
    <s v="Centralización recaudaciones marzo 2026 #2877 - #2877"/>
    <n v="-113503"/>
    <s v="Activo"/>
    <n v="-113503"/>
    <x v="9"/>
  </r>
  <r>
    <n v="2026"/>
    <n v="3"/>
    <s v="02-03-2026"/>
    <n v="11192"/>
    <s v="1104-01"/>
    <n v="0"/>
    <n v="30000"/>
    <s v="Centralización recaudaciones marzo 2026 #2881 - #2881"/>
    <n v="-30000"/>
    <s v="Activo"/>
    <n v="-30000"/>
    <x v="9"/>
  </r>
  <r>
    <n v="2026"/>
    <n v="3"/>
    <s v="02-03-2026"/>
    <n v="11196"/>
    <s v="1104-01"/>
    <n v="0"/>
    <n v="30000"/>
    <s v="Centralización recaudaciones marzo 2026 #2884 - #2884"/>
    <n v="-30000"/>
    <s v="Activo"/>
    <n v="-30000"/>
    <x v="9"/>
  </r>
  <r>
    <n v="2026"/>
    <n v="3"/>
    <s v="02-03-2026"/>
    <n v="11205"/>
    <s v="1104-01"/>
    <n v="0"/>
    <n v="30000"/>
    <s v="Centralización recaudaciones marzo 2026 #2893 - #2893"/>
    <n v="-30000"/>
    <s v="Activo"/>
    <n v="-30000"/>
    <x v="9"/>
  </r>
  <r>
    <n v="2026"/>
    <n v="3"/>
    <s v="02-03-2026"/>
    <n v="11207"/>
    <s v="1104-01"/>
    <n v="0"/>
    <n v="30000"/>
    <s v="Centralización recaudaciones marzo 2026 #2895 - #2895"/>
    <n v="-30000"/>
    <s v="Activo"/>
    <n v="-30000"/>
    <x v="9"/>
  </r>
  <r>
    <n v="2026"/>
    <n v="3"/>
    <s v="02-03-2026"/>
    <n v="11209"/>
    <s v="1104-01"/>
    <n v="0"/>
    <n v="386906"/>
    <s v="Centralización recaudaciones marzo 2026 #2897 - #2897"/>
    <n v="-386906"/>
    <s v="Activo"/>
    <n v="-386906"/>
    <x v="9"/>
  </r>
  <r>
    <n v="2026"/>
    <n v="3"/>
    <s v="02-03-2026"/>
    <n v="11215"/>
    <s v="1104-01"/>
    <n v="0"/>
    <n v="40000"/>
    <s v="Centralización recaudaciones marzo 2026 #2903 - #2903"/>
    <n v="-40000"/>
    <s v="Activo"/>
    <n v="-40000"/>
    <x v="9"/>
  </r>
  <r>
    <n v="2026"/>
    <n v="3"/>
    <s v="02-03-2026"/>
    <n v="11216"/>
    <s v="1104-01"/>
    <n v="0"/>
    <n v="30000"/>
    <s v="Centralización recaudaciones marzo 2026 #2904 - #2904"/>
    <n v="-30000"/>
    <s v="Activo"/>
    <n v="-30000"/>
    <x v="9"/>
  </r>
  <r>
    <n v="2026"/>
    <n v="3"/>
    <s v="02-03-2026"/>
    <n v="11217"/>
    <s v="1104-01"/>
    <n v="0"/>
    <n v="30000"/>
    <s v="Centralización recaudaciones marzo 2026 #2905 - #2905"/>
    <n v="-30000"/>
    <s v="Activo"/>
    <n v="-30000"/>
    <x v="9"/>
  </r>
  <r>
    <n v="2026"/>
    <n v="3"/>
    <s v="02-03-2026"/>
    <n v="11218"/>
    <s v="1104-01"/>
    <n v="0"/>
    <n v="30000"/>
    <s v="Centralización recaudaciones marzo 2026 #2906 - #2906"/>
    <n v="-30000"/>
    <s v="Activo"/>
    <n v="-30000"/>
    <x v="9"/>
  </r>
  <r>
    <n v="2026"/>
    <n v="3"/>
    <s v="02-03-2026"/>
    <n v="11220"/>
    <s v="1104-01"/>
    <n v="0"/>
    <n v="35000"/>
    <s v="Centralización recaudaciones marzo 2026 #2908 - #2908"/>
    <n v="-35000"/>
    <s v="Activo"/>
    <n v="-35000"/>
    <x v="9"/>
  </r>
  <r>
    <n v="2026"/>
    <n v="3"/>
    <s v="02-03-2026"/>
    <n v="11223"/>
    <s v="1104-01"/>
    <n v="0"/>
    <n v="40000"/>
    <s v="Centralización recaudaciones marzo 2026 #2911 - #2911"/>
    <n v="-40000"/>
    <s v="Activo"/>
    <n v="-40000"/>
    <x v="9"/>
  </r>
  <r>
    <n v="2026"/>
    <n v="3"/>
    <s v="02-03-2026"/>
    <n v="11226"/>
    <s v="1104-01"/>
    <n v="0"/>
    <n v="30000"/>
    <s v="Centralización recaudaciones marzo 2026 #2914 - #2914"/>
    <n v="-30000"/>
    <s v="Activo"/>
    <n v="-30000"/>
    <x v="9"/>
  </r>
  <r>
    <n v="2026"/>
    <n v="3"/>
    <s v="02-03-2026"/>
    <n v="11227"/>
    <s v="1104-01"/>
    <n v="0"/>
    <n v="30000"/>
    <s v="Centralización recaudaciones marzo 2026 #2915 - #2915"/>
    <n v="-30000"/>
    <s v="Activo"/>
    <n v="-30000"/>
    <x v="9"/>
  </r>
  <r>
    <n v="2026"/>
    <n v="3"/>
    <s v="02-03-2026"/>
    <n v="11228"/>
    <s v="1104-01"/>
    <n v="0"/>
    <n v="30000"/>
    <s v="Centralización recaudaciones marzo 2026 #2916 - #2916"/>
    <n v="-30000"/>
    <s v="Activo"/>
    <n v="-30000"/>
    <x v="9"/>
  </r>
  <r>
    <n v="2026"/>
    <n v="3"/>
    <s v="02-03-2026"/>
    <n v="11229"/>
    <s v="1104-01"/>
    <n v="0"/>
    <n v="30000"/>
    <s v="Centralización recaudaciones marzo 2026 #2917 - #2917"/>
    <n v="-30000"/>
    <s v="Activo"/>
    <n v="-30000"/>
    <x v="9"/>
  </r>
  <r>
    <n v="2026"/>
    <n v="3"/>
    <s v="02-03-2026"/>
    <n v="11230"/>
    <s v="1104-01"/>
    <n v="0"/>
    <n v="30000"/>
    <s v="Centralización recaudaciones marzo 2026 #2918 - #2918"/>
    <n v="-30000"/>
    <s v="Activo"/>
    <n v="-30000"/>
    <x v="9"/>
  </r>
  <r>
    <n v="2026"/>
    <n v="3"/>
    <s v="02-03-2026"/>
    <n v="11232"/>
    <s v="1104-01"/>
    <n v="0"/>
    <n v="104000"/>
    <s v="Centralización recaudaciones marzo 2026 #2920 - #2920"/>
    <n v="-104000"/>
    <s v="Activo"/>
    <n v="-104000"/>
    <x v="9"/>
  </r>
  <r>
    <n v="2026"/>
    <n v="3"/>
    <s v="02-03-2026"/>
    <n v="11233"/>
    <s v="1104-01"/>
    <n v="0"/>
    <n v="30000"/>
    <s v="Centralización recaudaciones marzo 2026 #2921 - #2921"/>
    <n v="-30000"/>
    <s v="Activo"/>
    <n v="-30000"/>
    <x v="9"/>
  </r>
  <r>
    <n v="2026"/>
    <n v="3"/>
    <s v="02-03-2026"/>
    <n v="11234"/>
    <s v="1104-01"/>
    <n v="0"/>
    <n v="40000"/>
    <s v="Centralización recaudaciones marzo 2026 #2923 - #2923"/>
    <n v="-40000"/>
    <s v="Activo"/>
    <n v="-40000"/>
    <x v="9"/>
  </r>
  <r>
    <n v="2026"/>
    <n v="3"/>
    <s v="02-03-2026"/>
    <n v="11235"/>
    <s v="1104-01"/>
    <n v="0"/>
    <n v="30000"/>
    <s v="Centralización recaudaciones marzo 2026 #2924 - #2924"/>
    <n v="-30000"/>
    <s v="Activo"/>
    <n v="-30000"/>
    <x v="9"/>
  </r>
  <r>
    <n v="2026"/>
    <n v="3"/>
    <s v="02-03-2026"/>
    <n v="11238"/>
    <s v="1104-01"/>
    <n v="0"/>
    <n v="30000"/>
    <s v="Centralización recaudaciones marzo 2026 #2927 - #2927"/>
    <n v="-30000"/>
    <s v="Activo"/>
    <n v="-30000"/>
    <x v="9"/>
  </r>
  <r>
    <n v="2026"/>
    <n v="3"/>
    <s v="02-03-2026"/>
    <n v="11240"/>
    <s v="1104-01"/>
    <n v="0"/>
    <n v="101990"/>
    <s v="Centralización recaudaciones marzo 2026 #2929 - #2929"/>
    <n v="-101990"/>
    <s v="Activo"/>
    <n v="-101990"/>
    <x v="9"/>
  </r>
  <r>
    <n v="2026"/>
    <n v="3"/>
    <s v="02-03-2026"/>
    <n v="11241"/>
    <s v="1104-01"/>
    <n v="0"/>
    <n v="19990"/>
    <s v="Centralización recaudaciones marzo 2026 #2930 - #2930"/>
    <n v="-19990"/>
    <s v="Activo"/>
    <n v="-19990"/>
    <x v="9"/>
  </r>
  <r>
    <n v="2026"/>
    <n v="3"/>
    <s v="02-03-2026"/>
    <n v="11243"/>
    <s v="1104-01"/>
    <n v="0"/>
    <n v="28990"/>
    <s v="Centralización recaudaciones marzo 2026 #2933 - #2933"/>
    <n v="-28990"/>
    <s v="Activo"/>
    <n v="-28990"/>
    <x v="9"/>
  </r>
  <r>
    <n v="2026"/>
    <n v="3"/>
    <s v="02-03-2026"/>
    <n v="11245"/>
    <s v="1104-01"/>
    <n v="0"/>
    <n v="34990"/>
    <s v="Centralización recaudaciones marzo 2026 #2935 - #2935"/>
    <n v="-34990"/>
    <s v="Activo"/>
    <n v="-34990"/>
    <x v="9"/>
  </r>
  <r>
    <n v="2026"/>
    <n v="3"/>
    <s v="02-03-2026"/>
    <n v="11251"/>
    <s v="1104-01"/>
    <n v="0"/>
    <n v="34990"/>
    <s v="Centralización recaudaciones marzo 2026 #2941 - #2941"/>
    <n v="-34990"/>
    <s v="Activo"/>
    <n v="-34990"/>
    <x v="9"/>
  </r>
  <r>
    <n v="2026"/>
    <n v="3"/>
    <s v="02-03-2026"/>
    <n v="11254"/>
    <s v="1104-01"/>
    <n v="0"/>
    <n v="58000"/>
    <s v="Centralización recaudaciones marzo 2026 #2944 - #2944"/>
    <n v="-58000"/>
    <s v="Activo"/>
    <n v="-58000"/>
    <x v="9"/>
  </r>
  <r>
    <n v="2026"/>
    <n v="3"/>
    <s v="02-03-2026"/>
    <n v="11256"/>
    <s v="1104-01"/>
    <n v="0"/>
    <n v="30000"/>
    <s v="Centralización recaudaciones marzo 2026 #2946 - #2946"/>
    <n v="-30000"/>
    <s v="Activo"/>
    <n v="-30000"/>
    <x v="9"/>
  </r>
  <r>
    <n v="2026"/>
    <n v="3"/>
    <s v="02-03-2026"/>
    <n v="11257"/>
    <s v="1104-01"/>
    <n v="0"/>
    <n v="296114"/>
    <s v="Centralización recaudaciones marzo 2026 #2947 - #2947"/>
    <n v="-296114"/>
    <s v="Activo"/>
    <n v="-296114"/>
    <x v="9"/>
  </r>
  <r>
    <n v="2026"/>
    <n v="3"/>
    <s v="02-03-2026"/>
    <n v="11258"/>
    <s v="1104-01"/>
    <n v="0"/>
    <n v="30000"/>
    <s v="Centralización recaudaciones marzo 2026 #2948 - #2948"/>
    <n v="-30000"/>
    <s v="Activo"/>
    <n v="-30000"/>
    <x v="9"/>
  </r>
  <r>
    <n v="2026"/>
    <n v="3"/>
    <s v="02-03-2026"/>
    <n v="11262"/>
    <s v="1104-01"/>
    <n v="0"/>
    <n v="30000"/>
    <s v="Centralización recaudaciones marzo 2026 #2952 - #2952"/>
    <n v="-30000"/>
    <s v="Activo"/>
    <n v="-30000"/>
    <x v="9"/>
  </r>
  <r>
    <n v="2026"/>
    <n v="3"/>
    <s v="02-03-2026"/>
    <n v="11267"/>
    <s v="1104-01"/>
    <n v="0"/>
    <n v="30000"/>
    <s v="Centralización recaudaciones marzo 2026 #2957 - #2957"/>
    <n v="-30000"/>
    <s v="Activo"/>
    <n v="-30000"/>
    <x v="9"/>
  </r>
  <r>
    <n v="2026"/>
    <n v="3"/>
    <s v="02-03-2026"/>
    <n v="11268"/>
    <s v="1104-01"/>
    <n v="0"/>
    <n v="30000"/>
    <s v="Centralización recaudaciones marzo 2026 #2958 - #2958"/>
    <n v="-30000"/>
    <s v="Activo"/>
    <n v="-30000"/>
    <x v="9"/>
  </r>
  <r>
    <n v="2026"/>
    <n v="3"/>
    <s v="02-03-2026"/>
    <n v="11270"/>
    <s v="1104-01"/>
    <n v="0"/>
    <n v="34000"/>
    <s v="Centralización recaudaciones marzo 2026 #2960 - #2960"/>
    <n v="-34000"/>
    <s v="Activo"/>
    <n v="-34000"/>
    <x v="9"/>
  </r>
  <r>
    <n v="2026"/>
    <n v="3"/>
    <s v="02-03-2026"/>
    <n v="11272"/>
    <s v="1104-01"/>
    <n v="0"/>
    <n v="40000"/>
    <s v="Centralización recaudaciones marzo 2026 #2962 - #2962"/>
    <n v="-40000"/>
    <s v="Activo"/>
    <n v="-40000"/>
    <x v="9"/>
  </r>
  <r>
    <n v="2026"/>
    <n v="3"/>
    <s v="02-03-2026"/>
    <n v="11275"/>
    <s v="1104-01"/>
    <n v="0"/>
    <n v="33990"/>
    <s v="Centralización recaudaciones marzo 2026 #2965 - #2965"/>
    <n v="-33990"/>
    <s v="Activo"/>
    <n v="-33990"/>
    <x v="9"/>
  </r>
  <r>
    <n v="2026"/>
    <n v="3"/>
    <s v="02-03-2026"/>
    <n v="11278"/>
    <s v="1104-01"/>
    <n v="0"/>
    <n v="30000"/>
    <s v="Centralización recaudaciones marzo 2026 #2968 - #2968"/>
    <n v="-30000"/>
    <s v="Activo"/>
    <n v="-30000"/>
    <x v="9"/>
  </r>
  <r>
    <n v="2026"/>
    <n v="3"/>
    <s v="02-03-2026"/>
    <n v="11281"/>
    <s v="1104-01"/>
    <n v="0"/>
    <n v="60000"/>
    <s v="Centralización recaudaciones marzo 2026 #2971 - #2971"/>
    <n v="-60000"/>
    <s v="Activo"/>
    <n v="-60000"/>
    <x v="9"/>
  </r>
  <r>
    <n v="2026"/>
    <n v="3"/>
    <s v="02-03-2026"/>
    <n v="11282"/>
    <s v="1104-01"/>
    <n v="0"/>
    <n v="30000"/>
    <s v="Centralización recaudaciones marzo 2026 #2972 - #2972"/>
    <n v="-30000"/>
    <s v="Activo"/>
    <n v="-30000"/>
    <x v="9"/>
  </r>
  <r>
    <n v="2026"/>
    <n v="3"/>
    <s v="02-03-2026"/>
    <n v="11283"/>
    <s v="1104-01"/>
    <n v="0"/>
    <n v="30000"/>
    <s v="Centralización recaudaciones marzo 2026 #2973 - #2973"/>
    <n v="-30000"/>
    <s v="Activo"/>
    <n v="-30000"/>
    <x v="9"/>
  </r>
  <r>
    <n v="2026"/>
    <n v="3"/>
    <s v="02-03-2026"/>
    <n v="11285"/>
    <s v="1104-01"/>
    <n v="0"/>
    <n v="40000"/>
    <s v="Centralización recaudaciones marzo 2026 #2975 - #2975"/>
    <n v="-40000"/>
    <s v="Activo"/>
    <n v="-40000"/>
    <x v="9"/>
  </r>
  <r>
    <n v="2026"/>
    <n v="3"/>
    <s v="02-03-2026"/>
    <n v="11289"/>
    <s v="1104-01"/>
    <n v="0"/>
    <n v="30000"/>
    <s v="Centralización recaudaciones marzo 2026 #2979 - #2979"/>
    <n v="-30000"/>
    <s v="Activo"/>
    <n v="-30000"/>
    <x v="9"/>
  </r>
  <r>
    <n v="2026"/>
    <n v="3"/>
    <s v="02-03-2026"/>
    <n v="11294"/>
    <s v="1104-01"/>
    <n v="0"/>
    <n v="20990"/>
    <s v="Centralización recaudaciones marzo 2026 #2984 - #2984"/>
    <n v="-20990"/>
    <s v="Activo"/>
    <n v="-20990"/>
    <x v="9"/>
  </r>
  <r>
    <n v="2026"/>
    <n v="3"/>
    <s v="02-03-2026"/>
    <n v="11312"/>
    <s v="1104-01"/>
    <n v="0"/>
    <n v="43980"/>
    <s v="Centralización recaudaciones marzo 2026 #3002 - #3002"/>
    <n v="-43980"/>
    <s v="Activo"/>
    <n v="-43980"/>
    <x v="9"/>
  </r>
  <r>
    <n v="2026"/>
    <n v="3"/>
    <s v="02-03-2026"/>
    <n v="11317"/>
    <s v="1104-01"/>
    <n v="0"/>
    <n v="30000"/>
    <s v="Centralización recaudaciones marzo 2026 #3007 - #3007"/>
    <n v="-30000"/>
    <s v="Activo"/>
    <n v="-30000"/>
    <x v="9"/>
  </r>
  <r>
    <n v="2026"/>
    <n v="3"/>
    <s v="02-03-2026"/>
    <n v="11320"/>
    <s v="1104-01"/>
    <n v="0"/>
    <n v="60000"/>
    <s v="Centralización recaudaciones marzo 2026 #3010 - #3010"/>
    <n v="-60000"/>
    <s v="Activo"/>
    <n v="-60000"/>
    <x v="9"/>
  </r>
  <r>
    <n v="2026"/>
    <n v="3"/>
    <s v="02-03-2026"/>
    <n v="11321"/>
    <s v="1104-01"/>
    <n v="0"/>
    <n v="23990"/>
    <s v="Centralización recaudaciones marzo 2026 #3011 - #3011"/>
    <n v="-23990"/>
    <s v="Activo"/>
    <n v="-23990"/>
    <x v="9"/>
  </r>
  <r>
    <n v="2026"/>
    <n v="3"/>
    <s v="02-03-2026"/>
    <n v="11324"/>
    <s v="1104-01"/>
    <n v="0"/>
    <n v="30000"/>
    <s v="Centralización recaudaciones marzo 2026 #3014 - #3014"/>
    <n v="-30000"/>
    <s v="Activo"/>
    <n v="-30000"/>
    <x v="9"/>
  </r>
  <r>
    <n v="2026"/>
    <n v="3"/>
    <s v="02-03-2026"/>
    <n v="11326"/>
    <s v="1104-01"/>
    <n v="0"/>
    <n v="30000"/>
    <s v="Centralización recaudaciones marzo 2026 #3016 - #3016"/>
    <n v="-30000"/>
    <s v="Activo"/>
    <n v="-30000"/>
    <x v="9"/>
  </r>
  <r>
    <n v="2026"/>
    <n v="3"/>
    <s v="02-03-2026"/>
    <n v="11327"/>
    <s v="1104-01"/>
    <n v="0"/>
    <n v="30000"/>
    <s v="Centralización recaudaciones marzo 2026 #3017 - #3017"/>
    <n v="-30000"/>
    <s v="Activo"/>
    <n v="-30000"/>
    <x v="9"/>
  </r>
  <r>
    <n v="2026"/>
    <n v="3"/>
    <s v="02-03-2026"/>
    <n v="11329"/>
    <s v="1104-01"/>
    <n v="0"/>
    <n v="90000"/>
    <s v="Centralización recaudaciones marzo 2026 #3019 - #3019"/>
    <n v="-90000"/>
    <s v="Activo"/>
    <n v="-90000"/>
    <x v="9"/>
  </r>
  <r>
    <n v="2026"/>
    <n v="3"/>
    <s v="02-03-2026"/>
    <n v="11336"/>
    <s v="1104-01"/>
    <n v="0"/>
    <n v="30000"/>
    <s v="Centralización recaudaciones marzo 2026 #3026 - #3026"/>
    <n v="-30000"/>
    <s v="Activo"/>
    <n v="-30000"/>
    <x v="9"/>
  </r>
  <r>
    <n v="2026"/>
    <n v="3"/>
    <s v="02-03-2026"/>
    <n v="11338"/>
    <s v="1104-01"/>
    <n v="0"/>
    <n v="33990"/>
    <s v="Centralización recaudaciones marzo 2026 #3028 - #3028"/>
    <n v="-33990"/>
    <s v="Activo"/>
    <n v="-33990"/>
    <x v="9"/>
  </r>
  <r>
    <n v="2026"/>
    <n v="3"/>
    <s v="02-03-2026"/>
    <n v="11344"/>
    <s v="1104-01"/>
    <n v="0"/>
    <n v="30000"/>
    <s v="Centralización recaudaciones marzo 2026 #3034 - #3034"/>
    <n v="-30000"/>
    <s v="Activo"/>
    <n v="-30000"/>
    <x v="9"/>
  </r>
  <r>
    <n v="2026"/>
    <n v="3"/>
    <s v="02-03-2026"/>
    <n v="11348"/>
    <s v="1104-01"/>
    <n v="0"/>
    <n v="30000"/>
    <s v="Centralización recaudaciones marzo 2026 #3038 - #3038"/>
    <n v="-30000"/>
    <s v="Activo"/>
    <n v="-30000"/>
    <x v="9"/>
  </r>
  <r>
    <n v="2026"/>
    <n v="3"/>
    <s v="02-03-2026"/>
    <n v="11355"/>
    <s v="1104-01"/>
    <n v="0"/>
    <n v="80000"/>
    <s v="Centralización recaudaciones marzo 2026 #3045 - #3045"/>
    <n v="-80000"/>
    <s v="Activo"/>
    <n v="-80000"/>
    <x v="9"/>
  </r>
  <r>
    <n v="2026"/>
    <n v="3"/>
    <s v="02-03-2026"/>
    <n v="11356"/>
    <s v="1104-01"/>
    <n v="0"/>
    <n v="271337"/>
    <s v="Centralización recaudaciones marzo 2026 #3046 - #3046"/>
    <n v="-271337"/>
    <s v="Activo"/>
    <n v="-271337"/>
    <x v="9"/>
  </r>
  <r>
    <n v="2026"/>
    <n v="3"/>
    <s v="02-03-2026"/>
    <n v="11360"/>
    <s v="1104-01"/>
    <n v="0"/>
    <n v="47960"/>
    <s v="Centralización recaudaciones marzo 2026 #3050 - #3050"/>
    <n v="-47960"/>
    <s v="Activo"/>
    <n v="-47960"/>
    <x v="9"/>
  </r>
  <r>
    <n v="2026"/>
    <n v="3"/>
    <s v="02-03-2026"/>
    <n v="11364"/>
    <s v="1104-01"/>
    <n v="0"/>
    <n v="38000"/>
    <s v="Centralización recaudaciones marzo 2026 #3054 - #3054"/>
    <n v="-38000"/>
    <s v="Activo"/>
    <n v="-38000"/>
    <x v="9"/>
  </r>
  <r>
    <n v="2026"/>
    <n v="3"/>
    <s v="02-03-2026"/>
    <n v="11366"/>
    <s v="1104-01"/>
    <n v="0"/>
    <n v="63999"/>
    <s v="Centralización recaudaciones marzo 2026 #3056 - #3056"/>
    <n v="-63999"/>
    <s v="Activo"/>
    <n v="-63999"/>
    <x v="9"/>
  </r>
  <r>
    <n v="2026"/>
    <n v="3"/>
    <s v="02-03-2026"/>
    <n v="11367"/>
    <s v="1104-01"/>
    <n v="0"/>
    <n v="30000"/>
    <s v="Centralización recaudaciones marzo 2026 #3057 - #3057"/>
    <n v="-30000"/>
    <s v="Activo"/>
    <n v="-30000"/>
    <x v="9"/>
  </r>
  <r>
    <n v="2026"/>
    <n v="3"/>
    <s v="02-03-2026"/>
    <n v="11368"/>
    <s v="1104-01"/>
    <n v="0"/>
    <n v="30000"/>
    <s v="Centralización recaudaciones marzo 2026 #3058 - #3058"/>
    <n v="-30000"/>
    <s v="Activo"/>
    <n v="-30000"/>
    <x v="9"/>
  </r>
  <r>
    <n v="2026"/>
    <n v="3"/>
    <s v="02-03-2026"/>
    <n v="11369"/>
    <s v="1104-01"/>
    <n v="0"/>
    <n v="29980"/>
    <s v="Centralización recaudaciones marzo 2026 #3059 - #3059"/>
    <n v="-29980"/>
    <s v="Activo"/>
    <n v="-29980"/>
    <x v="9"/>
  </r>
  <r>
    <n v="2026"/>
    <n v="3"/>
    <s v="02-03-2026"/>
    <n v="11370"/>
    <s v="1104-01"/>
    <n v="0"/>
    <n v="50000"/>
    <s v="Centralización recaudaciones marzo 2026 #3060 - #3060"/>
    <n v="-50000"/>
    <s v="Activo"/>
    <n v="-50000"/>
    <x v="9"/>
  </r>
  <r>
    <n v="2026"/>
    <n v="3"/>
    <s v="02-03-2026"/>
    <n v="11372"/>
    <s v="1104-01"/>
    <n v="0"/>
    <n v="33990"/>
    <s v="Centralización recaudaciones marzo 2026 #3062 - #3062"/>
    <n v="-33990"/>
    <s v="Activo"/>
    <n v="-33990"/>
    <x v="9"/>
  </r>
  <r>
    <n v="2026"/>
    <n v="3"/>
    <s v="02-03-2026"/>
    <n v="11379"/>
    <s v="1104-01"/>
    <n v="0"/>
    <n v="30000"/>
    <s v="Centralización recaudaciones marzo 2026 #3069 - #3069"/>
    <n v="-30000"/>
    <s v="Activo"/>
    <n v="-30000"/>
    <x v="9"/>
  </r>
  <r>
    <n v="2026"/>
    <n v="3"/>
    <s v="02-03-2026"/>
    <n v="11380"/>
    <s v="1104-01"/>
    <n v="0"/>
    <n v="30000"/>
    <s v="Centralización recaudaciones marzo 2026 #3070 - #3070"/>
    <n v="-30000"/>
    <s v="Activo"/>
    <n v="-30000"/>
    <x v="9"/>
  </r>
  <r>
    <n v="2026"/>
    <n v="3"/>
    <s v="02-03-2026"/>
    <n v="11381"/>
    <s v="1104-01"/>
    <n v="0"/>
    <n v="120000"/>
    <s v="Centralización recaudaciones marzo 2026 #3071 - #3071"/>
    <n v="-120000"/>
    <s v="Activo"/>
    <n v="-120000"/>
    <x v="9"/>
  </r>
  <r>
    <n v="2026"/>
    <n v="3"/>
    <s v="02-03-2026"/>
    <n v="11386"/>
    <s v="1104-01"/>
    <n v="0"/>
    <n v="30000"/>
    <s v="Centralización recaudaciones marzo 2026 #3076 - #3076"/>
    <n v="-30000"/>
    <s v="Activo"/>
    <n v="-30000"/>
    <x v="9"/>
  </r>
  <r>
    <n v="2026"/>
    <n v="3"/>
    <s v="02-03-2026"/>
    <n v="11390"/>
    <s v="1104-01"/>
    <n v="0"/>
    <n v="30000"/>
    <s v="Centralización recaudaciones marzo 2026 #3080 - #3080"/>
    <n v="-30000"/>
    <s v="Activo"/>
    <n v="-30000"/>
    <x v="9"/>
  </r>
  <r>
    <n v="2026"/>
    <n v="3"/>
    <s v="02-03-2026"/>
    <n v="11391"/>
    <s v="1104-01"/>
    <n v="0"/>
    <n v="36990"/>
    <s v="Centralización recaudaciones marzo 2026 #3081 - #3081"/>
    <n v="-36990"/>
    <s v="Activo"/>
    <n v="-36990"/>
    <x v="9"/>
  </r>
  <r>
    <n v="2026"/>
    <n v="3"/>
    <s v="02-03-2026"/>
    <n v="11398"/>
    <s v="1104-01"/>
    <n v="0"/>
    <n v="61979"/>
    <s v="Centralización recaudaciones marzo 2026 #3088 - #3088"/>
    <n v="-61979"/>
    <s v="Activo"/>
    <n v="-61979"/>
    <x v="9"/>
  </r>
  <r>
    <n v="2026"/>
    <n v="3"/>
    <s v="02-03-2026"/>
    <n v="11400"/>
    <s v="1104-01"/>
    <n v="0"/>
    <n v="34990"/>
    <s v="Centralización recaudaciones marzo 2026 #3090 - #3090"/>
    <n v="-34990"/>
    <s v="Activo"/>
    <n v="-34990"/>
    <x v="9"/>
  </r>
  <r>
    <n v="2026"/>
    <n v="3"/>
    <s v="02-03-2026"/>
    <n v="11401"/>
    <s v="1104-01"/>
    <n v="0"/>
    <n v="36990"/>
    <s v="Centralización recaudaciones marzo 2026 #3091 - #3091"/>
    <n v="-36990"/>
    <s v="Activo"/>
    <n v="-36990"/>
    <x v="9"/>
  </r>
  <r>
    <n v="2026"/>
    <n v="3"/>
    <s v="02-03-2026"/>
    <n v="11409"/>
    <s v="1104-01"/>
    <n v="0"/>
    <n v="36990"/>
    <s v="Centralización recaudaciones marzo 2026 #3099 - #3099"/>
    <n v="-36990"/>
    <s v="Activo"/>
    <n v="-36990"/>
    <x v="9"/>
  </r>
  <r>
    <n v="2026"/>
    <n v="3"/>
    <s v="02-03-2026"/>
    <n v="11413"/>
    <s v="1104-01"/>
    <n v="0"/>
    <n v="21990"/>
    <s v="Centralización recaudaciones marzo 2026 #3103 - #3103"/>
    <n v="-21990"/>
    <s v="Activo"/>
    <n v="-21990"/>
    <x v="9"/>
  </r>
  <r>
    <n v="2026"/>
    <n v="3"/>
    <s v="02-03-2026"/>
    <n v="11423"/>
    <s v="1104-01"/>
    <n v="0"/>
    <n v="25990"/>
    <s v="Centralización recaudaciones marzo 2026 #3113 - #3113"/>
    <n v="-25990"/>
    <s v="Activo"/>
    <n v="-25990"/>
    <x v="9"/>
  </r>
  <r>
    <n v="2026"/>
    <n v="3"/>
    <s v="02-03-2026"/>
    <n v="11424"/>
    <s v="1104-01"/>
    <n v="0"/>
    <n v="38990"/>
    <s v="Centralización recaudaciones marzo 2026 #3114 - #3114"/>
    <n v="-38990"/>
    <s v="Activo"/>
    <n v="-38990"/>
    <x v="9"/>
  </r>
  <r>
    <n v="2026"/>
    <n v="3"/>
    <s v="02-03-2026"/>
    <n v="11425"/>
    <s v="1104-01"/>
    <n v="0"/>
    <n v="40000"/>
    <s v="Centralización recaudaciones marzo 2026 #3115 - #3115"/>
    <n v="-40000"/>
    <s v="Activo"/>
    <n v="-40000"/>
    <x v="9"/>
  </r>
  <r>
    <n v="2026"/>
    <n v="3"/>
    <s v="02-03-2026"/>
    <n v="11434"/>
    <s v="1104-01"/>
    <n v="0"/>
    <n v="43980"/>
    <s v="Centralización recaudaciones marzo 2026 #3124 - #3124"/>
    <n v="-43980"/>
    <s v="Activo"/>
    <n v="-43980"/>
    <x v="9"/>
  </r>
  <r>
    <n v="2026"/>
    <n v="3"/>
    <s v="02-03-2026"/>
    <n v="11436"/>
    <s v="1104-01"/>
    <n v="0"/>
    <n v="14990"/>
    <s v="Centralización recaudaciones marzo 2026 #3126 - #3126"/>
    <n v="-14990"/>
    <s v="Activo"/>
    <n v="-14990"/>
    <x v="9"/>
  </r>
  <r>
    <n v="2026"/>
    <n v="3"/>
    <s v="02-03-2026"/>
    <n v="11444"/>
    <s v="1104-01"/>
    <n v="0"/>
    <n v="22990"/>
    <s v="Centralización recaudaciones marzo 2026 #3134 - #3134"/>
    <n v="-22990"/>
    <s v="Activo"/>
    <n v="-22990"/>
    <x v="9"/>
  </r>
  <r>
    <n v="2026"/>
    <n v="3"/>
    <s v="02-03-2026"/>
    <n v="11446"/>
    <s v="1104-01"/>
    <n v="0"/>
    <n v="141879"/>
    <s v="Centralización recaudaciones marzo 2026 #3136 - #3136"/>
    <n v="-141879"/>
    <s v="Activo"/>
    <n v="-141879"/>
    <x v="9"/>
  </r>
  <r>
    <n v="2026"/>
    <n v="3"/>
    <s v="02-03-2026"/>
    <n v="11449"/>
    <s v="1104-01"/>
    <n v="0"/>
    <n v="19990"/>
    <s v="Centralización recaudaciones marzo 2026 #3139 - #3139"/>
    <n v="-19990"/>
    <s v="Activo"/>
    <n v="-19990"/>
    <x v="9"/>
  </r>
  <r>
    <n v="2026"/>
    <n v="3"/>
    <s v="02-03-2026"/>
    <n v="11455"/>
    <s v="1104-01"/>
    <n v="0"/>
    <n v="19990"/>
    <s v="Centralización recaudaciones marzo 2026 #3145 - #3145"/>
    <n v="-19990"/>
    <s v="Activo"/>
    <n v="-19990"/>
    <x v="9"/>
  </r>
  <r>
    <n v="2026"/>
    <n v="3"/>
    <s v="02-03-2026"/>
    <n v="11471"/>
    <s v="1104-01"/>
    <n v="0"/>
    <n v="31990"/>
    <s v="Centralización recaudaciones marzo 2026 #3161 - #3161"/>
    <n v="-31990"/>
    <s v="Activo"/>
    <n v="-31990"/>
    <x v="9"/>
  </r>
  <r>
    <n v="2026"/>
    <n v="3"/>
    <s v="02-03-2026"/>
    <n v="11473"/>
    <s v="1104-01"/>
    <n v="0"/>
    <n v="29990"/>
    <s v="Centralización recaudaciones marzo 2026 #3163 - #3163"/>
    <n v="-29990"/>
    <s v="Activo"/>
    <n v="-29990"/>
    <x v="9"/>
  </r>
  <r>
    <n v="2026"/>
    <n v="3"/>
    <s v="02-03-2026"/>
    <n v="11479"/>
    <s v="1104-01"/>
    <n v="0"/>
    <n v="14990"/>
    <s v="Centralización recaudaciones marzo 2026 #3169 - #3169"/>
    <n v="-14990"/>
    <s v="Activo"/>
    <n v="-14990"/>
    <x v="9"/>
  </r>
  <r>
    <n v="2026"/>
    <n v="3"/>
    <s v="02-03-2026"/>
    <n v="11485"/>
    <s v="1104-01"/>
    <n v="0"/>
    <n v="52990"/>
    <s v="Centralización recaudaciones marzo 2026 #3175 - #3175"/>
    <n v="-52990"/>
    <s v="Activo"/>
    <n v="-52990"/>
    <x v="9"/>
  </r>
  <r>
    <n v="2026"/>
    <n v="3"/>
    <s v="02-03-2026"/>
    <n v="11494"/>
    <s v="1104-01"/>
    <n v="0"/>
    <n v="34990"/>
    <s v="Centralización recaudaciones marzo 2026 #3184 - #3184"/>
    <n v="-34990"/>
    <s v="Activo"/>
    <n v="-34990"/>
    <x v="9"/>
  </r>
  <r>
    <n v="2026"/>
    <n v="3"/>
    <s v="02-03-2026"/>
    <n v="11498"/>
    <s v="1104-01"/>
    <n v="0"/>
    <n v="34160"/>
    <s v="Centralización recaudaciones marzo 2026 #3188 - #3188"/>
    <n v="-34160"/>
    <s v="Activo"/>
    <n v="-34160"/>
    <x v="9"/>
  </r>
  <r>
    <n v="2026"/>
    <n v="3"/>
    <s v="02-03-2026"/>
    <n v="11508"/>
    <s v="1104-01"/>
    <n v="0"/>
    <n v="30000"/>
    <s v="Centralización recaudaciones marzo 2026 #3198 - #3198"/>
    <n v="-30000"/>
    <s v="Activo"/>
    <n v="-30000"/>
    <x v="9"/>
  </r>
  <r>
    <n v="2026"/>
    <n v="3"/>
    <s v="02-03-2026"/>
    <n v="11510"/>
    <s v="1104-01"/>
    <n v="0"/>
    <n v="60000"/>
    <s v="Centralización recaudaciones marzo 2026 #3200 - #3200"/>
    <n v="-60000"/>
    <s v="Activo"/>
    <n v="-60000"/>
    <x v="9"/>
  </r>
  <r>
    <n v="2026"/>
    <n v="3"/>
    <s v="02-03-2026"/>
    <n v="11520"/>
    <s v="1104-01"/>
    <n v="0"/>
    <n v="14990"/>
    <s v="Centralización recaudaciones marzo 2026 #3210 - #3210"/>
    <n v="-14990"/>
    <s v="Activo"/>
    <n v="-14990"/>
    <x v="9"/>
  </r>
  <r>
    <n v="2026"/>
    <n v="3"/>
    <s v="02-03-2026"/>
    <n v="11528"/>
    <s v="1104-01"/>
    <n v="0"/>
    <n v="22990"/>
    <s v="Centralización recaudaciones marzo 2026 #3218 - #3218"/>
    <n v="-22990"/>
    <s v="Activo"/>
    <n v="-22990"/>
    <x v="9"/>
  </r>
  <r>
    <n v="2026"/>
    <n v="3"/>
    <s v="02-03-2026"/>
    <n v="11533"/>
    <s v="1104-01"/>
    <n v="0"/>
    <n v="32990"/>
    <s v="Centralización recaudaciones marzo 2026 #3223 - #3223"/>
    <n v="-32990"/>
    <s v="Activo"/>
    <n v="-32990"/>
    <x v="9"/>
  </r>
  <r>
    <n v="2026"/>
    <n v="3"/>
    <s v="02-03-2026"/>
    <n v="11535"/>
    <s v="1104-01"/>
    <n v="0"/>
    <n v="14990"/>
    <s v="Centralización recaudaciones marzo 2026 #3225 - #3225"/>
    <n v="-14990"/>
    <s v="Activo"/>
    <n v="-14990"/>
    <x v="9"/>
  </r>
  <r>
    <n v="2026"/>
    <n v="3"/>
    <s v="02-03-2026"/>
    <n v="11548"/>
    <s v="1104-01"/>
    <n v="0"/>
    <n v="17990"/>
    <s v="Centralización recaudaciones marzo 2026 #3238 - #3238"/>
    <n v="-17990"/>
    <s v="Activo"/>
    <n v="-17990"/>
    <x v="9"/>
  </r>
  <r>
    <n v="2026"/>
    <n v="3"/>
    <s v="02-03-2026"/>
    <n v="11556"/>
    <s v="1104-01"/>
    <n v="0"/>
    <n v="14990"/>
    <s v="Centralización recaudaciones marzo 2026 #3246 - #3246"/>
    <n v="-14990"/>
    <s v="Activo"/>
    <n v="-14990"/>
    <x v="9"/>
  </r>
  <r>
    <n v="2026"/>
    <n v="3"/>
    <s v="02-03-2026"/>
    <n v="11560"/>
    <s v="1104-01"/>
    <n v="0"/>
    <n v="24990"/>
    <s v="Centralización recaudaciones marzo 2026 #3250 - #3250"/>
    <n v="-24990"/>
    <s v="Activo"/>
    <n v="-24990"/>
    <x v="9"/>
  </r>
  <r>
    <n v="2026"/>
    <n v="3"/>
    <s v="02-03-2026"/>
    <n v="11567"/>
    <s v="1104-01"/>
    <n v="0"/>
    <n v="51990"/>
    <s v="Centralización recaudaciones marzo 2026 #3257 - #3257"/>
    <n v="-51990"/>
    <s v="Activo"/>
    <n v="-51990"/>
    <x v="9"/>
  </r>
  <r>
    <n v="2026"/>
    <n v="3"/>
    <s v="02-03-2026"/>
    <n v="11569"/>
    <s v="1104-01"/>
    <n v="0"/>
    <n v="21990"/>
    <s v="Centralización recaudaciones marzo 2026 #3259 - #3259"/>
    <n v="-21990"/>
    <s v="Activo"/>
    <n v="-21990"/>
    <x v="9"/>
  </r>
  <r>
    <n v="2026"/>
    <n v="3"/>
    <s v="02-03-2026"/>
    <n v="11570"/>
    <s v="1104-01"/>
    <n v="0"/>
    <n v="48970"/>
    <s v="Centralización recaudaciones marzo 2026 #3260 - #3260"/>
    <n v="-48970"/>
    <s v="Activo"/>
    <n v="-48970"/>
    <x v="9"/>
  </r>
  <r>
    <n v="2026"/>
    <n v="3"/>
    <s v="02-03-2026"/>
    <n v="11575"/>
    <s v="1104-01"/>
    <n v="0"/>
    <n v="46990"/>
    <s v="Centralización recaudaciones marzo 2026 #3265 - #3265"/>
    <n v="-46990"/>
    <s v="Activo"/>
    <n v="-46990"/>
    <x v="9"/>
  </r>
  <r>
    <n v="2026"/>
    <n v="3"/>
    <s v="02-03-2026"/>
    <n v="11578"/>
    <s v="1104-01"/>
    <n v="0"/>
    <n v="36990"/>
    <s v="Centralización recaudaciones marzo 2026 #3268 - #3268"/>
    <n v="-36990"/>
    <s v="Activo"/>
    <n v="-36990"/>
    <x v="9"/>
  </r>
  <r>
    <n v="2026"/>
    <n v="3"/>
    <s v="02-03-2026"/>
    <n v="11588"/>
    <s v="1104-01"/>
    <n v="0"/>
    <n v="34990"/>
    <s v="Centralización recaudaciones marzo 2026 #3278 - #3278"/>
    <n v="-34990"/>
    <s v="Activo"/>
    <n v="-34990"/>
    <x v="9"/>
  </r>
  <r>
    <n v="2026"/>
    <n v="3"/>
    <s v="02-03-2026"/>
    <n v="11592"/>
    <s v="1104-01"/>
    <n v="0"/>
    <n v="19990"/>
    <s v="Centralización recaudaciones marzo 2026 #3282 - #3282"/>
    <n v="-19990"/>
    <s v="Activo"/>
    <n v="-19990"/>
    <x v="9"/>
  </r>
  <r>
    <n v="2026"/>
    <n v="3"/>
    <s v="02-03-2026"/>
    <n v="11594"/>
    <s v="1104-01"/>
    <n v="0"/>
    <n v="54990"/>
    <s v="Centralización recaudaciones marzo 2026 #3284 - #3284"/>
    <n v="-54990"/>
    <s v="Activo"/>
    <n v="-54990"/>
    <x v="9"/>
  </r>
  <r>
    <n v="2026"/>
    <n v="3"/>
    <s v="02-03-2026"/>
    <n v="11599"/>
    <s v="1104-01"/>
    <n v="0"/>
    <n v="33980"/>
    <s v="Centralización recaudaciones marzo 2026 #3289 - #3289"/>
    <n v="-33980"/>
    <s v="Activo"/>
    <n v="-33980"/>
    <x v="9"/>
  </r>
  <r>
    <n v="2026"/>
    <n v="3"/>
    <s v="02-03-2026"/>
    <n v="11600"/>
    <s v="1104-01"/>
    <n v="0"/>
    <n v="28990"/>
    <s v="Centralización recaudaciones marzo 2026 #3290 - #3290"/>
    <n v="-28990"/>
    <s v="Activo"/>
    <n v="-28990"/>
    <x v="9"/>
  </r>
  <r>
    <n v="2026"/>
    <n v="3"/>
    <s v="02-03-2026"/>
    <n v="11605"/>
    <s v="1104-01"/>
    <n v="0"/>
    <n v="29990"/>
    <s v="Centralización recaudaciones marzo 2026 #3295 - #3295"/>
    <n v="-29990"/>
    <s v="Activo"/>
    <n v="-29990"/>
    <x v="9"/>
  </r>
  <r>
    <n v="2026"/>
    <n v="3"/>
    <s v="02-03-2026"/>
    <n v="11609"/>
    <s v="1104-01"/>
    <n v="0"/>
    <n v="60000"/>
    <s v="Centralización recaudaciones marzo 2026 #3299 - #3299"/>
    <n v="-60000"/>
    <s v="Activo"/>
    <n v="-60000"/>
    <x v="9"/>
  </r>
  <r>
    <n v="2026"/>
    <n v="3"/>
    <s v="02-03-2026"/>
    <n v="11610"/>
    <s v="1104-01"/>
    <n v="0"/>
    <n v="33490"/>
    <s v="Centralización recaudaciones marzo 2026 #3300 - #3300"/>
    <n v="-33490"/>
    <s v="Activo"/>
    <n v="-33490"/>
    <x v="9"/>
  </r>
  <r>
    <n v="2026"/>
    <n v="3"/>
    <s v="02-03-2026"/>
    <n v="11615"/>
    <s v="1104-01"/>
    <n v="0"/>
    <n v="84000"/>
    <s v="Centralización recaudaciones marzo 2026 #3305 - #3305"/>
    <n v="-84000"/>
    <s v="Activo"/>
    <n v="-84000"/>
    <x v="9"/>
  </r>
  <r>
    <n v="2026"/>
    <n v="3"/>
    <s v="02-03-2026"/>
    <n v="11632"/>
    <s v="1104-01"/>
    <n v="0"/>
    <n v="50000"/>
    <s v="Centralización recaudaciones marzo 2026 #3322 - #3322"/>
    <n v="-50000"/>
    <s v="Activo"/>
    <n v="-50000"/>
    <x v="9"/>
  </r>
  <r>
    <n v="2026"/>
    <n v="3"/>
    <s v="02-03-2026"/>
    <n v="11638"/>
    <s v="1104-01"/>
    <n v="0"/>
    <n v="39990"/>
    <s v="Centralización recaudaciones marzo 2026 #3328 - #3328"/>
    <n v="-39990"/>
    <s v="Activo"/>
    <n v="-39990"/>
    <x v="9"/>
  </r>
  <r>
    <n v="2026"/>
    <n v="3"/>
    <s v="02-03-2026"/>
    <n v="11644"/>
    <s v="1104-01"/>
    <n v="0"/>
    <n v="70000"/>
    <s v="Centralización recaudaciones marzo 2026 #3334 - #3334"/>
    <n v="-70000"/>
    <s v="Activo"/>
    <n v="-70000"/>
    <x v="9"/>
  </r>
  <r>
    <n v="2026"/>
    <n v="3"/>
    <s v="02-03-2026"/>
    <n v="11646"/>
    <s v="1104-01"/>
    <n v="0"/>
    <n v="17990"/>
    <s v="Centralización recaudaciones marzo 2026 #3336 - #3336"/>
    <n v="-17990"/>
    <s v="Activo"/>
    <n v="-17990"/>
    <x v="9"/>
  </r>
  <r>
    <n v="2026"/>
    <n v="3"/>
    <s v="02-03-2026"/>
    <n v="11652"/>
    <s v="1104-01"/>
    <n v="0"/>
    <n v="21990"/>
    <s v="Centralización recaudaciones marzo 2026 #3342 - #3342"/>
    <n v="-21990"/>
    <s v="Activo"/>
    <n v="-21990"/>
    <x v="9"/>
  </r>
  <r>
    <n v="2026"/>
    <n v="3"/>
    <s v="02-03-2026"/>
    <n v="11655"/>
    <s v="1104-01"/>
    <n v="0"/>
    <n v="60000"/>
    <s v="Centralización recaudaciones marzo 2026 #3345 - #3345"/>
    <n v="-60000"/>
    <s v="Activo"/>
    <n v="-60000"/>
    <x v="9"/>
  </r>
  <r>
    <n v="2026"/>
    <n v="3"/>
    <s v="02-03-2026"/>
    <n v="11663"/>
    <s v="1104-01"/>
    <n v="0"/>
    <n v="30000"/>
    <s v="Centralización recaudaciones marzo 2026 #3353 - #3353"/>
    <n v="-30000"/>
    <s v="Activo"/>
    <n v="-30000"/>
    <x v="9"/>
  </r>
  <r>
    <n v="2026"/>
    <n v="3"/>
    <s v="02-03-2026"/>
    <n v="11665"/>
    <s v="1104-01"/>
    <n v="0"/>
    <n v="310000"/>
    <s v="Centralización recaudaciones marzo 2026 #3355 - #3355"/>
    <n v="-310000"/>
    <s v="Activo"/>
    <n v="-310000"/>
    <x v="9"/>
  </r>
  <r>
    <n v="2026"/>
    <n v="3"/>
    <s v="02-03-2026"/>
    <n v="11668"/>
    <s v="1104-01"/>
    <n v="0"/>
    <n v="53538"/>
    <s v="Centralización recaudaciones marzo 2026 #3358 - #3358"/>
    <n v="-53538"/>
    <s v="Activo"/>
    <n v="-53538"/>
    <x v="9"/>
  </r>
  <r>
    <n v="2026"/>
    <n v="3"/>
    <s v="02-03-2026"/>
    <n v="11673"/>
    <s v="1104-01"/>
    <n v="0"/>
    <n v="38000"/>
    <s v="Centralización recaudaciones marzo 2026 #3490 - #3490"/>
    <n v="-38000"/>
    <s v="Activo"/>
    <n v="-38000"/>
    <x v="9"/>
  </r>
  <r>
    <n v="2026"/>
    <n v="3"/>
    <s v="02-03-2026"/>
    <n v="11675"/>
    <s v="1104-01"/>
    <n v="0"/>
    <n v="14990"/>
    <s v="Centralización recaudaciones marzo 2026 #3364 - #3364"/>
    <n v="-14990"/>
    <s v="Activo"/>
    <n v="-14990"/>
    <x v="9"/>
  </r>
  <r>
    <n v="2026"/>
    <n v="3"/>
    <s v="02-03-2026"/>
    <n v="11679"/>
    <s v="1104-01"/>
    <n v="0"/>
    <n v="30000"/>
    <s v="Centralización recaudaciones marzo 2026 #3368 - #3368"/>
    <n v="-30000"/>
    <s v="Activo"/>
    <n v="-30000"/>
    <x v="9"/>
  </r>
  <r>
    <n v="2026"/>
    <n v="3"/>
    <s v="02-03-2026"/>
    <n v="11685"/>
    <s v="1104-01"/>
    <n v="0"/>
    <n v="32990"/>
    <s v="Centralización recaudaciones marzo 2026 #3374 - #3374"/>
    <n v="-32990"/>
    <s v="Activo"/>
    <n v="-32990"/>
    <x v="9"/>
  </r>
  <r>
    <n v="2026"/>
    <n v="3"/>
    <s v="02-03-2026"/>
    <n v="11692"/>
    <s v="1104-01"/>
    <n v="0"/>
    <n v="40000"/>
    <s v="Centralización recaudaciones marzo 2026 #3381 - #3381"/>
    <n v="-40000"/>
    <s v="Activo"/>
    <n v="-40000"/>
    <x v="9"/>
  </r>
  <r>
    <n v="2026"/>
    <n v="3"/>
    <s v="02-03-2026"/>
    <n v="11697"/>
    <s v="1104-01"/>
    <n v="0"/>
    <n v="30000"/>
    <s v="Centralización recaudaciones marzo 2026 #3386 - #3386"/>
    <n v="-30000"/>
    <s v="Activo"/>
    <n v="-30000"/>
    <x v="9"/>
  </r>
  <r>
    <n v="2026"/>
    <n v="3"/>
    <s v="02-03-2026"/>
    <n v="11699"/>
    <s v="1104-01"/>
    <n v="0"/>
    <n v="30000"/>
    <s v="Centralización recaudaciones marzo 2026 #3388 - #3388"/>
    <n v="-30000"/>
    <s v="Activo"/>
    <n v="-30000"/>
    <x v="9"/>
  </r>
  <r>
    <n v="2026"/>
    <n v="3"/>
    <s v="02-03-2026"/>
    <n v="11700"/>
    <s v="1104-01"/>
    <n v="0"/>
    <n v="28990"/>
    <s v="Centralización recaudaciones marzo 2026 #3389 - #3389"/>
    <n v="-28990"/>
    <s v="Activo"/>
    <n v="-28990"/>
    <x v="9"/>
  </r>
  <r>
    <n v="2026"/>
    <n v="3"/>
    <s v="02-03-2026"/>
    <n v="11709"/>
    <s v="1104-01"/>
    <n v="0"/>
    <n v="21990"/>
    <s v="Centralización recaudaciones marzo 2026 #3398 - #3398"/>
    <n v="-21990"/>
    <s v="Activo"/>
    <n v="-21990"/>
    <x v="9"/>
  </r>
  <r>
    <n v="2026"/>
    <n v="3"/>
    <s v="02-03-2026"/>
    <n v="11712"/>
    <s v="1104-01"/>
    <n v="0"/>
    <n v="40000"/>
    <s v="Centralización recaudaciones marzo 2026 #3401 - #3401"/>
    <n v="-40000"/>
    <s v="Activo"/>
    <n v="-40000"/>
    <x v="9"/>
  </r>
  <r>
    <n v="2026"/>
    <n v="3"/>
    <s v="02-03-2026"/>
    <n v="11721"/>
    <s v="1104-01"/>
    <n v="0"/>
    <n v="40000"/>
    <s v="Centralización recaudaciones marzo 2026 #3410 - #3410"/>
    <n v="-40000"/>
    <s v="Activo"/>
    <n v="-40000"/>
    <x v="9"/>
  </r>
  <r>
    <n v="2026"/>
    <n v="3"/>
    <s v="02-03-2026"/>
    <n v="11725"/>
    <s v="1104-01"/>
    <n v="0"/>
    <n v="14990"/>
    <s v="Centralización recaudaciones marzo 2026 #3414 - #3414"/>
    <n v="-14990"/>
    <s v="Activo"/>
    <n v="-14990"/>
    <x v="9"/>
  </r>
  <r>
    <n v="2026"/>
    <n v="3"/>
    <s v="02-03-2026"/>
    <n v="11727"/>
    <s v="1104-01"/>
    <n v="0"/>
    <n v="232731"/>
    <s v="Centralización recaudaciones marzo 2026 #3416 - #3416"/>
    <n v="-232731"/>
    <s v="Activo"/>
    <n v="-232731"/>
    <x v="9"/>
  </r>
  <r>
    <n v="2026"/>
    <n v="3"/>
    <s v="02-03-2026"/>
    <n v="11728"/>
    <s v="1104-01"/>
    <n v="0"/>
    <n v="36953"/>
    <s v="Centralización recaudaciones marzo 2026 #3417 - #3417"/>
    <n v="-36953"/>
    <s v="Activo"/>
    <n v="-36953"/>
    <x v="9"/>
  </r>
  <r>
    <n v="2026"/>
    <n v="3"/>
    <s v="02-03-2026"/>
    <n v="11730"/>
    <s v="1104-01"/>
    <n v="0"/>
    <n v="2012"/>
    <s v="Centralización recaudaciones marzo 2026 #3419 - #3419"/>
    <n v="-2012"/>
    <s v="Activo"/>
    <n v="-2012"/>
    <x v="9"/>
  </r>
  <r>
    <n v="2026"/>
    <n v="3"/>
    <s v="02-03-2026"/>
    <n v="11736"/>
    <s v="1104-01"/>
    <n v="0"/>
    <n v="34863"/>
    <s v="Centralización recaudaciones marzo 2026 #3425 - #3425"/>
    <n v="-34863"/>
    <s v="Activo"/>
    <n v="-34863"/>
    <x v="9"/>
  </r>
  <r>
    <n v="2026"/>
    <n v="3"/>
    <s v="02-03-2026"/>
    <n v="11741"/>
    <s v="1104-01"/>
    <n v="0"/>
    <n v="79961"/>
    <s v="Centralización recaudaciones marzo 2026 #3430 - #3430"/>
    <n v="-79961"/>
    <s v="Activo"/>
    <n v="-79961"/>
    <x v="9"/>
  </r>
  <r>
    <n v="2026"/>
    <n v="3"/>
    <s v="02-03-2026"/>
    <n v="11742"/>
    <s v="1104-01"/>
    <n v="0"/>
    <n v="30000"/>
    <s v="Centralización recaudaciones marzo 2026 #3431 - #3431"/>
    <n v="-30000"/>
    <s v="Activo"/>
    <n v="-30000"/>
    <x v="9"/>
  </r>
  <r>
    <n v="2026"/>
    <n v="3"/>
    <s v="02-03-2026"/>
    <n v="11744"/>
    <s v="1104-01"/>
    <n v="0"/>
    <n v="14990"/>
    <s v="Centralización recaudaciones marzo 2026 #3433 - #3433"/>
    <n v="-14990"/>
    <s v="Activo"/>
    <n v="-14990"/>
    <x v="9"/>
  </r>
  <r>
    <n v="2026"/>
    <n v="3"/>
    <s v="02-03-2026"/>
    <n v="11746"/>
    <s v="1104-01"/>
    <n v="0"/>
    <n v="34000"/>
    <s v="Centralización recaudaciones marzo 2026 #3435 - #3435"/>
    <n v="-34000"/>
    <s v="Activo"/>
    <n v="-34000"/>
    <x v="9"/>
  </r>
  <r>
    <n v="2026"/>
    <n v="3"/>
    <s v="02-03-2026"/>
    <n v="11751"/>
    <s v="1104-01"/>
    <n v="0"/>
    <n v="30000"/>
    <s v="Centralización recaudaciones marzo 2026 #3440 - #3440"/>
    <n v="-30000"/>
    <s v="Activo"/>
    <n v="-30000"/>
    <x v="9"/>
  </r>
  <r>
    <n v="2026"/>
    <n v="3"/>
    <s v="02-03-2026"/>
    <n v="11757"/>
    <s v="1104-01"/>
    <n v="0"/>
    <n v="28990"/>
    <s v="Centralización recaudaciones marzo 2026 #3446 - #3446"/>
    <n v="-28990"/>
    <s v="Activo"/>
    <n v="-28990"/>
    <x v="9"/>
  </r>
  <r>
    <n v="2026"/>
    <n v="3"/>
    <s v="02-03-2026"/>
    <n v="11761"/>
    <s v="1104-01"/>
    <n v="0"/>
    <n v="30000"/>
    <s v="Centralización recaudaciones marzo 2026 #3450 - #3450"/>
    <n v="-30000"/>
    <s v="Activo"/>
    <n v="-30000"/>
    <x v="9"/>
  </r>
  <r>
    <n v="2026"/>
    <n v="3"/>
    <s v="02-03-2026"/>
    <n v="11762"/>
    <s v="1104-01"/>
    <n v="0"/>
    <n v="60000"/>
    <s v="Centralización recaudaciones marzo 2026 #3451 - #3451"/>
    <n v="-60000"/>
    <s v="Activo"/>
    <n v="-60000"/>
    <x v="9"/>
  </r>
  <r>
    <n v="2026"/>
    <n v="3"/>
    <s v="02-03-2026"/>
    <n v="11763"/>
    <s v="1104-01"/>
    <n v="0"/>
    <n v="17990"/>
    <s v="Centralización recaudaciones marzo 2026 #3452 - #3452"/>
    <n v="-17990"/>
    <s v="Activo"/>
    <n v="-17990"/>
    <x v="9"/>
  </r>
  <r>
    <n v="2026"/>
    <n v="3"/>
    <s v="02-03-2026"/>
    <n v="11774"/>
    <s v="1104-01"/>
    <n v="0"/>
    <n v="40000"/>
    <s v="Centralización recaudaciones marzo 2026 #3463 - #3463"/>
    <n v="-40000"/>
    <s v="Activo"/>
    <n v="-40000"/>
    <x v="9"/>
  </r>
  <r>
    <n v="2026"/>
    <n v="3"/>
    <s v="02-03-2026"/>
    <n v="11780"/>
    <s v="1104-01"/>
    <n v="0"/>
    <n v="26000"/>
    <s v="Centralización recaudaciones marzo 2026 #3469 - #3469"/>
    <n v="-26000"/>
    <s v="Activo"/>
    <n v="-26000"/>
    <x v="9"/>
  </r>
  <r>
    <n v="2026"/>
    <n v="3"/>
    <s v="02-03-2026"/>
    <n v="11783"/>
    <s v="1104-01"/>
    <n v="0"/>
    <n v="189172"/>
    <s v="Centralización recaudaciones marzo 2026 #3472 - #3472"/>
    <n v="-189172"/>
    <s v="Activo"/>
    <n v="-189172"/>
    <x v="9"/>
  </r>
  <r>
    <n v="2026"/>
    <n v="3"/>
    <s v="02-03-2026"/>
    <n v="11787"/>
    <s v="1104-01"/>
    <n v="0"/>
    <n v="34990"/>
    <s v="Centralización recaudaciones marzo 2026 #3476 - #3476"/>
    <n v="-34990"/>
    <s v="Activo"/>
    <n v="-34990"/>
    <x v="9"/>
  </r>
  <r>
    <n v="2026"/>
    <n v="3"/>
    <s v="02-03-2026"/>
    <n v="11789"/>
    <s v="1104-01"/>
    <n v="0"/>
    <n v="14990"/>
    <s v="Centralización recaudaciones marzo 2026 #3478 - #3478"/>
    <n v="-14990"/>
    <s v="Activo"/>
    <n v="-14990"/>
    <x v="9"/>
  </r>
  <r>
    <n v="2026"/>
    <n v="3"/>
    <s v="02-03-2026"/>
    <n v="11790"/>
    <s v="1104-01"/>
    <n v="0"/>
    <n v="14990"/>
    <s v="Centralización recaudaciones marzo 2026 #3479 - #3479"/>
    <n v="-14990"/>
    <s v="Activo"/>
    <n v="-14990"/>
    <x v="9"/>
  </r>
  <r>
    <n v="2026"/>
    <n v="3"/>
    <s v="03-03-2026"/>
    <n v="11116"/>
    <s v="1104-01"/>
    <n v="0"/>
    <n v="36311677"/>
    <s v="0966893109 abn crd db tran transba"/>
    <n v="-36311677"/>
    <s v="Activo"/>
    <n v="-36311677"/>
    <x v="9"/>
  </r>
  <r>
    <n v="2026"/>
    <n v="3"/>
    <s v="03-03-2026"/>
    <n v="11117"/>
    <s v="1104-01"/>
    <n v="0"/>
    <n v="3045559"/>
    <s v="0761872877 transf. khipu spa"/>
    <n v="-3045559"/>
    <s v="Activo"/>
    <n v="-3045559"/>
    <x v="9"/>
  </r>
  <r>
    <n v="2026"/>
    <n v="3"/>
    <s v="03-03-2026"/>
    <n v="11167"/>
    <s v="1104-01"/>
    <n v="0"/>
    <n v="348167"/>
    <s v="Centralización recaudaciones marzo 2026 #3485 - #3485"/>
    <n v="-348167"/>
    <s v="Activo"/>
    <n v="-348167"/>
    <x v="9"/>
  </r>
  <r>
    <n v="2026"/>
    <n v="3"/>
    <s v="03-03-2026"/>
    <n v="11179"/>
    <s v="1104-01"/>
    <n v="0"/>
    <n v="64980"/>
    <s v="Centralización recaudaciones marzo 2026 #2868 - #2868"/>
    <n v="-64980"/>
    <s v="Activo"/>
    <n v="-64980"/>
    <x v="9"/>
  </r>
  <r>
    <n v="2026"/>
    <n v="3"/>
    <s v="03-03-2026"/>
    <n v="11189"/>
    <s v="1104-01"/>
    <n v="0"/>
    <n v="64000"/>
    <s v="Centralización recaudaciones marzo 2026 #2878 - #2878"/>
    <n v="-64000"/>
    <s v="Activo"/>
    <n v="-64000"/>
    <x v="9"/>
  </r>
  <r>
    <n v="2026"/>
    <n v="3"/>
    <s v="03-03-2026"/>
    <n v="11197"/>
    <s v="1104-01"/>
    <n v="0"/>
    <n v="30000"/>
    <s v="Centralización recaudaciones marzo 2026 #2885 - #2885"/>
    <n v="-30000"/>
    <s v="Activo"/>
    <n v="-30000"/>
    <x v="9"/>
  </r>
  <r>
    <n v="2026"/>
    <n v="3"/>
    <s v="03-03-2026"/>
    <n v="11198"/>
    <s v="1104-01"/>
    <n v="0"/>
    <n v="52980"/>
    <s v="Centralización recaudaciones marzo 2026 #2886 - #2886"/>
    <n v="-52980"/>
    <s v="Activo"/>
    <n v="-52980"/>
    <x v="9"/>
  </r>
  <r>
    <n v="2026"/>
    <n v="3"/>
    <s v="03-03-2026"/>
    <n v="11202"/>
    <s v="1104-01"/>
    <n v="0"/>
    <n v="25990"/>
    <s v="Centralización recaudaciones marzo 2026 #2890 - #2890"/>
    <n v="-25990"/>
    <s v="Activo"/>
    <n v="-25990"/>
    <x v="9"/>
  </r>
  <r>
    <n v="2026"/>
    <n v="3"/>
    <s v="03-03-2026"/>
    <n v="11219"/>
    <s v="1104-01"/>
    <n v="0"/>
    <n v="30000"/>
    <s v="Centralización recaudaciones marzo 2026 #2907 - #2907"/>
    <n v="-30000"/>
    <s v="Activo"/>
    <n v="-30000"/>
    <x v="9"/>
  </r>
  <r>
    <n v="2026"/>
    <n v="3"/>
    <s v="03-03-2026"/>
    <n v="11225"/>
    <s v="1104-01"/>
    <n v="0"/>
    <n v="113503"/>
    <s v="Centralización recaudaciones marzo 2026 #2913 - #2913"/>
    <n v="-113503"/>
    <s v="Activo"/>
    <n v="-113503"/>
    <x v="9"/>
  </r>
  <r>
    <n v="2026"/>
    <n v="3"/>
    <s v="03-03-2026"/>
    <n v="11239"/>
    <s v="1104-01"/>
    <n v="0"/>
    <n v="30000"/>
    <s v="Centralización recaudaciones marzo 2026 #2928 - #2928"/>
    <n v="-30000"/>
    <s v="Activo"/>
    <n v="-30000"/>
    <x v="9"/>
  </r>
  <r>
    <n v="2026"/>
    <n v="3"/>
    <s v="03-03-2026"/>
    <n v="11260"/>
    <s v="1104-01"/>
    <n v="0"/>
    <n v="30000"/>
    <s v="Centralización recaudaciones marzo 2026 #2950 - #2950"/>
    <n v="-30000"/>
    <s v="Activo"/>
    <n v="-30000"/>
    <x v="9"/>
  </r>
  <r>
    <n v="2026"/>
    <n v="3"/>
    <s v="03-03-2026"/>
    <n v="11261"/>
    <s v="1104-01"/>
    <n v="0"/>
    <n v="30000"/>
    <s v="Centralización recaudaciones marzo 2026 #2951 - #2951"/>
    <n v="-30000"/>
    <s v="Activo"/>
    <n v="-30000"/>
    <x v="9"/>
  </r>
  <r>
    <n v="2026"/>
    <n v="3"/>
    <s v="03-03-2026"/>
    <n v="11265"/>
    <s v="1104-01"/>
    <n v="0"/>
    <n v="30000"/>
    <s v="Centralización recaudaciones marzo 2026 #2955 - #2955"/>
    <n v="-30000"/>
    <s v="Activo"/>
    <n v="-30000"/>
    <x v="9"/>
  </r>
  <r>
    <n v="2026"/>
    <n v="3"/>
    <s v="03-03-2026"/>
    <n v="11280"/>
    <s v="1104-01"/>
    <n v="0"/>
    <n v="30000"/>
    <s v="Centralización recaudaciones marzo 2026 #2970 - #2970"/>
    <n v="-30000"/>
    <s v="Activo"/>
    <n v="-30000"/>
    <x v="9"/>
  </r>
  <r>
    <n v="2026"/>
    <n v="3"/>
    <s v="03-03-2026"/>
    <n v="11291"/>
    <s v="1104-01"/>
    <n v="0"/>
    <n v="21990"/>
    <s v="Centralización recaudaciones marzo 2026 #2981 - #2981"/>
    <n v="-21990"/>
    <s v="Activo"/>
    <n v="-21990"/>
    <x v="9"/>
  </r>
  <r>
    <n v="2026"/>
    <n v="3"/>
    <s v="03-03-2026"/>
    <n v="11292"/>
    <s v="1104-01"/>
    <n v="0"/>
    <n v="33000"/>
    <s v="Centralización recaudaciones marzo 2026 #2982 - #2982"/>
    <n v="-33000"/>
    <s v="Activo"/>
    <n v="-33000"/>
    <x v="9"/>
  </r>
  <r>
    <n v="2026"/>
    <n v="3"/>
    <s v="03-03-2026"/>
    <n v="11296"/>
    <s v="1104-01"/>
    <n v="0"/>
    <n v="21990"/>
    <s v="Centralización recaudaciones marzo 2026 #2986 - #2986"/>
    <n v="-21990"/>
    <s v="Activo"/>
    <n v="-21990"/>
    <x v="9"/>
  </r>
  <r>
    <n v="2026"/>
    <n v="3"/>
    <s v="03-03-2026"/>
    <n v="11322"/>
    <s v="1104-01"/>
    <n v="0"/>
    <n v="40000"/>
    <s v="Centralización recaudaciones marzo 2026 #3012 - #3012"/>
    <n v="-40000"/>
    <s v="Activo"/>
    <n v="-40000"/>
    <x v="9"/>
  </r>
  <r>
    <n v="2026"/>
    <n v="3"/>
    <s v="03-03-2026"/>
    <n v="11328"/>
    <s v="1104-01"/>
    <n v="0"/>
    <n v="30000"/>
    <s v="Centralización recaudaciones marzo 2026 #3018 - #3018"/>
    <n v="-30000"/>
    <s v="Activo"/>
    <n v="-30000"/>
    <x v="9"/>
  </r>
  <r>
    <n v="2026"/>
    <n v="3"/>
    <s v="03-03-2026"/>
    <n v="11346"/>
    <s v="1104-01"/>
    <n v="0"/>
    <n v="21990"/>
    <s v="Centralización recaudaciones marzo 2026 #3036 - #3036"/>
    <n v="-21990"/>
    <s v="Activo"/>
    <n v="-21990"/>
    <x v="9"/>
  </r>
  <r>
    <n v="2026"/>
    <n v="3"/>
    <s v="03-03-2026"/>
    <n v="11365"/>
    <s v="1104-01"/>
    <n v="0"/>
    <n v="40000"/>
    <s v="Centralización recaudaciones marzo 2026 #3055 - #3055"/>
    <n v="-40000"/>
    <s v="Activo"/>
    <n v="-40000"/>
    <x v="9"/>
  </r>
  <r>
    <n v="2026"/>
    <n v="3"/>
    <s v="03-03-2026"/>
    <n v="11387"/>
    <s v="1104-01"/>
    <n v="0"/>
    <n v="1391975"/>
    <s v="Centralización recaudaciones marzo 2026 #3077 - #3077"/>
    <n v="-1391975"/>
    <s v="Activo"/>
    <n v="-1391975"/>
    <x v="9"/>
  </r>
  <r>
    <n v="2026"/>
    <n v="3"/>
    <s v="03-03-2026"/>
    <n v="11389"/>
    <s v="1104-01"/>
    <n v="0"/>
    <n v="30000"/>
    <s v="Centralización recaudaciones marzo 2026 #3079 - #3079"/>
    <n v="-30000"/>
    <s v="Activo"/>
    <n v="-30000"/>
    <x v="9"/>
  </r>
  <r>
    <n v="2026"/>
    <n v="3"/>
    <s v="03-03-2026"/>
    <n v="11406"/>
    <s v="1104-01"/>
    <n v="0"/>
    <n v="33490"/>
    <s v="Centralización recaudaciones marzo 2026 #3096 - #3096"/>
    <n v="-33490"/>
    <s v="Activo"/>
    <n v="-33490"/>
    <x v="9"/>
  </r>
  <r>
    <n v="2026"/>
    <n v="3"/>
    <s v="03-03-2026"/>
    <n v="11447"/>
    <s v="1104-01"/>
    <n v="0"/>
    <n v="14990"/>
    <s v="Centralización recaudaciones marzo 2026 #3137 - #3137"/>
    <n v="-14990"/>
    <s v="Activo"/>
    <n v="-14990"/>
    <x v="9"/>
  </r>
  <r>
    <n v="2026"/>
    <n v="3"/>
    <s v="03-03-2026"/>
    <n v="11477"/>
    <s v="1104-01"/>
    <n v="0"/>
    <n v="19027"/>
    <s v="Centralización recaudaciones marzo 2026 #3167 - #3167"/>
    <n v="-19027"/>
    <s v="Activo"/>
    <n v="-19027"/>
    <x v="9"/>
  </r>
  <r>
    <n v="2026"/>
    <n v="3"/>
    <s v="03-03-2026"/>
    <n v="11499"/>
    <s v="1104-01"/>
    <n v="0"/>
    <n v="33490"/>
    <s v="Centralización recaudaciones marzo 2026 #3189 - #3189"/>
    <n v="-33490"/>
    <s v="Activo"/>
    <n v="-33490"/>
    <x v="9"/>
  </r>
  <r>
    <n v="2026"/>
    <n v="3"/>
    <s v="03-03-2026"/>
    <n v="11501"/>
    <s v="1104-01"/>
    <n v="0"/>
    <n v="40000"/>
    <s v="Centralización recaudaciones marzo 2026 #3191 - #3191"/>
    <n v="-40000"/>
    <s v="Activo"/>
    <n v="-40000"/>
    <x v="9"/>
  </r>
  <r>
    <n v="2026"/>
    <n v="3"/>
    <s v="03-03-2026"/>
    <n v="11506"/>
    <s v="1104-01"/>
    <n v="0"/>
    <n v="19990"/>
    <s v="Centralización recaudaciones marzo 2026 #3196 - #3196"/>
    <n v="-19990"/>
    <s v="Activo"/>
    <n v="-19990"/>
    <x v="9"/>
  </r>
  <r>
    <n v="2026"/>
    <n v="3"/>
    <s v="03-03-2026"/>
    <n v="11511"/>
    <s v="1104-01"/>
    <n v="0"/>
    <n v="35980"/>
    <s v="Centralización recaudaciones marzo 2026 #3201 - #3201"/>
    <n v="-35980"/>
    <s v="Activo"/>
    <n v="-35980"/>
    <x v="9"/>
  </r>
  <r>
    <n v="2026"/>
    <n v="3"/>
    <s v="03-03-2026"/>
    <n v="11513"/>
    <s v="1104-01"/>
    <n v="0"/>
    <n v="14990"/>
    <s v="Centralización recaudaciones marzo 2026 #3203 - #3203"/>
    <n v="-14990"/>
    <s v="Activo"/>
    <n v="-14990"/>
    <x v="9"/>
  </r>
  <r>
    <n v="2026"/>
    <n v="3"/>
    <s v="03-03-2026"/>
    <n v="11522"/>
    <s v="1104-01"/>
    <n v="0"/>
    <n v="26990"/>
    <s v="Centralización recaudaciones marzo 2026 #3212 - #3212"/>
    <n v="-26990"/>
    <s v="Activo"/>
    <n v="-26990"/>
    <x v="9"/>
  </r>
  <r>
    <n v="2026"/>
    <n v="3"/>
    <s v="03-03-2026"/>
    <n v="11532"/>
    <s v="1104-01"/>
    <n v="0"/>
    <n v="43970"/>
    <s v="Centralización recaudaciones marzo 2026 #3222 - #3222"/>
    <n v="-43970"/>
    <s v="Activo"/>
    <n v="-43970"/>
    <x v="9"/>
  </r>
  <r>
    <n v="2026"/>
    <n v="3"/>
    <s v="03-03-2026"/>
    <n v="11552"/>
    <s v="1104-01"/>
    <n v="0"/>
    <n v="22990"/>
    <s v="Centralización recaudaciones marzo 2026 #3242 - #3242"/>
    <n v="-22990"/>
    <s v="Activo"/>
    <n v="-22990"/>
    <x v="9"/>
  </r>
  <r>
    <n v="2026"/>
    <n v="3"/>
    <s v="03-03-2026"/>
    <n v="11558"/>
    <s v="1104-01"/>
    <n v="0"/>
    <n v="28990"/>
    <s v="Centralización recaudaciones marzo 2026 #3248 - #3248"/>
    <n v="-28990"/>
    <s v="Activo"/>
    <n v="-28990"/>
    <x v="9"/>
  </r>
  <r>
    <n v="2026"/>
    <n v="3"/>
    <s v="03-03-2026"/>
    <n v="11577"/>
    <s v="1104-01"/>
    <n v="0"/>
    <n v="33990"/>
    <s v="Centralización recaudaciones marzo 2026 #3267 - #3267"/>
    <n v="-33990"/>
    <s v="Activo"/>
    <n v="-33990"/>
    <x v="9"/>
  </r>
  <r>
    <n v="2026"/>
    <n v="3"/>
    <s v="03-03-2026"/>
    <n v="11581"/>
    <s v="1104-01"/>
    <n v="0"/>
    <n v="14990"/>
    <s v="Centralización recaudaciones marzo 2026 #3271 - #3271"/>
    <n v="-14990"/>
    <s v="Activo"/>
    <n v="-14990"/>
    <x v="9"/>
  </r>
  <r>
    <n v="2026"/>
    <n v="3"/>
    <s v="03-03-2026"/>
    <n v="11622"/>
    <s v="1104-01"/>
    <n v="0"/>
    <n v="21990"/>
    <s v="Centralización recaudaciones marzo 2026 #3312 - #3312"/>
    <n v="-21990"/>
    <s v="Activo"/>
    <n v="-21990"/>
    <x v="9"/>
  </r>
  <r>
    <n v="2026"/>
    <n v="3"/>
    <s v="03-03-2026"/>
    <n v="11639"/>
    <s v="1104-01"/>
    <n v="0"/>
    <n v="64990"/>
    <s v="Centralización recaudaciones marzo 2026 #3329 - #3329"/>
    <n v="-64990"/>
    <s v="Activo"/>
    <n v="-64990"/>
    <x v="9"/>
  </r>
  <r>
    <n v="2026"/>
    <n v="3"/>
    <s v="03-03-2026"/>
    <n v="11660"/>
    <s v="1104-01"/>
    <n v="0"/>
    <n v="14990"/>
    <s v="Centralización recaudaciones marzo 2026 #3350 - #3350"/>
    <n v="-14990"/>
    <s v="Activo"/>
    <n v="-14990"/>
    <x v="9"/>
  </r>
  <r>
    <n v="2026"/>
    <n v="3"/>
    <s v="03-03-2026"/>
    <n v="11677"/>
    <s v="1104-01"/>
    <n v="0"/>
    <n v="19494"/>
    <s v="Centralización recaudaciones marzo 2026 #3366 - #3366"/>
    <n v="-19494"/>
    <s v="Activo"/>
    <n v="-19494"/>
    <x v="9"/>
  </r>
  <r>
    <n v="2026"/>
    <n v="3"/>
    <s v="03-03-2026"/>
    <n v="11681"/>
    <s v="1104-01"/>
    <n v="0"/>
    <n v="46990"/>
    <s v="Centralización recaudaciones marzo 2026 #3370 - #3370"/>
    <n v="-46990"/>
    <s v="Activo"/>
    <n v="-46990"/>
    <x v="9"/>
  </r>
  <r>
    <n v="2026"/>
    <n v="3"/>
    <s v="03-03-2026"/>
    <n v="11683"/>
    <s v="1104-01"/>
    <n v="0"/>
    <n v="14990"/>
    <s v="Centralización recaudaciones marzo 2026 #3372 - #3372"/>
    <n v="-14990"/>
    <s v="Activo"/>
    <n v="-14990"/>
    <x v="9"/>
  </r>
  <r>
    <n v="2026"/>
    <n v="3"/>
    <s v="03-03-2026"/>
    <n v="11690"/>
    <s v="1104-01"/>
    <n v="0"/>
    <n v="20990"/>
    <s v="Centralización recaudaciones marzo 2026 #3379 - #3379"/>
    <n v="-20990"/>
    <s v="Activo"/>
    <n v="-20990"/>
    <x v="9"/>
  </r>
  <r>
    <n v="2026"/>
    <n v="3"/>
    <s v="03-03-2026"/>
    <n v="11708"/>
    <s v="1104-01"/>
    <n v="0"/>
    <n v="28990"/>
    <s v="Centralización recaudaciones marzo 2026 #3397 - #3397"/>
    <n v="-28990"/>
    <s v="Activo"/>
    <n v="-28990"/>
    <x v="9"/>
  </r>
  <r>
    <n v="2026"/>
    <n v="3"/>
    <s v="03-03-2026"/>
    <n v="11720"/>
    <s v="1104-01"/>
    <n v="0"/>
    <n v="35990"/>
    <s v="Centralización recaudaciones marzo 2026 #3409 - #3409"/>
    <n v="-35990"/>
    <s v="Activo"/>
    <n v="-35990"/>
    <x v="9"/>
  </r>
  <r>
    <n v="2026"/>
    <n v="3"/>
    <s v="03-03-2026"/>
    <n v="11731"/>
    <s v="1104-01"/>
    <n v="0"/>
    <n v="12980"/>
    <s v="Centralización recaudaciones marzo 2026 #3420 - #3420"/>
    <n v="-12980"/>
    <s v="Activo"/>
    <n v="-12980"/>
    <x v="9"/>
  </r>
  <r>
    <n v="2026"/>
    <n v="3"/>
    <s v="03-03-2026"/>
    <n v="11755"/>
    <s v="1104-01"/>
    <n v="0"/>
    <n v="2192981"/>
    <s v="Centralización recaudaciones marzo 2026 #3444 - #3444"/>
    <n v="-2192981"/>
    <s v="Activo"/>
    <n v="-2192981"/>
    <x v="9"/>
  </r>
  <r>
    <n v="2026"/>
    <n v="3"/>
    <s v="03-03-2026"/>
    <n v="11756"/>
    <s v="1104-01"/>
    <n v="0"/>
    <n v="33000"/>
    <s v="Centralización recaudaciones marzo 2026 #3445 - #3445"/>
    <n v="-33000"/>
    <s v="Activo"/>
    <n v="-33000"/>
    <x v="9"/>
  </r>
  <r>
    <n v="2026"/>
    <n v="3"/>
    <s v="03-03-2026"/>
    <n v="11772"/>
    <s v="1104-01"/>
    <n v="0"/>
    <n v="50990"/>
    <s v="Centralización recaudaciones marzo 2026 #3461 - #3461"/>
    <n v="-50990"/>
    <s v="Activo"/>
    <n v="-50990"/>
    <x v="9"/>
  </r>
  <r>
    <n v="2026"/>
    <n v="3"/>
    <s v="03-03-2026"/>
    <n v="11788"/>
    <s v="1104-01"/>
    <n v="0"/>
    <n v="567630"/>
    <s v="Centralización recaudaciones marzo 2026 #3477 - #3477"/>
    <n v="-567630"/>
    <s v="Activo"/>
    <n v="-567630"/>
    <x v="9"/>
  </r>
  <r>
    <n v="2026"/>
    <n v="3"/>
    <s v="03-03-2026"/>
    <n v="11791"/>
    <s v="1104-01"/>
    <n v="0"/>
    <n v="14990"/>
    <s v="Centralización recaudaciones marzo 2026 #3480 - #3480"/>
    <n v="-14990"/>
    <s v="Activo"/>
    <n v="-14990"/>
    <x v="9"/>
  </r>
  <r>
    <n v="2026"/>
    <n v="3"/>
    <s v="03-03-2026"/>
    <n v="11792"/>
    <s v="1104-01"/>
    <n v="0"/>
    <n v="30000"/>
    <s v="Centralización recaudaciones marzo 2026 #3481 - #3481"/>
    <n v="-30000"/>
    <s v="Activo"/>
    <n v="-30000"/>
    <x v="9"/>
  </r>
  <r>
    <n v="2026"/>
    <n v="3"/>
    <s v="04-03-2026"/>
    <n v="11118"/>
    <s v="1104-01"/>
    <n v="0"/>
    <n v="22592398"/>
    <s v="0966893109 abn crd db tran transba"/>
    <n v="-22592398"/>
    <s v="Activo"/>
    <n v="-22592398"/>
    <x v="9"/>
  </r>
  <r>
    <n v="2026"/>
    <n v="3"/>
    <s v="04-03-2026"/>
    <n v="11119"/>
    <s v="1104-01"/>
    <n v="0"/>
    <n v="1059682"/>
    <s v="0761872877 transf. khipu spa"/>
    <n v="-1059682"/>
    <s v="Activo"/>
    <n v="-1059682"/>
    <x v="9"/>
  </r>
  <r>
    <n v="2026"/>
    <n v="3"/>
    <s v="04-03-2026"/>
    <n v="11176"/>
    <s v="1104-01"/>
    <n v="0"/>
    <n v="20"/>
    <s v="Centralización recaudaciones marzo 2026 #3491 - #3491"/>
    <n v="-20"/>
    <s v="Activo"/>
    <n v="-20"/>
    <x v="9"/>
  </r>
  <r>
    <n v="2026"/>
    <n v="3"/>
    <s v="04-03-2026"/>
    <n v="11177"/>
    <s v="1104-01"/>
    <n v="0"/>
    <n v="73286"/>
    <s v="Centralización recaudaciones marzo 2026 #3494 - #3494"/>
    <n v="-73286"/>
    <s v="Activo"/>
    <n v="-73286"/>
    <x v="9"/>
  </r>
  <r>
    <n v="2026"/>
    <n v="3"/>
    <s v="04-03-2026"/>
    <n v="11190"/>
    <s v="1104-01"/>
    <n v="0"/>
    <n v="2000"/>
    <s v="Centralización recaudaciones marzo 2026 #2879 - #2879"/>
    <n v="-2000"/>
    <s v="Activo"/>
    <n v="-2000"/>
    <x v="9"/>
  </r>
  <r>
    <n v="2026"/>
    <n v="3"/>
    <s v="04-03-2026"/>
    <n v="11193"/>
    <s v="1104-01"/>
    <n v="0"/>
    <n v="2677"/>
    <s v="Centralización recaudaciones marzo 2026 #3493 - #3493"/>
    <n v="-2677"/>
    <s v="Activo"/>
    <n v="-2677"/>
    <x v="9"/>
  </r>
  <r>
    <n v="2026"/>
    <n v="3"/>
    <s v="04-03-2026"/>
    <n v="11194"/>
    <s v="1104-01"/>
    <n v="0"/>
    <n v="59990"/>
    <s v="Centralización recaudaciones marzo 2026 #2882 - #2882"/>
    <n v="-59990"/>
    <s v="Activo"/>
    <n v="-59990"/>
    <x v="9"/>
  </r>
  <r>
    <n v="2026"/>
    <n v="3"/>
    <s v="04-03-2026"/>
    <n v="11210"/>
    <s v="1104-01"/>
    <n v="0"/>
    <n v="59990"/>
    <s v="Centralización recaudaciones marzo 2026 #2898 - #2898"/>
    <n v="-59990"/>
    <s v="Activo"/>
    <n v="-59990"/>
    <x v="9"/>
  </r>
  <r>
    <n v="2026"/>
    <n v="3"/>
    <s v="04-03-2026"/>
    <n v="11214"/>
    <s v="1104-01"/>
    <n v="0"/>
    <n v="29990"/>
    <s v="Centralización recaudaciones marzo 2026 #2902 - #2902"/>
    <n v="-29990"/>
    <s v="Activo"/>
    <n v="-29990"/>
    <x v="9"/>
  </r>
  <r>
    <n v="2026"/>
    <n v="3"/>
    <s v="04-03-2026"/>
    <n v="11224"/>
    <s v="1104-01"/>
    <n v="0"/>
    <n v="40000"/>
    <s v="Centralización recaudaciones marzo 2026 #2912 - #2912"/>
    <n v="-40000"/>
    <s v="Activo"/>
    <n v="-40000"/>
    <x v="9"/>
  </r>
  <r>
    <n v="2026"/>
    <n v="3"/>
    <s v="04-03-2026"/>
    <n v="11236"/>
    <s v="1104-01"/>
    <n v="0"/>
    <n v="29990"/>
    <s v="Centralización recaudaciones marzo 2026 #2925 - #2925"/>
    <n v="-29990"/>
    <s v="Activo"/>
    <n v="-29990"/>
    <x v="9"/>
  </r>
  <r>
    <n v="2026"/>
    <n v="3"/>
    <s v="04-03-2026"/>
    <n v="11242"/>
    <s v="1104-01"/>
    <n v="0"/>
    <n v="40000"/>
    <s v="Centralización recaudaciones marzo 2026 #2932 - #2932"/>
    <n v="-40000"/>
    <s v="Activo"/>
    <n v="-40000"/>
    <x v="9"/>
  </r>
  <r>
    <n v="2026"/>
    <n v="3"/>
    <s v="04-03-2026"/>
    <n v="11271"/>
    <s v="1104-01"/>
    <n v="0"/>
    <n v="990"/>
    <s v="Centralización recaudaciones marzo 2026 #2961 - #2961"/>
    <n v="-990"/>
    <s v="Activo"/>
    <n v="-990"/>
    <x v="9"/>
  </r>
  <r>
    <n v="2026"/>
    <n v="3"/>
    <s v="04-03-2026"/>
    <n v="11290"/>
    <s v="1104-01"/>
    <n v="0"/>
    <n v="30000"/>
    <s v="Centralización recaudaciones marzo 2026 #2980 - #2980"/>
    <n v="-30000"/>
    <s v="Activo"/>
    <n v="-30000"/>
    <x v="9"/>
  </r>
  <r>
    <n v="2026"/>
    <n v="3"/>
    <s v="04-03-2026"/>
    <n v="11293"/>
    <s v="1104-01"/>
    <n v="0"/>
    <n v="59990"/>
    <s v="Centralización recaudaciones marzo 2026 #2983 - #2983"/>
    <n v="-59990"/>
    <s v="Activo"/>
    <n v="-59990"/>
    <x v="9"/>
  </r>
  <r>
    <n v="2026"/>
    <n v="3"/>
    <s v="04-03-2026"/>
    <n v="11295"/>
    <s v="1104-01"/>
    <n v="0"/>
    <n v="910"/>
    <s v="Centralización recaudaciones marzo 2026 #2985 - #2985"/>
    <n v="-910"/>
    <s v="Activo"/>
    <n v="-910"/>
    <x v="9"/>
  </r>
  <r>
    <n v="2026"/>
    <n v="3"/>
    <s v="04-03-2026"/>
    <n v="11302"/>
    <s v="1104-01"/>
    <n v="0"/>
    <n v="35000"/>
    <s v="Centralización recaudaciones marzo 2026 #2992 - #2992"/>
    <n v="-35000"/>
    <s v="Activo"/>
    <n v="-35000"/>
    <x v="9"/>
  </r>
  <r>
    <n v="2026"/>
    <n v="3"/>
    <s v="04-03-2026"/>
    <n v="11323"/>
    <s v="1104-01"/>
    <n v="0"/>
    <n v="29990"/>
    <s v="Centralización recaudaciones marzo 2026 #3013 - #3013"/>
    <n v="-29990"/>
    <s v="Activo"/>
    <n v="-29990"/>
    <x v="9"/>
  </r>
  <r>
    <n v="2026"/>
    <n v="3"/>
    <s v="04-03-2026"/>
    <n v="11339"/>
    <s v="1104-01"/>
    <n v="0"/>
    <n v="26392"/>
    <s v="Centralización recaudaciones marzo 2026 #3029 - #3029"/>
    <n v="-26392"/>
    <s v="Activo"/>
    <n v="-26392"/>
    <x v="9"/>
  </r>
  <r>
    <n v="2026"/>
    <n v="3"/>
    <s v="04-03-2026"/>
    <n v="11343"/>
    <s v="1104-01"/>
    <n v="0"/>
    <n v="59990"/>
    <s v="Centralización recaudaciones marzo 2026 #3033 - #3033"/>
    <n v="-59990"/>
    <s v="Activo"/>
    <n v="-59990"/>
    <x v="9"/>
  </r>
  <r>
    <n v="2026"/>
    <n v="3"/>
    <s v="04-03-2026"/>
    <n v="11362"/>
    <s v="1104-01"/>
    <n v="0"/>
    <n v="3708"/>
    <s v="Centralización recaudaciones marzo 2026 #3052 - #3052"/>
    <n v="-3708"/>
    <s v="Activo"/>
    <n v="-3708"/>
    <x v="9"/>
  </r>
  <r>
    <n v="2026"/>
    <n v="3"/>
    <s v="04-03-2026"/>
    <n v="11399"/>
    <s v="1104-01"/>
    <n v="0"/>
    <n v="28990"/>
    <s v="Centralización recaudaciones marzo 2026 #3089 - #3089"/>
    <n v="-28990"/>
    <s v="Activo"/>
    <n v="-28990"/>
    <x v="9"/>
  </r>
  <r>
    <n v="2026"/>
    <n v="3"/>
    <s v="04-03-2026"/>
    <n v="11402"/>
    <s v="1104-01"/>
    <n v="0"/>
    <n v="21990"/>
    <s v="Centralización recaudaciones marzo 2026 #3092 - #3092"/>
    <n v="-21990"/>
    <s v="Activo"/>
    <n v="-21990"/>
    <x v="9"/>
  </r>
  <r>
    <n v="2026"/>
    <n v="3"/>
    <s v="04-03-2026"/>
    <n v="11412"/>
    <s v="1104-01"/>
    <n v="0"/>
    <n v="29990"/>
    <s v="Centralización recaudaciones marzo 2026 #3102 - #3102"/>
    <n v="-29990"/>
    <s v="Activo"/>
    <n v="-29990"/>
    <x v="9"/>
  </r>
  <r>
    <n v="2026"/>
    <n v="3"/>
    <s v="04-03-2026"/>
    <n v="11441"/>
    <s v="1104-01"/>
    <n v="0"/>
    <n v="14990"/>
    <s v="Centralización recaudaciones marzo 2026 #3131 - #3131"/>
    <n v="-14990"/>
    <s v="Activo"/>
    <n v="-14990"/>
    <x v="9"/>
  </r>
  <r>
    <n v="2026"/>
    <n v="3"/>
    <s v="04-03-2026"/>
    <n v="11450"/>
    <s v="1104-01"/>
    <n v="0"/>
    <n v="28990"/>
    <s v="Centralización recaudaciones marzo 2026 #3140 - #3140"/>
    <n v="-28990"/>
    <s v="Activo"/>
    <n v="-28990"/>
    <x v="9"/>
  </r>
  <r>
    <n v="2026"/>
    <n v="3"/>
    <s v="04-03-2026"/>
    <n v="11451"/>
    <s v="1104-01"/>
    <n v="0"/>
    <n v="40"/>
    <s v="Centralización recaudaciones marzo 2026 #3141 - #3141"/>
    <n v="-40"/>
    <s v="Activo"/>
    <n v="-40"/>
    <x v="9"/>
  </r>
  <r>
    <n v="2026"/>
    <n v="3"/>
    <s v="04-03-2026"/>
    <n v="11463"/>
    <s v="1104-01"/>
    <n v="0"/>
    <n v="26970"/>
    <s v="Centralización recaudaciones marzo 2026 #3153 - #3153"/>
    <n v="-26970"/>
    <s v="Activo"/>
    <n v="-26970"/>
    <x v="9"/>
  </r>
  <r>
    <n v="2026"/>
    <n v="3"/>
    <s v="04-03-2026"/>
    <n v="11478"/>
    <s v="1104-01"/>
    <n v="0"/>
    <n v="963"/>
    <s v="Centralización recaudaciones marzo 2026 #3168 - #3168"/>
    <n v="-963"/>
    <s v="Activo"/>
    <n v="-963"/>
    <x v="9"/>
  </r>
  <r>
    <n v="2026"/>
    <n v="3"/>
    <s v="04-03-2026"/>
    <n v="11484"/>
    <s v="1104-01"/>
    <n v="0"/>
    <n v="38990"/>
    <s v="Centralización recaudaciones marzo 2026 #3174 - #3174"/>
    <n v="-38990"/>
    <s v="Activo"/>
    <n v="-38990"/>
    <x v="9"/>
  </r>
  <r>
    <n v="2026"/>
    <n v="3"/>
    <s v="04-03-2026"/>
    <n v="11493"/>
    <s v="1104-01"/>
    <n v="0"/>
    <n v="29990"/>
    <s v="Centralización recaudaciones marzo 2026 #3183 - #3183"/>
    <n v="-29990"/>
    <s v="Activo"/>
    <n v="-29990"/>
    <x v="9"/>
  </r>
  <r>
    <n v="2026"/>
    <n v="3"/>
    <s v="04-03-2026"/>
    <n v="11509"/>
    <s v="1104-01"/>
    <n v="0"/>
    <n v="29990"/>
    <s v="Centralización recaudaciones marzo 2026 #3199 - #3199"/>
    <n v="-29990"/>
    <s v="Activo"/>
    <n v="-29990"/>
    <x v="9"/>
  </r>
  <r>
    <n v="2026"/>
    <n v="3"/>
    <s v="04-03-2026"/>
    <n v="11523"/>
    <s v="1104-01"/>
    <n v="0"/>
    <n v="29990"/>
    <s v="Centralización recaudaciones marzo 2026 #3213 - #3213"/>
    <n v="-29990"/>
    <s v="Activo"/>
    <n v="-29990"/>
    <x v="9"/>
  </r>
  <r>
    <n v="2026"/>
    <n v="3"/>
    <s v="04-03-2026"/>
    <n v="11550"/>
    <s v="1104-01"/>
    <n v="0"/>
    <n v="70000"/>
    <s v="Centralización recaudaciones marzo 2026 #3240 - #3240"/>
    <n v="-70000"/>
    <s v="Activo"/>
    <n v="-70000"/>
    <x v="9"/>
  </r>
  <r>
    <n v="2026"/>
    <n v="3"/>
    <s v="04-03-2026"/>
    <n v="11591"/>
    <s v="1104-01"/>
    <n v="0"/>
    <n v="1000"/>
    <s v="Centralización recaudaciones marzo 2026 #3281 - #3281"/>
    <n v="-1000"/>
    <s v="Activo"/>
    <n v="-1000"/>
    <x v="9"/>
  </r>
  <r>
    <n v="2026"/>
    <n v="3"/>
    <s v="04-03-2026"/>
    <n v="11612"/>
    <s v="1104-01"/>
    <n v="0"/>
    <n v="29990"/>
    <s v="Centralización recaudaciones marzo 2026 #3302 - #3302"/>
    <n v="-29990"/>
    <s v="Activo"/>
    <n v="-29990"/>
    <x v="9"/>
  </r>
  <r>
    <n v="2026"/>
    <n v="3"/>
    <s v="04-03-2026"/>
    <n v="11613"/>
    <s v="1104-01"/>
    <n v="0"/>
    <n v="28990"/>
    <s v="Centralización recaudaciones marzo 2026 #3303 - #3303"/>
    <n v="-28990"/>
    <s v="Activo"/>
    <n v="-28990"/>
    <x v="9"/>
  </r>
  <r>
    <n v="2026"/>
    <n v="3"/>
    <s v="04-03-2026"/>
    <n v="11617"/>
    <s v="1104-01"/>
    <n v="0"/>
    <n v="60000"/>
    <s v="Centralización recaudaciones marzo 2026 #3307 - #3307"/>
    <n v="-60000"/>
    <s v="Activo"/>
    <n v="-60000"/>
    <x v="9"/>
  </r>
  <r>
    <n v="2026"/>
    <n v="3"/>
    <s v="04-03-2026"/>
    <n v="11619"/>
    <s v="1104-01"/>
    <n v="0"/>
    <n v="43980"/>
    <s v="Centralización recaudaciones marzo 2026 #3309 - #3309"/>
    <n v="-43980"/>
    <s v="Activo"/>
    <n v="-43980"/>
    <x v="9"/>
  </r>
  <r>
    <n v="2026"/>
    <n v="3"/>
    <s v="04-03-2026"/>
    <n v="11643"/>
    <s v="1104-01"/>
    <n v="0"/>
    <n v="21990"/>
    <s v="Centralización recaudaciones marzo 2026 #3333 - #3333"/>
    <n v="-21990"/>
    <s v="Activo"/>
    <n v="-21990"/>
    <x v="9"/>
  </r>
  <r>
    <n v="2026"/>
    <n v="3"/>
    <s v="04-03-2026"/>
    <n v="11647"/>
    <s v="1104-01"/>
    <n v="0"/>
    <n v="29990"/>
    <s v="Centralización recaudaciones marzo 2026 #3337 - #3337"/>
    <n v="-29990"/>
    <s v="Activo"/>
    <n v="-29990"/>
    <x v="9"/>
  </r>
  <r>
    <n v="2026"/>
    <n v="3"/>
    <s v="04-03-2026"/>
    <n v="11678"/>
    <s v="1104-01"/>
    <n v="0"/>
    <n v="496"/>
    <s v="Centralización recaudaciones marzo 2026 #3367 - #3367"/>
    <n v="-496"/>
    <s v="Activo"/>
    <n v="-496"/>
    <x v="9"/>
  </r>
  <r>
    <n v="2026"/>
    <n v="3"/>
    <s v="04-03-2026"/>
    <n v="11688"/>
    <s v="1104-01"/>
    <n v="0"/>
    <n v="14990"/>
    <s v="Centralización recaudaciones marzo 2026 #3377 - #3377"/>
    <n v="-14990"/>
    <s v="Activo"/>
    <n v="-14990"/>
    <x v="9"/>
  </r>
  <r>
    <n v="2026"/>
    <n v="3"/>
    <s v="04-03-2026"/>
    <n v="11691"/>
    <s v="1104-01"/>
    <n v="0"/>
    <n v="910"/>
    <s v="Centralización recaudaciones marzo 2026 #3380 - #3380"/>
    <n v="-910"/>
    <s v="Activo"/>
    <n v="-910"/>
    <x v="9"/>
  </r>
  <r>
    <n v="2026"/>
    <n v="3"/>
    <s v="04-03-2026"/>
    <n v="11704"/>
    <s v="1104-01"/>
    <n v="0"/>
    <n v="17990"/>
    <s v="Centralización recaudaciones marzo 2026 #3393 - #3393"/>
    <n v="-17990"/>
    <s v="Activo"/>
    <n v="-17990"/>
    <x v="9"/>
  </r>
  <r>
    <n v="2026"/>
    <n v="3"/>
    <s v="04-03-2026"/>
    <n v="11747"/>
    <s v="1104-01"/>
    <n v="0"/>
    <n v="990"/>
    <s v="Centralización recaudaciones marzo 2026 #3436 - #3436"/>
    <n v="-990"/>
    <s v="Activo"/>
    <n v="-990"/>
    <x v="9"/>
  </r>
  <r>
    <n v="2026"/>
    <n v="3"/>
    <s v="04-03-2026"/>
    <n v="11770"/>
    <s v="1104-01"/>
    <n v="0"/>
    <n v="799186"/>
    <s v="Centralización recaudaciones marzo 2026 #3459 - #3459"/>
    <n v="-799186"/>
    <s v="Activo"/>
    <n v="-799186"/>
    <x v="9"/>
  </r>
  <r>
    <n v="2026"/>
    <n v="3"/>
    <s v="05-03-2026"/>
    <n v="11120"/>
    <s v="1104-01"/>
    <n v="0"/>
    <n v="9177616"/>
    <s v="0966893109 abn crd db tran transba"/>
    <n v="-9177616"/>
    <s v="Activo"/>
    <n v="-9177616"/>
    <x v="9"/>
  </r>
  <r>
    <n v="2026"/>
    <n v="3"/>
    <s v="05-03-2026"/>
    <n v="11121"/>
    <s v="1104-01"/>
    <n v="0"/>
    <n v="569949"/>
    <s v="0761872877 transf. khipu spa"/>
    <n v="-569949"/>
    <s v="Activo"/>
    <n v="-569949"/>
    <x v="9"/>
  </r>
  <r>
    <n v="2026"/>
    <n v="3"/>
    <s v="05-03-2026"/>
    <n v="11200"/>
    <s v="1104-01"/>
    <n v="0"/>
    <n v="29990"/>
    <s v="Centralización recaudaciones marzo 2026 #2888 - #2888"/>
    <n v="-29990"/>
    <s v="Activo"/>
    <n v="-29990"/>
    <x v="9"/>
  </r>
  <r>
    <n v="2026"/>
    <n v="3"/>
    <s v="05-03-2026"/>
    <n v="11248"/>
    <s v="1104-01"/>
    <n v="0"/>
    <n v="50000"/>
    <s v="Centralización recaudaciones marzo 2026 #2938 - #2938"/>
    <n v="-50000"/>
    <s v="Activo"/>
    <n v="-50000"/>
    <x v="9"/>
  </r>
  <r>
    <n v="2026"/>
    <n v="3"/>
    <s v="05-03-2026"/>
    <n v="11259"/>
    <s v="1104-01"/>
    <n v="0"/>
    <n v="37990"/>
    <s v="Centralización recaudaciones marzo 2026 #2949 - #2949"/>
    <n v="-37990"/>
    <s v="Activo"/>
    <n v="-37990"/>
    <x v="9"/>
  </r>
  <r>
    <n v="2026"/>
    <n v="3"/>
    <s v="05-03-2026"/>
    <n v="11266"/>
    <s v="1104-01"/>
    <n v="0"/>
    <n v="29990"/>
    <s v="Centralización recaudaciones marzo 2026 #2956 - #2956"/>
    <n v="-29990"/>
    <s v="Activo"/>
    <n v="-29990"/>
    <x v="9"/>
  </r>
  <r>
    <n v="2026"/>
    <n v="3"/>
    <s v="05-03-2026"/>
    <n v="11274"/>
    <s v="1104-01"/>
    <n v="0"/>
    <n v="29990"/>
    <s v="Centralización recaudaciones marzo 2026 #2964 - #2964"/>
    <n v="-29990"/>
    <s v="Activo"/>
    <n v="-29990"/>
    <x v="9"/>
  </r>
  <r>
    <n v="2026"/>
    <n v="3"/>
    <s v="05-03-2026"/>
    <n v="11303"/>
    <s v="1104-01"/>
    <n v="0"/>
    <n v="28990"/>
    <s v="Centralización recaudaciones marzo 2026 #2993 - #2993"/>
    <n v="-28990"/>
    <s v="Activo"/>
    <n v="-28990"/>
    <x v="9"/>
  </r>
  <r>
    <n v="2026"/>
    <n v="3"/>
    <s v="05-03-2026"/>
    <n v="11342"/>
    <s v="1104-01"/>
    <n v="0"/>
    <n v="29990"/>
    <s v="Centralización recaudaciones marzo 2026 #3032 - #3032"/>
    <n v="-29990"/>
    <s v="Activo"/>
    <n v="-29990"/>
    <x v="9"/>
  </r>
  <r>
    <n v="2026"/>
    <n v="3"/>
    <s v="05-03-2026"/>
    <n v="11373"/>
    <s v="1104-01"/>
    <n v="0"/>
    <n v="42000"/>
    <s v="Centralización recaudaciones marzo 2026 #3063 - #3063"/>
    <n v="-42000"/>
    <s v="Activo"/>
    <n v="-42000"/>
    <x v="9"/>
  </r>
  <r>
    <n v="2026"/>
    <n v="3"/>
    <s v="05-03-2026"/>
    <n v="11377"/>
    <s v="1104-01"/>
    <n v="0"/>
    <n v="50000"/>
    <s v="Centralización recaudaciones marzo 2026 #3067 - #3067"/>
    <n v="-50000"/>
    <s v="Activo"/>
    <n v="-50000"/>
    <x v="9"/>
  </r>
  <r>
    <n v="2026"/>
    <n v="3"/>
    <s v="05-03-2026"/>
    <n v="11414"/>
    <s v="1104-01"/>
    <n v="0"/>
    <n v="21990"/>
    <s v="Centralización recaudaciones marzo 2026 #3104 - #3104"/>
    <n v="-21990"/>
    <s v="Activo"/>
    <n v="-21990"/>
    <x v="9"/>
  </r>
  <r>
    <n v="2026"/>
    <n v="3"/>
    <s v="05-03-2026"/>
    <n v="11430"/>
    <s v="1104-01"/>
    <n v="0"/>
    <n v="40000"/>
    <s v="Centralización recaudaciones marzo 2026 #3120 - #3120"/>
    <n v="-40000"/>
    <s v="Activo"/>
    <n v="-40000"/>
    <x v="9"/>
  </r>
  <r>
    <n v="2026"/>
    <n v="3"/>
    <s v="05-03-2026"/>
    <n v="11432"/>
    <s v="1104-01"/>
    <n v="0"/>
    <n v="29990"/>
    <s v="Centralización recaudaciones marzo 2026 #3122 - #3122"/>
    <n v="-29990"/>
    <s v="Activo"/>
    <n v="-29990"/>
    <x v="9"/>
  </r>
  <r>
    <n v="2026"/>
    <n v="3"/>
    <s v="05-03-2026"/>
    <n v="11439"/>
    <s v="1104-01"/>
    <n v="0"/>
    <n v="29990"/>
    <s v="Centralización recaudaciones marzo 2026 #3129 - #3129"/>
    <n v="-29990"/>
    <s v="Activo"/>
    <n v="-29990"/>
    <x v="9"/>
  </r>
  <r>
    <n v="2026"/>
    <n v="3"/>
    <s v="05-03-2026"/>
    <n v="11442"/>
    <s v="1104-01"/>
    <n v="0"/>
    <n v="7000"/>
    <s v="Centralización recaudaciones marzo 2026 #3132 - #3132"/>
    <n v="-7000"/>
    <s v="Activo"/>
    <n v="-7000"/>
    <x v="9"/>
  </r>
  <r>
    <n v="2026"/>
    <n v="3"/>
    <s v="05-03-2026"/>
    <n v="11445"/>
    <s v="1104-01"/>
    <n v="0"/>
    <n v="139980"/>
    <s v="Centralización recaudaciones marzo 2026 #3135 - #3135"/>
    <n v="-139980"/>
    <s v="Activo"/>
    <n v="-139980"/>
    <x v="9"/>
  </r>
  <r>
    <n v="2026"/>
    <n v="3"/>
    <s v="05-03-2026"/>
    <n v="11448"/>
    <s v="1104-01"/>
    <n v="0"/>
    <n v="5000"/>
    <s v="Centralización recaudaciones marzo 2026 #3138 - #3138"/>
    <n v="-5000"/>
    <s v="Activo"/>
    <n v="-5000"/>
    <x v="9"/>
  </r>
  <r>
    <n v="2026"/>
    <n v="3"/>
    <s v="05-03-2026"/>
    <n v="11459"/>
    <s v="1104-01"/>
    <n v="0"/>
    <n v="20480"/>
    <s v="Centralización recaudaciones marzo 2026 #3149 - #3149"/>
    <n v="-20480"/>
    <s v="Activo"/>
    <n v="-20480"/>
    <x v="9"/>
  </r>
  <r>
    <n v="2026"/>
    <n v="3"/>
    <s v="05-03-2026"/>
    <n v="11464"/>
    <s v="1104-01"/>
    <n v="0"/>
    <n v="29990"/>
    <s v="Centralización recaudaciones marzo 2026 #3154 - #3154"/>
    <n v="-29990"/>
    <s v="Activo"/>
    <n v="-29990"/>
    <x v="9"/>
  </r>
  <r>
    <n v="2026"/>
    <n v="3"/>
    <s v="05-03-2026"/>
    <n v="11486"/>
    <s v="1104-01"/>
    <n v="0"/>
    <n v="29990"/>
    <s v="Centralización recaudaciones marzo 2026 #3176 - #3176"/>
    <n v="-29990"/>
    <s v="Activo"/>
    <n v="-29990"/>
    <x v="9"/>
  </r>
  <r>
    <n v="2026"/>
    <n v="3"/>
    <s v="05-03-2026"/>
    <n v="11503"/>
    <s v="1104-01"/>
    <n v="0"/>
    <n v="21990"/>
    <s v="Centralización recaudaciones marzo 2026 #3193 - #3193"/>
    <n v="-21990"/>
    <s v="Activo"/>
    <n v="-21990"/>
    <x v="9"/>
  </r>
  <r>
    <n v="2026"/>
    <n v="3"/>
    <s v="05-03-2026"/>
    <n v="11504"/>
    <s v="1104-01"/>
    <n v="0"/>
    <n v="174821"/>
    <s v="Centralización recaudaciones marzo 2026 #3194 - #3194"/>
    <n v="-174821"/>
    <s v="Activo"/>
    <n v="-174821"/>
    <x v="9"/>
  </r>
  <r>
    <n v="2026"/>
    <n v="3"/>
    <s v="05-03-2026"/>
    <n v="11515"/>
    <s v="1104-01"/>
    <n v="0"/>
    <n v="36990"/>
    <s v="Centralización recaudaciones marzo 2026 #3205 - #3205"/>
    <n v="-36990"/>
    <s v="Activo"/>
    <n v="-36990"/>
    <x v="9"/>
  </r>
  <r>
    <n v="2026"/>
    <n v="3"/>
    <s v="05-03-2026"/>
    <n v="11524"/>
    <s v="1104-01"/>
    <n v="0"/>
    <n v="34990"/>
    <s v="Centralización recaudaciones marzo 2026 #3214 - #3214"/>
    <n v="-34990"/>
    <s v="Activo"/>
    <n v="-34990"/>
    <x v="9"/>
  </r>
  <r>
    <n v="2026"/>
    <n v="3"/>
    <s v="05-03-2026"/>
    <n v="11551"/>
    <s v="1104-01"/>
    <n v="0"/>
    <n v="32989"/>
    <s v="Centralización recaudaciones marzo 2026 #3241 - #3241"/>
    <n v="-32989"/>
    <s v="Activo"/>
    <n v="-32989"/>
    <x v="9"/>
  </r>
  <r>
    <n v="2026"/>
    <n v="3"/>
    <s v="05-03-2026"/>
    <n v="11729"/>
    <s v="1104-01"/>
    <n v="0"/>
    <n v="51980"/>
    <s v="Centralización recaudaciones marzo 2026 #3418 - #3418"/>
    <n v="-51980"/>
    <s v="Activo"/>
    <n v="-51980"/>
    <x v="9"/>
  </r>
  <r>
    <n v="2026"/>
    <n v="3"/>
    <s v="06-03-2026"/>
    <n v="11122"/>
    <s v="1104-01"/>
    <n v="0"/>
    <n v="7814013"/>
    <s v="0966893109 abn crd db tran transba"/>
    <n v="-7814013"/>
    <s v="Activo"/>
    <n v="-7814013"/>
    <x v="9"/>
  </r>
  <r>
    <n v="2026"/>
    <n v="3"/>
    <s v="06-03-2026"/>
    <n v="11123"/>
    <s v="1104-01"/>
    <n v="0"/>
    <n v="337762"/>
    <s v="0761872877 transf. khipu spa"/>
    <n v="-337762"/>
    <s v="Activo"/>
    <n v="-337762"/>
    <x v="9"/>
  </r>
  <r>
    <n v="2026"/>
    <n v="3"/>
    <s v="06-03-2026"/>
    <n v="11182"/>
    <s v="1104-01"/>
    <n v="0"/>
    <n v="74990"/>
    <s v="Centralización recaudaciones marzo 2026 #2871 - #2871"/>
    <n v="-74990"/>
    <s v="Activo"/>
    <n v="-74990"/>
    <x v="9"/>
  </r>
  <r>
    <n v="2026"/>
    <n v="3"/>
    <s v="06-03-2026"/>
    <n v="11246"/>
    <s v="1104-01"/>
    <n v="0"/>
    <n v="40000"/>
    <s v="Centralización recaudaciones marzo 2026 #2936 - #2936"/>
    <n v="-40000"/>
    <s v="Activo"/>
    <n v="-40000"/>
    <x v="9"/>
  </r>
  <r>
    <n v="2026"/>
    <n v="3"/>
    <s v="06-03-2026"/>
    <n v="11277"/>
    <s v="1104-01"/>
    <n v="0"/>
    <n v="29990"/>
    <s v="Centralización recaudaciones marzo 2026 #2967 - #2967"/>
    <n v="-29990"/>
    <s v="Activo"/>
    <n v="-29990"/>
    <x v="9"/>
  </r>
  <r>
    <n v="2026"/>
    <n v="3"/>
    <s v="06-03-2026"/>
    <n v="11351"/>
    <s v="1104-01"/>
    <n v="0"/>
    <n v="59990"/>
    <s v="Centralización recaudaciones marzo 2026 #3041 - #3041"/>
    <n v="-59990"/>
    <s v="Activo"/>
    <n v="-59990"/>
    <x v="9"/>
  </r>
  <r>
    <n v="2026"/>
    <n v="3"/>
    <s v="06-03-2026"/>
    <n v="11374"/>
    <s v="1104-01"/>
    <n v="0"/>
    <n v="2028337"/>
    <s v="Centralización recaudaciones marzo 2026 #3064 - #3064"/>
    <n v="-2028337"/>
    <s v="Activo"/>
    <n v="-2028337"/>
    <x v="9"/>
  </r>
  <r>
    <n v="2026"/>
    <n v="3"/>
    <s v="06-03-2026"/>
    <n v="11378"/>
    <s v="1104-01"/>
    <n v="0"/>
    <n v="29990"/>
    <s v="Centralización recaudaciones marzo 2026 #3068 - #3068"/>
    <n v="-29990"/>
    <s v="Activo"/>
    <n v="-29990"/>
    <x v="9"/>
  </r>
  <r>
    <n v="2026"/>
    <n v="3"/>
    <s v="06-03-2026"/>
    <n v="11435"/>
    <s v="1104-01"/>
    <n v="0"/>
    <n v="28990"/>
    <s v="Centralización recaudaciones marzo 2026 #3125 - #3125"/>
    <n v="-28990"/>
    <s v="Activo"/>
    <n v="-28990"/>
    <x v="9"/>
  </r>
  <r>
    <n v="2026"/>
    <n v="3"/>
    <s v="06-03-2026"/>
    <n v="11452"/>
    <s v="1104-01"/>
    <n v="0"/>
    <n v="4950"/>
    <s v="Centralización recaudaciones marzo 2026 #3142 - #3142"/>
    <n v="-4950"/>
    <s v="Activo"/>
    <n v="-4950"/>
    <x v="9"/>
  </r>
  <r>
    <n v="2026"/>
    <n v="3"/>
    <s v="06-03-2026"/>
    <n v="11460"/>
    <s v="1104-01"/>
    <n v="0"/>
    <n v="1510"/>
    <s v="Centralización recaudaciones marzo 2026 #3150 - #3150"/>
    <n v="-1510"/>
    <s v="Activo"/>
    <n v="-1510"/>
    <x v="9"/>
  </r>
  <r>
    <n v="2026"/>
    <n v="3"/>
    <s v="06-03-2026"/>
    <n v="11461"/>
    <s v="1104-01"/>
    <n v="0"/>
    <n v="29990"/>
    <s v="Centralización recaudaciones marzo 2026 #3151 - #3151"/>
    <n v="-29990"/>
    <s v="Activo"/>
    <n v="-29990"/>
    <x v="9"/>
  </r>
  <r>
    <n v="2026"/>
    <n v="3"/>
    <s v="06-03-2026"/>
    <n v="11480"/>
    <s v="1104-01"/>
    <n v="0"/>
    <n v="34990"/>
    <s v="Centralización recaudaciones marzo 2026 #3170 - #3170"/>
    <n v="-34990"/>
    <s v="Activo"/>
    <n v="-34990"/>
    <x v="9"/>
  </r>
  <r>
    <n v="2026"/>
    <n v="3"/>
    <s v="06-03-2026"/>
    <n v="11514"/>
    <s v="1104-01"/>
    <n v="0"/>
    <n v="5000"/>
    <s v="Centralización recaudaciones marzo 2026 #3204 - #3204"/>
    <n v="-5000"/>
    <s v="Activo"/>
    <n v="-5000"/>
    <x v="9"/>
  </r>
  <r>
    <n v="2026"/>
    <n v="3"/>
    <s v="06-03-2026"/>
    <n v="11525"/>
    <s v="1104-01"/>
    <n v="0"/>
    <n v="429427"/>
    <s v="Centralización recaudaciones marzo 2026 #3215 - #3215"/>
    <n v="-429427"/>
    <s v="Activo"/>
    <n v="-429427"/>
    <x v="9"/>
  </r>
  <r>
    <n v="2026"/>
    <n v="3"/>
    <s v="06-03-2026"/>
    <n v="11542"/>
    <s v="1104-01"/>
    <n v="0"/>
    <n v="31990"/>
    <s v="Centralización recaudaciones marzo 2026 #3232 - #3232"/>
    <n v="-31990"/>
    <s v="Activo"/>
    <n v="-31990"/>
    <x v="9"/>
  </r>
  <r>
    <n v="2026"/>
    <n v="3"/>
    <s v="06-03-2026"/>
    <n v="11572"/>
    <s v="1104-01"/>
    <n v="0"/>
    <n v="28930"/>
    <s v="Centralización recaudaciones marzo 2026 #3262 - #3262"/>
    <n v="-28930"/>
    <s v="Activo"/>
    <n v="-28930"/>
    <x v="9"/>
  </r>
  <r>
    <n v="2026"/>
    <n v="3"/>
    <s v="06-03-2026"/>
    <n v="11584"/>
    <s v="1104-01"/>
    <n v="0"/>
    <n v="6911"/>
    <s v="Centralización recaudaciones marzo 2026 #3274 - #3274"/>
    <n v="-6911"/>
    <s v="Activo"/>
    <n v="-6911"/>
    <x v="9"/>
  </r>
  <r>
    <n v="2026"/>
    <n v="3"/>
    <s v="06-03-2026"/>
    <n v="11621"/>
    <s v="1104-01"/>
    <n v="0"/>
    <n v="424580"/>
    <s v="Centralización recaudaciones marzo 2026 #3311 - #3311"/>
    <n v="-424580"/>
    <s v="Activo"/>
    <n v="-424580"/>
    <x v="9"/>
  </r>
  <r>
    <n v="2026"/>
    <n v="3"/>
    <s v="06-03-2026"/>
    <n v="11661"/>
    <s v="1104-01"/>
    <n v="0"/>
    <n v="5000"/>
    <s v="Centralización recaudaciones marzo 2026 #3351 - #3351"/>
    <n v="-5000"/>
    <s v="Activo"/>
    <n v="-5000"/>
    <x v="9"/>
  </r>
  <r>
    <n v="2026"/>
    <n v="3"/>
    <s v="06-03-2026"/>
    <n v="11689"/>
    <s v="1104-01"/>
    <n v="0"/>
    <n v="7000"/>
    <s v="Centralización recaudaciones marzo 2026 #3378 - #3378"/>
    <n v="-7000"/>
    <s v="Activo"/>
    <n v="-7000"/>
    <x v="9"/>
  </r>
  <r>
    <n v="2026"/>
    <n v="3"/>
    <s v="06-03-2026"/>
    <n v="11695"/>
    <s v="1104-01"/>
    <n v="0"/>
    <n v="614808"/>
    <s v="Centralización recaudaciones marzo 2026 #3384 - #3384"/>
    <n v="-614808"/>
    <s v="Activo"/>
    <n v="-614808"/>
    <x v="9"/>
  </r>
  <r>
    <n v="2026"/>
    <n v="3"/>
    <s v="06-03-2026"/>
    <n v="11705"/>
    <s v="1104-01"/>
    <n v="0"/>
    <n v="4000"/>
    <s v="Centralización recaudaciones marzo 2026 #3394 - #3394"/>
    <n v="-4000"/>
    <s v="Activo"/>
    <n v="-4000"/>
    <x v="9"/>
  </r>
  <r>
    <n v="2026"/>
    <n v="3"/>
    <s v="06-03-2026"/>
    <n v="11734"/>
    <s v="1104-01"/>
    <n v="0"/>
    <n v="34000"/>
    <s v="Centralización recaudaciones marzo 2026 #3423 - #3423"/>
    <n v="-34000"/>
    <s v="Activo"/>
    <n v="-34000"/>
    <x v="9"/>
  </r>
  <r>
    <n v="2026"/>
    <n v="3"/>
    <s v="06-03-2026"/>
    <n v="11737"/>
    <s v="1104-01"/>
    <n v="0"/>
    <n v="485137"/>
    <s v="Centralización recaudaciones marzo 2026 #3426 - #3426"/>
    <n v="-485137"/>
    <s v="Activo"/>
    <n v="-485137"/>
    <x v="9"/>
  </r>
  <r>
    <n v="2026"/>
    <n v="3"/>
    <s v="06-03-2026"/>
    <n v="11738"/>
    <s v="1104-01"/>
    <n v="0"/>
    <n v="520000"/>
    <s v="Centralización recaudaciones marzo 2026 #3427 - #3427"/>
    <n v="-520000"/>
    <s v="Activo"/>
    <n v="-520000"/>
    <x v="9"/>
  </r>
  <r>
    <n v="2026"/>
    <n v="3"/>
    <s v="06-03-2026"/>
    <n v="11745"/>
    <s v="1104-01"/>
    <n v="0"/>
    <n v="520000"/>
    <s v="Centralización recaudaciones marzo 2026 #3434 - #3434"/>
    <n v="-520000"/>
    <s v="Activo"/>
    <n v="-520000"/>
    <x v="9"/>
  </r>
  <r>
    <n v="2026"/>
    <n v="3"/>
    <s v="06-03-2026"/>
    <n v="11748"/>
    <s v="1104-01"/>
    <n v="0"/>
    <n v="331051"/>
    <s v="Centralización recaudaciones marzo 2026 #3437 - #3437"/>
    <n v="-331051"/>
    <s v="Activo"/>
    <n v="-331051"/>
    <x v="9"/>
  </r>
  <r>
    <n v="2026"/>
    <n v="3"/>
    <s v="06-03-2026"/>
    <n v="11776"/>
    <s v="1104-01"/>
    <n v="0"/>
    <n v="21990"/>
    <s v="Centralización recaudaciones marzo 2026 #3465 - #3465"/>
    <n v="-21990"/>
    <s v="Activo"/>
    <n v="-21990"/>
    <x v="9"/>
  </r>
  <r>
    <n v="2026"/>
    <n v="3"/>
    <s v="06-03-2026"/>
    <n v="11793"/>
    <s v="1104-01"/>
    <n v="0"/>
    <n v="40000"/>
    <s v="Centralización recaudaciones marzo 2026 #3482 - #3482"/>
    <n v="-40000"/>
    <s v="Activo"/>
    <n v="-40000"/>
    <x v="9"/>
  </r>
  <r>
    <n v="2026"/>
    <n v="3"/>
    <s v="09-03-2026"/>
    <n v="11124"/>
    <s v="1104-01"/>
    <n v="0"/>
    <n v="6704596"/>
    <s v="0966893109 abn crd db tran transba"/>
    <n v="-6704596"/>
    <s v="Activo"/>
    <n v="-6704596"/>
    <x v="9"/>
  </r>
  <r>
    <n v="2026"/>
    <n v="3"/>
    <s v="09-03-2026"/>
    <n v="11126"/>
    <s v="1104-01"/>
    <n v="0"/>
    <n v="417848"/>
    <s v="0761872877 transf. khipu spa"/>
    <n v="-417848"/>
    <s v="Activo"/>
    <n v="-417848"/>
    <x v="9"/>
  </r>
  <r>
    <n v="2026"/>
    <n v="3"/>
    <s v="09-03-2026"/>
    <n v="11169"/>
    <s v="1104-01"/>
    <n v="0"/>
    <n v="29990"/>
    <s v="Centralización recaudaciones marzo 2026 #3487 - #3487"/>
    <n v="-29990"/>
    <s v="Activo"/>
    <n v="-29990"/>
    <x v="9"/>
  </r>
  <r>
    <n v="2026"/>
    <n v="3"/>
    <s v="09-03-2026"/>
    <n v="11172"/>
    <s v="1104-01"/>
    <n v="0"/>
    <n v="29990"/>
    <s v="Centralización recaudaciones marzo 2026 #2865 - #2865"/>
    <n v="-29990"/>
    <s v="Activo"/>
    <n v="-29990"/>
    <x v="9"/>
  </r>
  <r>
    <n v="2026"/>
    <n v="3"/>
    <s v="09-03-2026"/>
    <n v="11279"/>
    <s v="1104-01"/>
    <n v="0"/>
    <n v="497196"/>
    <s v="Centralización recaudaciones marzo 2026 #2969 - #2969"/>
    <n v="-497196"/>
    <s v="Activo"/>
    <n v="-497196"/>
    <x v="9"/>
  </r>
  <r>
    <n v="2026"/>
    <n v="3"/>
    <s v="09-03-2026"/>
    <n v="11286"/>
    <s v="1104-01"/>
    <n v="0"/>
    <n v="59990"/>
    <s v="Centralización recaudaciones marzo 2026 #2976 - #2976"/>
    <n v="-59990"/>
    <s v="Activo"/>
    <n v="-59990"/>
    <x v="9"/>
  </r>
  <r>
    <n v="2026"/>
    <n v="3"/>
    <s v="09-03-2026"/>
    <n v="11306"/>
    <s v="1104-01"/>
    <n v="0"/>
    <n v="28990"/>
    <s v="Centralización recaudaciones marzo 2026 #2996 - #2996"/>
    <n v="-28990"/>
    <s v="Activo"/>
    <n v="-28990"/>
    <x v="9"/>
  </r>
  <r>
    <n v="2026"/>
    <n v="3"/>
    <s v="09-03-2026"/>
    <n v="11347"/>
    <s v="1104-01"/>
    <n v="0"/>
    <n v="43990"/>
    <s v="Centralización recaudaciones marzo 2026 #3037 - #3037"/>
    <n v="-43990"/>
    <s v="Activo"/>
    <n v="-43990"/>
    <x v="9"/>
  </r>
  <r>
    <n v="2026"/>
    <n v="3"/>
    <s v="09-03-2026"/>
    <n v="11375"/>
    <s v="1104-01"/>
    <n v="0"/>
    <n v="425637"/>
    <s v="Centralización recaudaciones marzo 2026 #3065 - #3065"/>
    <n v="-425637"/>
    <s v="Activo"/>
    <n v="-425637"/>
    <x v="9"/>
  </r>
  <r>
    <n v="2026"/>
    <n v="3"/>
    <s v="09-03-2026"/>
    <n v="11385"/>
    <s v="1104-01"/>
    <n v="0"/>
    <n v="45620"/>
    <s v="Centralización recaudaciones marzo 2026 #3075 - #3075"/>
    <n v="-45620"/>
    <s v="Activo"/>
    <n v="-45620"/>
    <x v="9"/>
  </r>
  <r>
    <n v="2026"/>
    <n v="3"/>
    <s v="09-03-2026"/>
    <n v="11438"/>
    <s v="1104-01"/>
    <n v="0"/>
    <n v="32990"/>
    <s v="Centralización recaudaciones marzo 2026 #3128 - #3128"/>
    <n v="-32990"/>
    <s v="Activo"/>
    <n v="-32990"/>
    <x v="9"/>
  </r>
  <r>
    <n v="2026"/>
    <n v="3"/>
    <s v="09-03-2026"/>
    <n v="11489"/>
    <s v="1104-01"/>
    <n v="0"/>
    <n v="54990"/>
    <s v="Centralización recaudaciones marzo 2026 #3179 - #3179"/>
    <n v="-54990"/>
    <s v="Activo"/>
    <n v="-54990"/>
    <x v="9"/>
  </r>
  <r>
    <n v="2026"/>
    <n v="3"/>
    <s v="09-03-2026"/>
    <n v="11534"/>
    <s v="1104-01"/>
    <n v="0"/>
    <n v="29990"/>
    <s v="Centralización recaudaciones marzo 2026 #3224 - #3224"/>
    <n v="-29990"/>
    <s v="Activo"/>
    <n v="-29990"/>
    <x v="9"/>
  </r>
  <r>
    <n v="2026"/>
    <n v="3"/>
    <s v="09-03-2026"/>
    <n v="11553"/>
    <s v="1104-01"/>
    <n v="0"/>
    <n v="29990"/>
    <s v="Centralización recaudaciones marzo 2026 #3243 - #3243"/>
    <n v="-29990"/>
    <s v="Activo"/>
    <n v="-29990"/>
    <x v="9"/>
  </r>
  <r>
    <n v="2026"/>
    <n v="3"/>
    <s v="09-03-2026"/>
    <n v="11561"/>
    <s v="1104-01"/>
    <n v="0"/>
    <n v="1958"/>
    <s v="Centralización recaudaciones marzo 2026 #3251 - #3251"/>
    <n v="-1958"/>
    <s v="Activo"/>
    <n v="-1958"/>
    <x v="9"/>
  </r>
  <r>
    <n v="2026"/>
    <n v="3"/>
    <s v="09-03-2026"/>
    <n v="11573"/>
    <s v="1104-01"/>
    <n v="0"/>
    <n v="41"/>
    <s v="Centralización recaudaciones marzo 2026 #3263 - #3263"/>
    <n v="-41"/>
    <s v="Activo"/>
    <n v="-41"/>
    <x v="9"/>
  </r>
  <r>
    <n v="2026"/>
    <n v="3"/>
    <s v="09-03-2026"/>
    <n v="11585"/>
    <s v="1104-01"/>
    <n v="0"/>
    <n v="15079"/>
    <s v="Centralización recaudaciones marzo 2026 #3275 - #3275"/>
    <n v="-15079"/>
    <s v="Activo"/>
    <n v="-15079"/>
    <x v="9"/>
  </r>
  <r>
    <n v="2026"/>
    <n v="3"/>
    <s v="09-03-2026"/>
    <n v="11597"/>
    <s v="1104-01"/>
    <n v="0"/>
    <n v="50000"/>
    <s v="Centralización recaudaciones marzo 2026 #3287 - #3287"/>
    <n v="-50000"/>
    <s v="Activo"/>
    <n v="-50000"/>
    <x v="9"/>
  </r>
  <r>
    <n v="2026"/>
    <n v="3"/>
    <s v="09-03-2026"/>
    <n v="11603"/>
    <s v="1104-01"/>
    <n v="0"/>
    <n v="32980"/>
    <s v="Centralización recaudaciones marzo 2026 #3293 - #3293"/>
    <n v="-32980"/>
    <s v="Activo"/>
    <n v="-32980"/>
    <x v="9"/>
  </r>
  <r>
    <n v="2026"/>
    <n v="3"/>
    <s v="09-03-2026"/>
    <n v="11614"/>
    <s v="1104-01"/>
    <n v="0"/>
    <n v="803980"/>
    <s v="Centralización recaudaciones marzo 2026 #3304 - #3304"/>
    <n v="-803980"/>
    <s v="Activo"/>
    <n v="-803980"/>
    <x v="9"/>
  </r>
  <r>
    <n v="2026"/>
    <n v="3"/>
    <s v="09-03-2026"/>
    <n v="11645"/>
    <s v="1104-01"/>
    <n v="0"/>
    <n v="40000"/>
    <s v="Centralización recaudaciones marzo 2026 #3335 - #3335"/>
    <n v="-40000"/>
    <s v="Activo"/>
    <n v="-40000"/>
    <x v="9"/>
  </r>
  <r>
    <n v="2026"/>
    <n v="3"/>
    <s v="09-03-2026"/>
    <n v="11676"/>
    <s v="1104-01"/>
    <n v="0"/>
    <n v="111399"/>
    <s v="Centralización recaudaciones marzo 2026 #3365 - #3365"/>
    <n v="-111399"/>
    <s v="Activo"/>
    <n v="-111399"/>
    <x v="9"/>
  </r>
  <r>
    <n v="2026"/>
    <n v="3"/>
    <s v="09-03-2026"/>
    <n v="11711"/>
    <s v="1104-01"/>
    <n v="0"/>
    <n v="59980"/>
    <s v="Centralización recaudaciones marzo 2026 #3400 - #3400"/>
    <n v="-59980"/>
    <s v="Activo"/>
    <n v="-59980"/>
    <x v="9"/>
  </r>
  <r>
    <n v="2026"/>
    <n v="3"/>
    <s v="09-03-2026"/>
    <n v="11726"/>
    <s v="1104-01"/>
    <n v="0"/>
    <n v="21990"/>
    <s v="Centralización recaudaciones marzo 2026 #3415 - #3415"/>
    <n v="-21990"/>
    <s v="Activo"/>
    <n v="-21990"/>
    <x v="9"/>
  </r>
  <r>
    <n v="2026"/>
    <n v="3"/>
    <s v="09-03-2026"/>
    <n v="11735"/>
    <s v="1104-01"/>
    <n v="0"/>
    <n v="990"/>
    <s v="Centralización recaudaciones marzo 2026 #3424 - #3424"/>
    <n v="-990"/>
    <s v="Activo"/>
    <n v="-990"/>
    <x v="9"/>
  </r>
  <r>
    <n v="2026"/>
    <n v="3"/>
    <s v="09-03-2026"/>
    <n v="11766"/>
    <s v="1104-01"/>
    <n v="0"/>
    <n v="20"/>
    <s v="Centralización recaudaciones marzo 2026 #3455 - #3455"/>
    <n v="-20"/>
    <s v="Activo"/>
    <n v="-20"/>
    <x v="9"/>
  </r>
  <r>
    <n v="2026"/>
    <n v="3"/>
    <s v="10-03-2026"/>
    <n v="11127"/>
    <s v="1104-01"/>
    <n v="0"/>
    <n v="5565081"/>
    <s v="0966893109 abn crd db tran transba"/>
    <n v="-5565081"/>
    <s v="Activo"/>
    <n v="-5565081"/>
    <x v="9"/>
  </r>
  <r>
    <n v="2026"/>
    <n v="3"/>
    <s v="10-03-2026"/>
    <n v="11128"/>
    <s v="1104-01"/>
    <n v="0"/>
    <n v="57290"/>
    <s v="0761872877 transf. khipu spa"/>
    <n v="-57290"/>
    <s v="Activo"/>
    <n v="-57290"/>
    <x v="9"/>
  </r>
  <r>
    <n v="2026"/>
    <n v="3"/>
    <s v="10-03-2026"/>
    <n v="11287"/>
    <s v="1104-01"/>
    <n v="0"/>
    <n v="51000"/>
    <s v="Centralización recaudaciones marzo 2026 #2977 - #2977"/>
    <n v="-51000"/>
    <s v="Activo"/>
    <n v="-51000"/>
    <x v="9"/>
  </r>
  <r>
    <n v="2026"/>
    <n v="3"/>
    <s v="10-03-2026"/>
    <n v="11300"/>
    <s v="1104-01"/>
    <n v="0"/>
    <n v="59980"/>
    <s v="Centralización recaudaciones marzo 2026 #2990 - #2990"/>
    <n v="-59980"/>
    <s v="Activo"/>
    <n v="-59980"/>
    <x v="9"/>
  </r>
  <r>
    <n v="2026"/>
    <n v="3"/>
    <s v="10-03-2026"/>
    <n v="11465"/>
    <s v="1104-01"/>
    <n v="0"/>
    <n v="29930"/>
    <s v="Centralización recaudaciones marzo 2026 #3155 - #3155"/>
    <n v="-29930"/>
    <s v="Activo"/>
    <n v="-29930"/>
    <x v="9"/>
  </r>
  <r>
    <n v="2026"/>
    <n v="3"/>
    <s v="10-03-2026"/>
    <n v="11616"/>
    <s v="1104-01"/>
    <n v="0"/>
    <n v="1554071"/>
    <s v="Centralización recaudaciones marzo 2026 #3306 - #3306"/>
    <n v="-1554071"/>
    <s v="Activo"/>
    <n v="-1554071"/>
    <x v="9"/>
  </r>
  <r>
    <n v="2026"/>
    <n v="3"/>
    <s v="10-03-2026"/>
    <n v="11648"/>
    <s v="1104-01"/>
    <n v="0"/>
    <n v="34000"/>
    <s v="Centralización recaudaciones marzo 2026 #3338 - #3338"/>
    <n v="-34000"/>
    <s v="Activo"/>
    <n v="-34000"/>
    <x v="9"/>
  </r>
  <r>
    <n v="2026"/>
    <n v="3"/>
    <s v="10-03-2026"/>
    <n v="11767"/>
    <s v="1104-01"/>
    <n v="0"/>
    <n v="20"/>
    <s v="Centralización recaudaciones marzo 2026 #3456 - #3456"/>
    <n v="-20"/>
    <s v="Activo"/>
    <n v="-20"/>
    <x v="9"/>
  </r>
  <r>
    <n v="2026"/>
    <n v="3"/>
    <s v="11-03-2026"/>
    <n v="11129"/>
    <s v="1104-01"/>
    <n v="0"/>
    <n v="2862490"/>
    <s v="0966893109 abn crd db tran transba"/>
    <n v="-2862490"/>
    <s v="Activo"/>
    <n v="-2862490"/>
    <x v="9"/>
  </r>
  <r>
    <n v="2026"/>
    <n v="3"/>
    <s v="11-03-2026"/>
    <n v="11130"/>
    <s v="1104-01"/>
    <n v="0"/>
    <n v="111278"/>
    <s v="0761872877 transf. khipu spa"/>
    <n v="-111278"/>
    <s v="Activo"/>
    <n v="-111278"/>
    <x v="9"/>
  </r>
  <r>
    <n v="2026"/>
    <n v="3"/>
    <s v="11-03-2026"/>
    <n v="11231"/>
    <s v="1104-01"/>
    <n v="0"/>
    <n v="70000"/>
    <s v="Centralización recaudaciones marzo 2026 #2919 - #2919"/>
    <n v="-70000"/>
    <s v="Activo"/>
    <n v="-70000"/>
    <x v="9"/>
  </r>
  <r>
    <n v="2026"/>
    <n v="3"/>
    <s v="11-03-2026"/>
    <n v="11244"/>
    <s v="1104-01"/>
    <n v="0"/>
    <n v="32990"/>
    <s v="Centralización recaudaciones marzo 2026 #2934 - #2934"/>
    <n v="-32990"/>
    <s v="Activo"/>
    <n v="-32990"/>
    <x v="9"/>
  </r>
  <r>
    <n v="2026"/>
    <n v="3"/>
    <s v="11-03-2026"/>
    <n v="11288"/>
    <s v="1104-01"/>
    <n v="0"/>
    <n v="991"/>
    <s v="Centralización recaudaciones marzo 2026 #2978 - #2978"/>
    <n v="-991"/>
    <s v="Activo"/>
    <n v="-991"/>
    <x v="9"/>
  </r>
  <r>
    <n v="2026"/>
    <n v="3"/>
    <s v="11-03-2026"/>
    <n v="11310"/>
    <s v="1104-01"/>
    <n v="0"/>
    <n v="38990"/>
    <s v="Centralización recaudaciones marzo 2026 #3000 - #3000"/>
    <n v="-38990"/>
    <s v="Activo"/>
    <n v="-38990"/>
    <x v="9"/>
  </r>
  <r>
    <n v="2026"/>
    <n v="3"/>
    <s v="11-03-2026"/>
    <n v="11335"/>
    <s v="1104-01"/>
    <n v="0"/>
    <n v="59980"/>
    <s v="Centralización recaudaciones marzo 2026 #3025 - #3025"/>
    <n v="-59980"/>
    <s v="Activo"/>
    <n v="-59980"/>
    <x v="9"/>
  </r>
  <r>
    <n v="2026"/>
    <n v="3"/>
    <s v="11-03-2026"/>
    <n v="11350"/>
    <s v="1104-01"/>
    <n v="0"/>
    <n v="50000"/>
    <s v="Centralización recaudaciones marzo 2026 #3040 - #3040"/>
    <n v="-50000"/>
    <s v="Activo"/>
    <n v="-50000"/>
    <x v="9"/>
  </r>
  <r>
    <n v="2026"/>
    <n v="3"/>
    <s v="11-03-2026"/>
    <n v="11376"/>
    <s v="1104-01"/>
    <n v="0"/>
    <n v="27990"/>
    <s v="Centralización recaudaciones marzo 2026 #3066 - #3066"/>
    <n v="-27990"/>
    <s v="Activo"/>
    <n v="-27990"/>
    <x v="9"/>
  </r>
  <r>
    <n v="2026"/>
    <n v="3"/>
    <s v="11-03-2026"/>
    <n v="11392"/>
    <s v="1104-01"/>
    <n v="0"/>
    <n v="283758"/>
    <s v="Centralización recaudaciones marzo 2026 #3082 - #3082"/>
    <n v="-283758"/>
    <s v="Activo"/>
    <n v="-283758"/>
    <x v="9"/>
  </r>
  <r>
    <n v="2026"/>
    <n v="3"/>
    <s v="11-03-2026"/>
    <n v="11411"/>
    <s v="1104-01"/>
    <n v="0"/>
    <n v="28990"/>
    <s v="Centralización recaudaciones marzo 2026 #3101 - #3101"/>
    <n v="-28990"/>
    <s v="Activo"/>
    <n v="-28990"/>
    <x v="9"/>
  </r>
  <r>
    <n v="2026"/>
    <n v="3"/>
    <s v="11-03-2026"/>
    <n v="11458"/>
    <s v="1104-01"/>
    <n v="0"/>
    <n v="28000"/>
    <s v="Centralización recaudaciones marzo 2026 #3148 - #3148"/>
    <n v="-28000"/>
    <s v="Activo"/>
    <n v="-28000"/>
    <x v="9"/>
  </r>
  <r>
    <n v="2026"/>
    <n v="3"/>
    <s v="11-03-2026"/>
    <n v="11466"/>
    <s v="1104-01"/>
    <n v="0"/>
    <n v="50"/>
    <s v="Centralización recaudaciones marzo 2026 #3156 - #3156"/>
    <n v="-50"/>
    <s v="Activo"/>
    <n v="-50"/>
    <x v="9"/>
  </r>
  <r>
    <n v="2026"/>
    <n v="3"/>
    <s v="11-03-2026"/>
    <n v="11507"/>
    <s v="1104-01"/>
    <n v="0"/>
    <n v="28990"/>
    <s v="Centralización recaudaciones marzo 2026 #3197 - #3197"/>
    <n v="-28990"/>
    <s v="Activo"/>
    <n v="-28990"/>
    <x v="9"/>
  </r>
  <r>
    <n v="2026"/>
    <n v="3"/>
    <s v="11-03-2026"/>
    <n v="11526"/>
    <s v="1104-01"/>
    <n v="0"/>
    <n v="24990"/>
    <s v="Centralización recaudaciones marzo 2026 #3216 - #3216"/>
    <n v="-24990"/>
    <s v="Activo"/>
    <n v="-24990"/>
    <x v="9"/>
  </r>
  <r>
    <n v="2026"/>
    <n v="3"/>
    <s v="11-03-2026"/>
    <n v="11527"/>
    <s v="1104-01"/>
    <n v="0"/>
    <n v="40000"/>
    <s v="Centralización recaudaciones marzo 2026 #3217 - #3217"/>
    <n v="-40000"/>
    <s v="Activo"/>
    <n v="-40000"/>
    <x v="9"/>
  </r>
  <r>
    <n v="2026"/>
    <n v="3"/>
    <s v="11-03-2026"/>
    <n v="11537"/>
    <s v="1104-01"/>
    <n v="0"/>
    <n v="21534"/>
    <s v="Centralización recaudaciones marzo 2026 #3227 - #3227"/>
    <n v="-21534"/>
    <s v="Activo"/>
    <n v="-21534"/>
    <x v="9"/>
  </r>
  <r>
    <n v="2026"/>
    <n v="3"/>
    <s v="11-03-2026"/>
    <n v="11559"/>
    <s v="1104-01"/>
    <n v="0"/>
    <n v="35000"/>
    <s v="Centralización recaudaciones marzo 2026 #3249 - #3249"/>
    <n v="-35000"/>
    <s v="Activo"/>
    <n v="-35000"/>
    <x v="9"/>
  </r>
  <r>
    <n v="2026"/>
    <n v="3"/>
    <s v="11-03-2026"/>
    <n v="11562"/>
    <s v="1104-01"/>
    <n v="0"/>
    <n v="13282"/>
    <s v="Centralización recaudaciones marzo 2026 #3252 - #3252"/>
    <n v="-13282"/>
    <s v="Activo"/>
    <n v="-13282"/>
    <x v="9"/>
  </r>
  <r>
    <n v="2026"/>
    <n v="3"/>
    <s v="11-03-2026"/>
    <n v="11608"/>
    <s v="1104-01"/>
    <n v="0"/>
    <n v="28990"/>
    <s v="Centralización recaudaciones marzo 2026 #3298 - #3298"/>
    <n v="-28990"/>
    <s v="Activo"/>
    <n v="-28990"/>
    <x v="9"/>
  </r>
  <r>
    <n v="2026"/>
    <n v="3"/>
    <s v="11-03-2026"/>
    <n v="11629"/>
    <s v="1104-01"/>
    <n v="0"/>
    <n v="32990"/>
    <s v="Centralización recaudaciones marzo 2026 #3319 - #3319"/>
    <n v="-32990"/>
    <s v="Activo"/>
    <n v="-32990"/>
    <x v="9"/>
  </r>
  <r>
    <n v="2026"/>
    <n v="3"/>
    <s v="11-03-2026"/>
    <n v="11635"/>
    <s v="1104-01"/>
    <n v="0"/>
    <n v="29738"/>
    <s v="Centralización recaudaciones marzo 2026 #3325 - #3325"/>
    <n v="-29738"/>
    <s v="Activo"/>
    <n v="-29738"/>
    <x v="9"/>
  </r>
  <r>
    <n v="2026"/>
    <n v="3"/>
    <s v="11-03-2026"/>
    <n v="11649"/>
    <s v="1104-01"/>
    <n v="0"/>
    <n v="1000"/>
    <s v="Centralización recaudaciones marzo 2026 #3339 - #3339"/>
    <n v="-1000"/>
    <s v="Activo"/>
    <n v="-1000"/>
    <x v="9"/>
  </r>
  <r>
    <n v="2026"/>
    <n v="3"/>
    <s v="11-03-2026"/>
    <n v="11658"/>
    <s v="1104-01"/>
    <n v="0"/>
    <n v="21990"/>
    <s v="Centralización recaudaciones marzo 2026 #3348 - #3348"/>
    <n v="-21990"/>
    <s v="Activo"/>
    <n v="-21990"/>
    <x v="9"/>
  </r>
  <r>
    <n v="2026"/>
    <n v="3"/>
    <s v="11-03-2026"/>
    <n v="11702"/>
    <s v="1104-01"/>
    <n v="0"/>
    <n v="29738"/>
    <s v="Centralización recaudaciones marzo 2026 #3391 - #3391"/>
    <n v="-29738"/>
    <s v="Activo"/>
    <n v="-29738"/>
    <x v="9"/>
  </r>
  <r>
    <n v="2026"/>
    <n v="3"/>
    <s v="11-03-2026"/>
    <n v="11718"/>
    <s v="1104-01"/>
    <n v="0"/>
    <n v="20970"/>
    <s v="Centralización recaudaciones marzo 2026 #3407 - #3407"/>
    <n v="-20970"/>
    <s v="Activo"/>
    <n v="-20970"/>
    <x v="9"/>
  </r>
  <r>
    <n v="2026"/>
    <n v="3"/>
    <s v="11-03-2026"/>
    <n v="11722"/>
    <s v="1104-01"/>
    <n v="0"/>
    <n v="131"/>
    <s v="Centralización recaudaciones marzo 2026 #3411 - #3411"/>
    <n v="-131"/>
    <s v="Activo"/>
    <n v="-131"/>
    <x v="9"/>
  </r>
  <r>
    <n v="2026"/>
    <n v="3"/>
    <s v="11-03-2026"/>
    <n v="11752"/>
    <s v="1104-01"/>
    <n v="0"/>
    <n v="21990"/>
    <s v="Centralización recaudaciones marzo 2026 #3441 - #3441"/>
    <n v="-21990"/>
    <s v="Activo"/>
    <n v="-21990"/>
    <x v="9"/>
  </r>
  <r>
    <n v="2026"/>
    <n v="3"/>
    <s v="11-03-2026"/>
    <n v="11758"/>
    <s v="1104-01"/>
    <n v="0"/>
    <n v="40000"/>
    <s v="Centralización recaudaciones marzo 2026 #3447 - #3447"/>
    <n v="-40000"/>
    <s v="Activo"/>
    <n v="-40000"/>
    <x v="9"/>
  </r>
  <r>
    <n v="2026"/>
    <n v="3"/>
    <s v="11-03-2026"/>
    <n v="11768"/>
    <s v="1104-01"/>
    <n v="0"/>
    <n v="14990"/>
    <s v="Centralización recaudaciones marzo 2026 #3457 - #3457"/>
    <n v="-14990"/>
    <s v="Activo"/>
    <n v="-14990"/>
    <x v="9"/>
  </r>
  <r>
    <n v="2026"/>
    <n v="3"/>
    <s v="12-03-2026"/>
    <n v="11131"/>
    <s v="1104-01"/>
    <n v="0"/>
    <n v="9116622"/>
    <s v="0966893109 abn crd db tran transba"/>
    <n v="-9116622"/>
    <s v="Activo"/>
    <n v="-9116622"/>
    <x v="9"/>
  </r>
  <r>
    <n v="2026"/>
    <n v="3"/>
    <s v="12-03-2026"/>
    <n v="11132"/>
    <s v="1104-01"/>
    <n v="0"/>
    <n v="1118682"/>
    <s v="0761872877 transf. khipu spa"/>
    <n v="-1118682"/>
    <s v="Activo"/>
    <n v="-1118682"/>
    <x v="9"/>
  </r>
  <r>
    <n v="2026"/>
    <n v="3"/>
    <s v="12-03-2026"/>
    <n v="11206"/>
    <s v="1104-01"/>
    <n v="0"/>
    <n v="30000"/>
    <s v="Centralización recaudaciones marzo 2026 #2894 - #2894"/>
    <n v="-30000"/>
    <s v="Activo"/>
    <n v="-30000"/>
    <x v="9"/>
  </r>
  <r>
    <n v="2026"/>
    <n v="3"/>
    <s v="12-03-2026"/>
    <n v="11211"/>
    <s v="1104-01"/>
    <n v="0"/>
    <n v="49990"/>
    <s v="Centralización recaudaciones marzo 2026 #2899 - #2899"/>
    <n v="-49990"/>
    <s v="Activo"/>
    <n v="-49990"/>
    <x v="9"/>
  </r>
  <r>
    <n v="2026"/>
    <n v="3"/>
    <s v="12-03-2026"/>
    <n v="11352"/>
    <s v="1104-01"/>
    <n v="0"/>
    <n v="31000"/>
    <s v="Centralización recaudaciones marzo 2026 #3042 - #3042"/>
    <n v="-31000"/>
    <s v="Activo"/>
    <n v="-31000"/>
    <x v="9"/>
  </r>
  <r>
    <n v="2026"/>
    <n v="3"/>
    <s v="12-03-2026"/>
    <n v="11361"/>
    <s v="1104-01"/>
    <n v="0"/>
    <n v="28990"/>
    <s v="Centralización recaudaciones marzo 2026 #3051 - #3051"/>
    <n v="-28990"/>
    <s v="Activo"/>
    <n v="-28990"/>
    <x v="9"/>
  </r>
  <r>
    <n v="2026"/>
    <n v="3"/>
    <s v="12-03-2026"/>
    <n v="11403"/>
    <s v="1104-01"/>
    <n v="0"/>
    <n v="30000"/>
    <s v="Centralización recaudaciones marzo 2026 #3093 - #3093"/>
    <n v="-30000"/>
    <s v="Activo"/>
    <n v="-30000"/>
    <x v="9"/>
  </r>
  <r>
    <n v="2026"/>
    <n v="3"/>
    <s v="12-03-2026"/>
    <n v="11437"/>
    <s v="1104-01"/>
    <n v="0"/>
    <n v="21990"/>
    <s v="Centralización recaudaciones marzo 2026 #3127 - #3127"/>
    <n v="-21990"/>
    <s v="Activo"/>
    <n v="-21990"/>
    <x v="9"/>
  </r>
  <r>
    <n v="2026"/>
    <n v="3"/>
    <s v="12-03-2026"/>
    <n v="11538"/>
    <s v="1104-01"/>
    <n v="0"/>
    <n v="332"/>
    <s v="Centralización recaudaciones marzo 2026 #3228 - #3228"/>
    <n v="-332"/>
    <s v="Activo"/>
    <n v="-332"/>
    <x v="9"/>
  </r>
  <r>
    <n v="2026"/>
    <n v="3"/>
    <s v="12-03-2026"/>
    <n v="11554"/>
    <s v="1104-01"/>
    <n v="0"/>
    <n v="14990"/>
    <s v="Centralización recaudaciones marzo 2026 #3244 - #3244"/>
    <n v="-14990"/>
    <s v="Activo"/>
    <n v="-14990"/>
    <x v="9"/>
  </r>
  <r>
    <n v="2026"/>
    <n v="3"/>
    <s v="12-03-2026"/>
    <n v="11563"/>
    <s v="1104-01"/>
    <n v="0"/>
    <n v="1010"/>
    <s v="Centralización recaudaciones marzo 2026 #3253 - #3253"/>
    <n v="-1010"/>
    <s v="Activo"/>
    <n v="-1010"/>
    <x v="9"/>
  </r>
  <r>
    <n v="2026"/>
    <n v="3"/>
    <s v="12-03-2026"/>
    <n v="11633"/>
    <s v="1104-01"/>
    <n v="0"/>
    <n v="46638"/>
    <s v="Centralización recaudaciones marzo 2026 #3323 - #3323"/>
    <n v="-46638"/>
    <s v="Activo"/>
    <n v="-46638"/>
    <x v="9"/>
  </r>
  <r>
    <n v="2026"/>
    <n v="3"/>
    <s v="12-03-2026"/>
    <n v="11650"/>
    <s v="1104-01"/>
    <n v="0"/>
    <n v="32990"/>
    <s v="Centralización recaudaciones marzo 2026 #3340 - #3340"/>
    <n v="-32990"/>
    <s v="Activo"/>
    <n v="-32990"/>
    <x v="9"/>
  </r>
  <r>
    <n v="2026"/>
    <n v="3"/>
    <s v="12-03-2026"/>
    <n v="11701"/>
    <s v="1104-01"/>
    <n v="0"/>
    <n v="28990"/>
    <s v="Centralización recaudaciones marzo 2026 #3390 - #3390"/>
    <n v="-28990"/>
    <s v="Activo"/>
    <n v="-28990"/>
    <x v="9"/>
  </r>
  <r>
    <n v="2026"/>
    <n v="3"/>
    <s v="12-03-2026"/>
    <n v="11706"/>
    <s v="1104-01"/>
    <n v="0"/>
    <n v="22000"/>
    <s v="Centralización recaudaciones marzo 2026 #3395 - #3395"/>
    <n v="-22000"/>
    <s v="Activo"/>
    <n v="-22000"/>
    <x v="9"/>
  </r>
  <r>
    <n v="2026"/>
    <n v="3"/>
    <s v="12-03-2026"/>
    <n v="11710"/>
    <s v="1104-01"/>
    <n v="0"/>
    <n v="28990"/>
    <s v="Centralización recaudaciones marzo 2026 #3399 - #3399"/>
    <n v="-28990"/>
    <s v="Activo"/>
    <n v="-28990"/>
    <x v="9"/>
  </r>
  <r>
    <n v="2026"/>
    <n v="3"/>
    <s v="12-03-2026"/>
    <n v="11723"/>
    <s v="1104-01"/>
    <n v="0"/>
    <n v="15000"/>
    <s v="Centralización recaudaciones marzo 2026 #3412 - #3412"/>
    <n v="-15000"/>
    <s v="Activo"/>
    <n v="-15000"/>
    <x v="9"/>
  </r>
  <r>
    <n v="2026"/>
    <n v="3"/>
    <s v="12-03-2026"/>
    <n v="11764"/>
    <s v="1104-01"/>
    <n v="0"/>
    <n v="29990"/>
    <s v="Centralización recaudaciones marzo 2026 #3453 - #3453"/>
    <n v="-29990"/>
    <s v="Activo"/>
    <n v="-29990"/>
    <x v="9"/>
  </r>
  <r>
    <n v="2026"/>
    <n v="3"/>
    <s v="13-03-2026"/>
    <n v="11133"/>
    <s v="1104-01"/>
    <n v="0"/>
    <n v="8626469"/>
    <s v="0966893109 abn crd db tran transba"/>
    <n v="-8626469"/>
    <s v="Activo"/>
    <n v="-8626469"/>
    <x v="9"/>
  </r>
  <r>
    <n v="2026"/>
    <n v="3"/>
    <s v="13-03-2026"/>
    <n v="11134"/>
    <s v="1104-01"/>
    <n v="0"/>
    <n v="102743"/>
    <s v="0761872877 transf. khipu spa"/>
    <n v="-102743"/>
    <s v="Activo"/>
    <n v="-102743"/>
    <x v="9"/>
  </r>
  <r>
    <n v="2026"/>
    <n v="3"/>
    <s v="13-03-2026"/>
    <n v="11396"/>
    <s v="1104-01"/>
    <n v="0"/>
    <n v="14990"/>
    <s v="Centralización recaudaciones marzo 2026 #3086 - #3086"/>
    <n v="-14990"/>
    <s v="Activo"/>
    <n v="-14990"/>
    <x v="9"/>
  </r>
  <r>
    <n v="2026"/>
    <n v="3"/>
    <s v="13-03-2026"/>
    <n v="11468"/>
    <s v="1104-01"/>
    <n v="0"/>
    <n v="30000"/>
    <s v="Centralización recaudaciones marzo 2026 #3158 - #3158"/>
    <n v="-30000"/>
    <s v="Activo"/>
    <n v="-30000"/>
    <x v="9"/>
  </r>
  <r>
    <n v="2026"/>
    <n v="3"/>
    <s v="16-03-2026"/>
    <n v="11135"/>
    <s v="1104-01"/>
    <n v="0"/>
    <n v="2478214"/>
    <s v="0966893109 abn crd db tran transba"/>
    <n v="-2478214"/>
    <s v="Activo"/>
    <n v="-2478214"/>
    <x v="9"/>
  </r>
  <r>
    <n v="2026"/>
    <n v="3"/>
    <s v="16-03-2026"/>
    <n v="11136"/>
    <s v="1104-01"/>
    <n v="0"/>
    <n v="162009"/>
    <s v="0761872877 transf. khipu spa"/>
    <n v="-162009"/>
    <s v="Activo"/>
    <n v="-162009"/>
    <x v="9"/>
  </r>
  <r>
    <n v="2026"/>
    <n v="3"/>
    <s v="16-03-2026"/>
    <n v="11269"/>
    <s v="1104-01"/>
    <n v="0"/>
    <n v="21990"/>
    <s v="Centralización recaudaciones marzo 2026 #2959 - #2959"/>
    <n v="-21990"/>
    <s v="Activo"/>
    <n v="-21990"/>
    <x v="9"/>
  </r>
  <r>
    <n v="2026"/>
    <n v="3"/>
    <s v="16-03-2026"/>
    <n v="11304"/>
    <s v="1104-01"/>
    <n v="0"/>
    <n v="163222"/>
    <s v="Centralización recaudaciones marzo 2026 #2994 - #2994"/>
    <n v="-163222"/>
    <s v="Activo"/>
    <n v="-163222"/>
    <x v="9"/>
  </r>
  <r>
    <n v="2026"/>
    <n v="3"/>
    <s v="16-03-2026"/>
    <n v="11397"/>
    <s v="1104-01"/>
    <n v="0"/>
    <n v="7000"/>
    <s v="Centralización recaudaciones marzo 2026 #3087 - #3087"/>
    <n v="-7000"/>
    <s v="Activo"/>
    <n v="-7000"/>
    <x v="9"/>
  </r>
  <r>
    <n v="2026"/>
    <n v="3"/>
    <s v="16-03-2026"/>
    <n v="11404"/>
    <s v="1104-01"/>
    <n v="0"/>
    <n v="990"/>
    <s v="Centralización recaudaciones marzo 2026 #3094 - #3094"/>
    <n v="-990"/>
    <s v="Activo"/>
    <n v="-990"/>
    <x v="9"/>
  </r>
  <r>
    <n v="2026"/>
    <n v="3"/>
    <s v="16-03-2026"/>
    <n v="11469"/>
    <s v="1104-01"/>
    <n v="0"/>
    <n v="1927"/>
    <s v="Centralización recaudaciones marzo 2026 #3159 - #3159"/>
    <n v="-1927"/>
    <s v="Activo"/>
    <n v="-1927"/>
    <x v="9"/>
  </r>
  <r>
    <n v="2026"/>
    <n v="3"/>
    <s v="16-03-2026"/>
    <n v="11491"/>
    <s v="1104-01"/>
    <n v="0"/>
    <n v="30000"/>
    <s v="Centralización recaudaciones marzo 2026 #3181 - #3181"/>
    <n v="-30000"/>
    <s v="Activo"/>
    <n v="-30000"/>
    <x v="9"/>
  </r>
  <r>
    <n v="2026"/>
    <n v="3"/>
    <s v="16-03-2026"/>
    <n v="11539"/>
    <s v="1104-01"/>
    <n v="0"/>
    <n v="124"/>
    <s v="Centralización recaudaciones marzo 2026 #3229 - #3229"/>
    <n v="-124"/>
    <s v="Activo"/>
    <n v="-124"/>
    <x v="9"/>
  </r>
  <r>
    <n v="2026"/>
    <n v="3"/>
    <s v="16-03-2026"/>
    <n v="11555"/>
    <s v="1104-01"/>
    <n v="0"/>
    <n v="7000"/>
    <s v="Centralización recaudaciones marzo 2026 #3245 - #3245"/>
    <n v="-7000"/>
    <s v="Activo"/>
    <n v="-7000"/>
    <x v="9"/>
  </r>
  <r>
    <n v="2026"/>
    <n v="3"/>
    <s v="16-03-2026"/>
    <n v="11564"/>
    <s v="1104-01"/>
    <n v="0"/>
    <n v="5740"/>
    <s v="Centralización recaudaciones marzo 2026 #3254 - #3254"/>
    <n v="-5740"/>
    <s v="Activo"/>
    <n v="-5740"/>
    <x v="9"/>
  </r>
  <r>
    <n v="2026"/>
    <n v="3"/>
    <s v="16-03-2026"/>
    <n v="11634"/>
    <s v="1104-01"/>
    <n v="0"/>
    <n v="27360"/>
    <s v="Centralización recaudaciones marzo 2026 #3324 - #3324"/>
    <n v="-27360"/>
    <s v="Activo"/>
    <n v="-27360"/>
    <x v="9"/>
  </r>
  <r>
    <n v="2026"/>
    <n v="3"/>
    <s v="16-03-2026"/>
    <n v="11719"/>
    <s v="1104-01"/>
    <n v="0"/>
    <n v="1020"/>
    <s v="Centralización recaudaciones marzo 2026 #3408 - #3408"/>
    <n v="-1020"/>
    <s v="Activo"/>
    <n v="-1020"/>
    <x v="9"/>
  </r>
  <r>
    <n v="2026"/>
    <n v="3"/>
    <s v="16-03-2026"/>
    <n v="11724"/>
    <s v="1104-01"/>
    <n v="0"/>
    <n v="6859"/>
    <s v="Centralización recaudaciones marzo 2026 #3413 - #3413"/>
    <n v="-6859"/>
    <s v="Activo"/>
    <n v="-6859"/>
    <x v="9"/>
  </r>
  <r>
    <n v="2026"/>
    <n v="3"/>
    <s v="16-03-2026"/>
    <n v="11765"/>
    <s v="1104-01"/>
    <n v="0"/>
    <n v="1980"/>
    <s v="Centralización recaudaciones marzo 2026 #3454 - #3454"/>
    <n v="-1980"/>
    <s v="Activo"/>
    <n v="-1980"/>
    <x v="9"/>
  </r>
  <r>
    <n v="2026"/>
    <n v="3"/>
    <s v="16-03-2026"/>
    <n v="11769"/>
    <s v="1104-01"/>
    <n v="0"/>
    <n v="6960"/>
    <s v="Centralización recaudaciones marzo 2026 #3458 - #3458"/>
    <n v="-6960"/>
    <s v="Activo"/>
    <n v="-6960"/>
    <x v="9"/>
  </r>
  <r>
    <n v="2026"/>
    <n v="3"/>
    <s v="17-03-2026"/>
    <n v="11137"/>
    <s v="1104-01"/>
    <n v="0"/>
    <n v="2595952"/>
    <s v="0966893109 abn crd db tran transba"/>
    <n v="-2595952"/>
    <s v="Activo"/>
    <n v="-2595952"/>
    <x v="9"/>
  </r>
  <r>
    <n v="2026"/>
    <n v="3"/>
    <s v="17-03-2026"/>
    <n v="11178"/>
    <s v="1104-01"/>
    <n v="0"/>
    <n v="40000"/>
    <s v="Centralización recaudaciones marzo 2026 #2867 - #2867"/>
    <n v="-40000"/>
    <s v="Activo"/>
    <n v="-40000"/>
    <x v="9"/>
  </r>
  <r>
    <n v="2026"/>
    <n v="3"/>
    <s v="17-03-2026"/>
    <n v="11203"/>
    <s v="1104-01"/>
    <n v="0"/>
    <n v="25990"/>
    <s v="Centralización recaudaciones marzo 2026 #2891 - #2891"/>
    <n v="-25990"/>
    <s v="Activo"/>
    <n v="-25990"/>
    <x v="9"/>
  </r>
  <r>
    <n v="2026"/>
    <n v="3"/>
    <s v="17-03-2026"/>
    <n v="11204"/>
    <s v="1104-01"/>
    <n v="0"/>
    <n v="120000"/>
    <s v="Centralización recaudaciones marzo 2026 #2892 - #2892"/>
    <n v="-120000"/>
    <s v="Activo"/>
    <n v="-120000"/>
    <x v="9"/>
  </r>
  <r>
    <n v="2026"/>
    <n v="3"/>
    <s v="17-03-2026"/>
    <n v="11276"/>
    <s v="1104-01"/>
    <n v="0"/>
    <n v="200000"/>
    <s v="Centralización recaudaciones marzo 2026 #2966 - #2966"/>
    <n v="-200000"/>
    <s v="Activo"/>
    <n v="-200000"/>
    <x v="9"/>
  </r>
  <r>
    <n v="2026"/>
    <n v="3"/>
    <s v="17-03-2026"/>
    <n v="11297"/>
    <s v="1104-01"/>
    <n v="0"/>
    <n v="31990"/>
    <s v="Centralización recaudaciones marzo 2026 #2987 - #2987"/>
    <n v="-31990"/>
    <s v="Activo"/>
    <n v="-31990"/>
    <x v="9"/>
  </r>
  <r>
    <n v="2026"/>
    <n v="3"/>
    <s v="17-03-2026"/>
    <n v="11307"/>
    <s v="1104-01"/>
    <n v="0"/>
    <n v="21990"/>
    <s v="Centralización recaudaciones marzo 2026 #2997 - #2997"/>
    <n v="-21990"/>
    <s v="Activo"/>
    <n v="-21990"/>
    <x v="9"/>
  </r>
  <r>
    <n v="2026"/>
    <n v="3"/>
    <s v="17-03-2026"/>
    <n v="11308"/>
    <s v="1104-01"/>
    <n v="0"/>
    <n v="134351"/>
    <s v="Centralización recaudaciones marzo 2026 #2998 - #2998"/>
    <n v="-134351"/>
    <s v="Activo"/>
    <n v="-134351"/>
    <x v="9"/>
  </r>
  <r>
    <n v="2026"/>
    <n v="3"/>
    <s v="17-03-2026"/>
    <n v="11358"/>
    <s v="1104-01"/>
    <n v="0"/>
    <n v="21990"/>
    <s v="Centralización recaudaciones marzo 2026 #3048 - #3048"/>
    <n v="-21990"/>
    <s v="Activo"/>
    <n v="-21990"/>
    <x v="9"/>
  </r>
  <r>
    <n v="2026"/>
    <n v="3"/>
    <s v="17-03-2026"/>
    <n v="11394"/>
    <s v="1104-01"/>
    <n v="0"/>
    <n v="40000"/>
    <s v="Centralización recaudaciones marzo 2026 #3084 - #3084"/>
    <n v="-40000"/>
    <s v="Activo"/>
    <n v="-40000"/>
    <x v="9"/>
  </r>
  <r>
    <n v="2026"/>
    <n v="3"/>
    <s v="17-03-2026"/>
    <n v="11408"/>
    <s v="1104-01"/>
    <n v="0"/>
    <n v="21990"/>
    <s v="Centralización recaudaciones marzo 2026 #3098 - #3098"/>
    <n v="-21990"/>
    <s v="Activo"/>
    <n v="-21990"/>
    <x v="9"/>
  </r>
  <r>
    <n v="2026"/>
    <n v="3"/>
    <s v="17-03-2026"/>
    <n v="11410"/>
    <s v="1104-01"/>
    <n v="0"/>
    <n v="31990"/>
    <s v="Centralización recaudaciones marzo 2026 #3100 - #3100"/>
    <n v="-31990"/>
    <s v="Activo"/>
    <n v="-31990"/>
    <x v="9"/>
  </r>
  <r>
    <n v="2026"/>
    <n v="3"/>
    <s v="17-03-2026"/>
    <n v="11415"/>
    <s v="1104-01"/>
    <n v="0"/>
    <n v="1990"/>
    <s v="Centralización recaudaciones marzo 2026 #3105 - #3105"/>
    <n v="-1990"/>
    <s v="Activo"/>
    <n v="-1990"/>
    <x v="9"/>
  </r>
  <r>
    <n v="2026"/>
    <n v="3"/>
    <s v="17-03-2026"/>
    <n v="11417"/>
    <s v="1104-01"/>
    <n v="0"/>
    <n v="31990"/>
    <s v="Centralización recaudaciones marzo 2026 #3107 - #3107"/>
    <n v="-31990"/>
    <s v="Activo"/>
    <n v="-31990"/>
    <x v="9"/>
  </r>
  <r>
    <n v="2026"/>
    <n v="3"/>
    <s v="17-03-2026"/>
    <n v="11462"/>
    <s v="1104-01"/>
    <n v="0"/>
    <n v="31990"/>
    <s v="Centralización recaudaciones marzo 2026 #3152 - #3152"/>
    <n v="-31990"/>
    <s v="Activo"/>
    <n v="-31990"/>
    <x v="9"/>
  </r>
  <r>
    <n v="2026"/>
    <n v="3"/>
    <s v="17-03-2026"/>
    <n v="11470"/>
    <s v="1104-01"/>
    <n v="0"/>
    <n v="63"/>
    <s v="Centralización recaudaciones marzo 2026 #3160 - #3160"/>
    <n v="-63"/>
    <s v="Activo"/>
    <n v="-63"/>
    <x v="9"/>
  </r>
  <r>
    <n v="2026"/>
    <n v="3"/>
    <s v="17-03-2026"/>
    <n v="11492"/>
    <s v="1104-01"/>
    <n v="0"/>
    <n v="1990"/>
    <s v="Centralización recaudaciones marzo 2026 #3182 - #3182"/>
    <n v="-1990"/>
    <s v="Activo"/>
    <n v="-1990"/>
    <x v="9"/>
  </r>
  <r>
    <n v="2026"/>
    <n v="3"/>
    <s v="17-03-2026"/>
    <n v="11565"/>
    <s v="1104-01"/>
    <n v="0"/>
    <n v="3007"/>
    <s v="Centralización recaudaciones marzo 2026 #3255 - #3255"/>
    <n v="-3007"/>
    <s v="Activo"/>
    <n v="-3007"/>
    <x v="9"/>
  </r>
  <r>
    <n v="2026"/>
    <n v="3"/>
    <s v="17-03-2026"/>
    <n v="11682"/>
    <s v="1104-01"/>
    <n v="0"/>
    <n v="16989"/>
    <s v="Centralización recaudaciones marzo 2026 #3371 - #3371"/>
    <n v="-16989"/>
    <s v="Activo"/>
    <n v="-16989"/>
    <x v="9"/>
  </r>
  <r>
    <n v="2026"/>
    <n v="3"/>
    <s v="18-03-2026"/>
    <n v="11140"/>
    <s v="1104-01"/>
    <n v="0"/>
    <n v="2053647"/>
    <s v="0966893109 abn crd db tran transba"/>
    <n v="-2053647"/>
    <s v="Activo"/>
    <n v="-2053647"/>
    <x v="9"/>
  </r>
  <r>
    <n v="2026"/>
    <n v="3"/>
    <s v="18-03-2026"/>
    <n v="11141"/>
    <s v="1104-01"/>
    <n v="0"/>
    <n v="428727"/>
    <s v="0761872877 transf. khipu spa"/>
    <n v="-428727"/>
    <s v="Activo"/>
    <n v="-428727"/>
    <x v="9"/>
  </r>
  <r>
    <n v="2026"/>
    <n v="3"/>
    <s v="18-03-2026"/>
    <n v="11249"/>
    <s v="1104-01"/>
    <n v="0"/>
    <n v="30000"/>
    <s v="Centralización recaudaciones marzo 2026 #2939 - #2939"/>
    <n v="-30000"/>
    <s v="Activo"/>
    <n v="-30000"/>
    <x v="9"/>
  </r>
  <r>
    <n v="2026"/>
    <n v="3"/>
    <s v="18-03-2026"/>
    <n v="11301"/>
    <s v="1104-01"/>
    <n v="0"/>
    <n v="43990"/>
    <s v="Centralización recaudaciones marzo 2026 #2991 - #2991"/>
    <n v="-43990"/>
    <s v="Activo"/>
    <n v="-43990"/>
    <x v="9"/>
  </r>
  <r>
    <n v="2026"/>
    <n v="3"/>
    <s v="18-03-2026"/>
    <n v="11334"/>
    <s v="1104-01"/>
    <n v="0"/>
    <n v="40000"/>
    <s v="Centralización recaudaciones marzo 2026 #3024 - #3024"/>
    <n v="-40000"/>
    <s v="Activo"/>
    <n v="-40000"/>
    <x v="9"/>
  </r>
  <r>
    <n v="2026"/>
    <n v="3"/>
    <s v="18-03-2026"/>
    <n v="11416"/>
    <s v="1104-01"/>
    <n v="0"/>
    <n v="30000"/>
    <s v="Centralización recaudaciones marzo 2026 #3106 - #3106"/>
    <n v="-30000"/>
    <s v="Activo"/>
    <n v="-30000"/>
    <x v="9"/>
  </r>
  <r>
    <n v="2026"/>
    <n v="3"/>
    <s v="18-03-2026"/>
    <n v="11586"/>
    <s v="1104-01"/>
    <n v="0"/>
    <n v="21990"/>
    <s v="Centralización recaudaciones marzo 2026 #3276 - #3276"/>
    <n v="-21990"/>
    <s v="Activo"/>
    <n v="-21990"/>
    <x v="9"/>
  </r>
  <r>
    <n v="2026"/>
    <n v="3"/>
    <s v="18-03-2026"/>
    <n v="11664"/>
    <s v="1104-01"/>
    <n v="0"/>
    <n v="46990"/>
    <s v="Centralización recaudaciones marzo 2026 #3354 - #3354"/>
    <n v="-46990"/>
    <s v="Activo"/>
    <n v="-46990"/>
    <x v="9"/>
  </r>
  <r>
    <n v="2026"/>
    <n v="3"/>
    <s v="19-03-2026"/>
    <n v="11142"/>
    <s v="1104-01"/>
    <n v="0"/>
    <n v="5324706"/>
    <s v="0966893109 abn crd db tran transba"/>
    <n v="-5324706"/>
    <s v="Activo"/>
    <n v="-5324706"/>
    <x v="9"/>
  </r>
  <r>
    <n v="2026"/>
    <n v="3"/>
    <s v="19-03-2026"/>
    <n v="11143"/>
    <s v="1104-01"/>
    <n v="0"/>
    <n v="287430"/>
    <s v="0761872877 transf. khipu spa"/>
    <n v="-287430"/>
    <s v="Activo"/>
    <n v="-287430"/>
    <x v="9"/>
  </r>
  <r>
    <n v="2026"/>
    <n v="3"/>
    <s v="19-03-2026"/>
    <n v="11250"/>
    <s v="1104-01"/>
    <n v="0"/>
    <n v="2000"/>
    <s v="Centralización recaudaciones marzo 2026 #2940 - #2940"/>
    <n v="-2000"/>
    <s v="Activo"/>
    <n v="-2000"/>
    <x v="9"/>
  </r>
  <r>
    <n v="2026"/>
    <n v="3"/>
    <s v="19-03-2026"/>
    <n v="11313"/>
    <s v="1104-01"/>
    <n v="0"/>
    <n v="32000"/>
    <s v="Centralización recaudaciones marzo 2026 #3003 - #3003"/>
    <n v="-32000"/>
    <s v="Activo"/>
    <n v="-32000"/>
    <x v="9"/>
  </r>
  <r>
    <n v="2026"/>
    <n v="3"/>
    <s v="19-03-2026"/>
    <n v="11371"/>
    <s v="1104-01"/>
    <n v="0"/>
    <n v="143000"/>
    <s v="Centralización recaudaciones marzo 2026 #3061 - #3061"/>
    <n v="-143000"/>
    <s v="Activo"/>
    <n v="-143000"/>
    <x v="9"/>
  </r>
  <r>
    <n v="2026"/>
    <n v="3"/>
    <s v="19-03-2026"/>
    <n v="11429"/>
    <s v="1104-01"/>
    <n v="0"/>
    <n v="38990"/>
    <s v="Centralización recaudaciones marzo 2026 #3119 - #3119"/>
    <n v="-38990"/>
    <s v="Activo"/>
    <n v="-38990"/>
    <x v="9"/>
  </r>
  <r>
    <n v="2026"/>
    <n v="3"/>
    <s v="19-03-2026"/>
    <n v="11443"/>
    <s v="1104-01"/>
    <n v="0"/>
    <n v="60980"/>
    <s v="Centralización recaudaciones marzo 2026 #3133 - #3133"/>
    <n v="-60980"/>
    <s v="Activo"/>
    <n v="-60980"/>
    <x v="9"/>
  </r>
  <r>
    <n v="2026"/>
    <n v="3"/>
    <s v="19-03-2026"/>
    <n v="11481"/>
    <s v="1104-01"/>
    <n v="0"/>
    <n v="27"/>
    <s v="Centralización recaudaciones marzo 2026 #3171 - #3171"/>
    <n v="-27"/>
    <s v="Activo"/>
    <n v="-27"/>
    <x v="9"/>
  </r>
  <r>
    <n v="2026"/>
    <n v="3"/>
    <s v="19-03-2026"/>
    <n v="11487"/>
    <s v="1104-01"/>
    <n v="0"/>
    <n v="43980"/>
    <s v="Centralización recaudaciones marzo 2026 #3177 - #3177"/>
    <n v="-43980"/>
    <s v="Activo"/>
    <n v="-43980"/>
    <x v="9"/>
  </r>
  <r>
    <n v="2026"/>
    <n v="3"/>
    <s v="19-03-2026"/>
    <n v="11566"/>
    <s v="1104-01"/>
    <n v="0"/>
    <n v="19983"/>
    <s v="Centralización recaudaciones marzo 2026 #3256 - #3256"/>
    <n v="-19983"/>
    <s v="Activo"/>
    <n v="-19983"/>
    <x v="9"/>
  </r>
  <r>
    <n v="2026"/>
    <n v="3"/>
    <s v="19-03-2026"/>
    <n v="11587"/>
    <s v="1104-01"/>
    <n v="0"/>
    <n v="876233"/>
    <s v="Centralización recaudaciones marzo 2026 #3277 - #3277"/>
    <n v="-876233"/>
    <s v="Activo"/>
    <n v="-876233"/>
    <x v="9"/>
  </r>
  <r>
    <n v="2026"/>
    <n v="3"/>
    <s v="19-03-2026"/>
    <n v="11662"/>
    <s v="1104-01"/>
    <n v="0"/>
    <n v="23790"/>
    <s v="Centralización recaudaciones marzo 2026 #3352 - #3352"/>
    <n v="-23790"/>
    <s v="Activo"/>
    <n v="-23790"/>
    <x v="9"/>
  </r>
  <r>
    <n v="2026"/>
    <n v="3"/>
    <s v="19-03-2026"/>
    <n v="11674"/>
    <s v="1104-01"/>
    <n v="0"/>
    <n v="32980"/>
    <s v="Centralización recaudaciones marzo 2026 #3363 - #3363"/>
    <n v="-32980"/>
    <s v="Activo"/>
    <n v="-32980"/>
    <x v="9"/>
  </r>
  <r>
    <n v="2026"/>
    <n v="3"/>
    <s v="19-03-2026"/>
    <n v="11696"/>
    <s v="1104-01"/>
    <n v="0"/>
    <n v="26170"/>
    <s v="Centralización recaudaciones marzo 2026 #3385 - #3385"/>
    <n v="-26170"/>
    <s v="Activo"/>
    <n v="-26170"/>
    <x v="9"/>
  </r>
  <r>
    <n v="2026"/>
    <n v="3"/>
    <s v="19-03-2026"/>
    <n v="11714"/>
    <s v="1104-01"/>
    <n v="0"/>
    <n v="30000"/>
    <s v="Centralización recaudaciones marzo 2026 #3403 - #3403"/>
    <n v="-30000"/>
    <s v="Activo"/>
    <n v="-30000"/>
    <x v="9"/>
  </r>
  <r>
    <n v="2026"/>
    <n v="3"/>
    <s v="19-03-2026"/>
    <n v="11784"/>
    <s v="1104-01"/>
    <n v="0"/>
    <n v="24000"/>
    <s v="Centralización recaudaciones marzo 2026 #3473 - #3473"/>
    <n v="-24000"/>
    <s v="Activo"/>
    <n v="-24000"/>
    <x v="9"/>
  </r>
  <r>
    <n v="2026"/>
    <n v="3"/>
    <s v="20-03-2026"/>
    <n v="11144"/>
    <s v="1104-01"/>
    <n v="0"/>
    <n v="3954639"/>
    <s v="0966893109 abn crd db tran transba"/>
    <n v="-3954639"/>
    <s v="Activo"/>
    <n v="-3954639"/>
    <x v="9"/>
  </r>
  <r>
    <n v="2026"/>
    <n v="3"/>
    <s v="20-03-2026"/>
    <n v="11146"/>
    <s v="1104-01"/>
    <n v="0"/>
    <n v="105707"/>
    <s v="0761872877 transf. khipu spa"/>
    <n v="-105707"/>
    <s v="Activo"/>
    <n v="-105707"/>
    <x v="9"/>
  </r>
  <r>
    <n v="2026"/>
    <n v="3"/>
    <s v="20-03-2026"/>
    <n v="11252"/>
    <s v="1104-01"/>
    <n v="0"/>
    <n v="25990"/>
    <s v="Centralización recaudaciones marzo 2026 #2942 - #2942"/>
    <n v="-25990"/>
    <s v="Activo"/>
    <n v="-25990"/>
    <x v="9"/>
  </r>
  <r>
    <n v="2026"/>
    <n v="3"/>
    <s v="20-03-2026"/>
    <n v="11253"/>
    <s v="1104-01"/>
    <n v="0"/>
    <n v="43990"/>
    <s v="Centralización recaudaciones marzo 2026 #2943 - #2943"/>
    <n v="-43990"/>
    <s v="Activo"/>
    <n v="-43990"/>
    <x v="9"/>
  </r>
  <r>
    <n v="2026"/>
    <n v="3"/>
    <s v="20-03-2026"/>
    <n v="11349"/>
    <s v="1104-01"/>
    <n v="0"/>
    <n v="26000"/>
    <s v="Centralización recaudaciones marzo 2026 #3039 - #3039"/>
    <n v="-26000"/>
    <s v="Activo"/>
    <n v="-26000"/>
    <x v="9"/>
  </r>
  <r>
    <n v="2026"/>
    <n v="3"/>
    <s v="20-03-2026"/>
    <n v="11482"/>
    <s v="1104-01"/>
    <n v="0"/>
    <n v="16000"/>
    <s v="Centralización recaudaciones marzo 2026 #3172 - #3172"/>
    <n v="-16000"/>
    <s v="Activo"/>
    <n v="-16000"/>
    <x v="9"/>
  </r>
  <r>
    <n v="2026"/>
    <n v="3"/>
    <s v="20-03-2026"/>
    <n v="11531"/>
    <s v="1104-01"/>
    <n v="0"/>
    <n v="49990"/>
    <s v="Centralización recaudaciones marzo 2026 #3221 - #3221"/>
    <n v="-49990"/>
    <s v="Activo"/>
    <n v="-49990"/>
    <x v="9"/>
  </r>
  <r>
    <n v="2026"/>
    <n v="3"/>
    <s v="20-03-2026"/>
    <n v="11579"/>
    <s v="1104-01"/>
    <n v="0"/>
    <n v="474116"/>
    <s v="Centralización recaudaciones marzo 2026 #3269 - #3269"/>
    <n v="-474116"/>
    <s v="Activo"/>
    <n v="-474116"/>
    <x v="9"/>
  </r>
  <r>
    <n v="2026"/>
    <n v="3"/>
    <s v="20-03-2026"/>
    <n v="11583"/>
    <s v="1104-01"/>
    <n v="0"/>
    <n v="32990"/>
    <s v="Centralización recaudaciones marzo 2026 #3273 - #3273"/>
    <n v="-32990"/>
    <s v="Activo"/>
    <n v="-32990"/>
    <x v="9"/>
  </r>
  <r>
    <n v="2026"/>
    <n v="3"/>
    <s v="20-03-2026"/>
    <n v="11593"/>
    <s v="1104-01"/>
    <n v="0"/>
    <n v="69590"/>
    <s v="Centralización recaudaciones marzo 2026 #3283 - #3283"/>
    <n v="-69590"/>
    <s v="Activo"/>
    <n v="-69590"/>
    <x v="9"/>
  </r>
  <r>
    <n v="2026"/>
    <n v="3"/>
    <s v="20-03-2026"/>
    <n v="11641"/>
    <s v="1104-01"/>
    <n v="0"/>
    <n v="65438"/>
    <s v="Centralización recaudaciones marzo 2026 #3331 - #3331"/>
    <n v="-65438"/>
    <s v="Activo"/>
    <n v="-65438"/>
    <x v="9"/>
  </r>
  <r>
    <n v="2026"/>
    <n v="3"/>
    <s v="20-03-2026"/>
    <n v="11680"/>
    <s v="1104-01"/>
    <n v="0"/>
    <n v="119250"/>
    <s v="Centralización recaudaciones marzo 2026 #3369 - #3369"/>
    <n v="-119250"/>
    <s v="Activo"/>
    <n v="-119250"/>
    <x v="9"/>
  </r>
  <r>
    <n v="2026"/>
    <n v="3"/>
    <s v="20-03-2026"/>
    <n v="11715"/>
    <s v="1104-01"/>
    <n v="0"/>
    <n v="1010"/>
    <s v="Centralización recaudaciones marzo 2026 #3404 - #3404"/>
    <n v="-1010"/>
    <s v="Activo"/>
    <n v="-1010"/>
    <x v="9"/>
  </r>
  <r>
    <n v="2026"/>
    <n v="3"/>
    <s v="20-03-2026"/>
    <n v="11781"/>
    <s v="1104-01"/>
    <n v="0"/>
    <n v="33990"/>
    <s v="Centralización recaudaciones marzo 2026 #3470 - #3470"/>
    <n v="-33990"/>
    <s v="Activo"/>
    <n v="-33990"/>
    <x v="9"/>
  </r>
  <r>
    <n v="2026"/>
    <n v="3"/>
    <s v="20-03-2026"/>
    <n v="11794"/>
    <s v="1104-01"/>
    <n v="0"/>
    <n v="24730"/>
    <s v="Centralización recaudaciones marzo 2026 #3483 - #3483"/>
    <n v="-24730"/>
    <s v="Activo"/>
    <n v="-24730"/>
    <x v="9"/>
  </r>
  <r>
    <n v="2026"/>
    <n v="3"/>
    <s v="23-03-2026"/>
    <n v="11147"/>
    <s v="1104-01"/>
    <n v="0"/>
    <n v="3697841"/>
    <s v="0966893109 abn crd db tran transba"/>
    <n v="-3697841"/>
    <s v="Activo"/>
    <n v="-3697841"/>
    <x v="9"/>
  </r>
  <r>
    <n v="2026"/>
    <n v="3"/>
    <s v="23-03-2026"/>
    <n v="11149"/>
    <s v="1104-01"/>
    <n v="0"/>
    <n v="270482"/>
    <s v="0761872877 transf. khipu spa"/>
    <n v="-270482"/>
    <s v="Activo"/>
    <n v="-270482"/>
    <x v="9"/>
  </r>
  <r>
    <n v="2026"/>
    <n v="3"/>
    <s v="23-03-2026"/>
    <n v="11166"/>
    <s v="1104-01"/>
    <n v="0"/>
    <n v="260"/>
    <s v="Centralización recaudaciones marzo 2026 #3484 - #3484"/>
    <n v="-260"/>
    <s v="Activo"/>
    <n v="-260"/>
    <x v="9"/>
  </r>
  <r>
    <n v="2026"/>
    <n v="3"/>
    <s v="23-03-2026"/>
    <n v="11180"/>
    <s v="1104-01"/>
    <n v="0"/>
    <n v="59990"/>
    <s v="Centralización recaudaciones marzo 2026 #2869 - #2869"/>
    <n v="-59990"/>
    <s v="Activo"/>
    <n v="-59990"/>
    <x v="9"/>
  </r>
  <r>
    <n v="2026"/>
    <n v="3"/>
    <s v="23-03-2026"/>
    <n v="11185"/>
    <s v="1104-01"/>
    <n v="0"/>
    <n v="59920"/>
    <s v="Centralización recaudaciones marzo 2026 #2874 - #2874"/>
    <n v="-59920"/>
    <s v="Activo"/>
    <n v="-59920"/>
    <x v="9"/>
  </r>
  <r>
    <n v="2026"/>
    <n v="3"/>
    <s v="23-03-2026"/>
    <n v="11363"/>
    <s v="1104-01"/>
    <n v="0"/>
    <n v="5000"/>
    <s v="Centralización recaudaciones marzo 2026 #3053 - #3053"/>
    <n v="-5000"/>
    <s v="Activo"/>
    <n v="-5000"/>
    <x v="9"/>
  </r>
  <r>
    <n v="2026"/>
    <n v="3"/>
    <s v="23-03-2026"/>
    <n v="11422"/>
    <s v="1104-01"/>
    <n v="0"/>
    <n v="25990"/>
    <s v="Centralización recaudaciones marzo 2026 #3112 - #3112"/>
    <n v="-25990"/>
    <s v="Activo"/>
    <n v="-25990"/>
    <x v="9"/>
  </r>
  <r>
    <n v="2026"/>
    <n v="3"/>
    <s v="23-03-2026"/>
    <n v="11483"/>
    <s v="1104-01"/>
    <n v="0"/>
    <n v="8963"/>
    <s v="Centralización recaudaciones marzo 2026 #3173 - #3173"/>
    <n v="-8963"/>
    <s v="Activo"/>
    <n v="-8963"/>
    <x v="9"/>
  </r>
  <r>
    <n v="2026"/>
    <n v="3"/>
    <s v="23-03-2026"/>
    <n v="11502"/>
    <s v="1104-01"/>
    <n v="0"/>
    <n v="24990"/>
    <s v="Centralización recaudaciones marzo 2026 #3192 - #3192"/>
    <n v="-24990"/>
    <s v="Activo"/>
    <n v="-24990"/>
    <x v="9"/>
  </r>
  <r>
    <n v="2026"/>
    <n v="3"/>
    <s v="23-03-2026"/>
    <n v="11521"/>
    <s v="1104-01"/>
    <n v="0"/>
    <n v="142235"/>
    <s v="Centralización recaudaciones marzo 2026 #3211 - #3211"/>
    <n v="-142235"/>
    <s v="Activo"/>
    <n v="-142235"/>
    <x v="9"/>
  </r>
  <r>
    <n v="2026"/>
    <n v="3"/>
    <s v="23-03-2026"/>
    <n v="11529"/>
    <s v="1104-01"/>
    <n v="0"/>
    <n v="24990"/>
    <s v="Centralización recaudaciones marzo 2026 #3219 - #3219"/>
    <n v="-24990"/>
    <s v="Activo"/>
    <n v="-24990"/>
    <x v="9"/>
  </r>
  <r>
    <n v="2026"/>
    <n v="3"/>
    <s v="23-03-2026"/>
    <n v="11626"/>
    <s v="1104-01"/>
    <n v="0"/>
    <n v="5201"/>
    <s v="Centralización recaudaciones marzo 2026 #3316 - #3316"/>
    <n v="-5201"/>
    <s v="Activo"/>
    <n v="-5201"/>
    <x v="9"/>
  </r>
  <r>
    <n v="2026"/>
    <n v="3"/>
    <s v="23-03-2026"/>
    <n v="11631"/>
    <s v="1104-01"/>
    <n v="0"/>
    <n v="24990"/>
    <s v="Centralización recaudaciones marzo 2026 #3321 - #3321"/>
    <n v="-24990"/>
    <s v="Activo"/>
    <n v="-24990"/>
    <x v="9"/>
  </r>
  <r>
    <n v="2026"/>
    <n v="3"/>
    <s v="23-03-2026"/>
    <n v="11716"/>
    <s v="1104-01"/>
    <n v="0"/>
    <n v="1970"/>
    <s v="Centralización recaudaciones marzo 2026 #3405 - #3405"/>
    <n v="-1970"/>
    <s v="Activo"/>
    <n v="-1970"/>
    <x v="9"/>
  </r>
  <r>
    <n v="2026"/>
    <n v="3"/>
    <s v="23-03-2026"/>
    <n v="11717"/>
    <s v="1104-01"/>
    <n v="0"/>
    <n v="24990"/>
    <s v="Centralización recaudaciones marzo 2026 #3406 - #3406"/>
    <n v="-24990"/>
    <s v="Activo"/>
    <n v="-24990"/>
    <x v="9"/>
  </r>
  <r>
    <n v="2026"/>
    <n v="3"/>
    <s v="23-03-2026"/>
    <n v="11749"/>
    <s v="1104-01"/>
    <n v="0"/>
    <n v="24990"/>
    <s v="Centralización recaudaciones marzo 2026 #3438 - #3438"/>
    <n v="-24990"/>
    <s v="Activo"/>
    <n v="-24990"/>
    <x v="9"/>
  </r>
  <r>
    <n v="2026"/>
    <n v="3"/>
    <s v="23-03-2026"/>
    <n v="11750"/>
    <s v="1104-01"/>
    <n v="0"/>
    <n v="24990"/>
    <s v="Centralización recaudaciones marzo 2026 #3439 - #3439"/>
    <n v="-24990"/>
    <s v="Activo"/>
    <n v="-24990"/>
    <x v="9"/>
  </r>
  <r>
    <n v="2026"/>
    <n v="3"/>
    <s v="23-03-2026"/>
    <n v="11779"/>
    <s v="1104-01"/>
    <n v="0"/>
    <n v="24990"/>
    <s v="Centralización recaudaciones marzo 2026 #3468 - #3468"/>
    <n v="-24990"/>
    <s v="Activo"/>
    <n v="-24990"/>
    <x v="9"/>
  </r>
  <r>
    <n v="2026"/>
    <n v="3"/>
    <s v="23-03-2026"/>
    <n v="11782"/>
    <s v="1104-01"/>
    <n v="0"/>
    <n v="1710"/>
    <s v="Centralización recaudaciones marzo 2026 #3471 - #3471"/>
    <n v="-1710"/>
    <s v="Activo"/>
    <n v="-1710"/>
    <x v="9"/>
  </r>
  <r>
    <n v="2026"/>
    <n v="3"/>
    <s v="24-03-2026"/>
    <n v="11150"/>
    <s v="1104-01"/>
    <n v="0"/>
    <n v="3436966"/>
    <s v="0966893109 abn crd db tran transba"/>
    <n v="-3436966"/>
    <s v="Activo"/>
    <n v="-3436966"/>
    <x v="9"/>
  </r>
  <r>
    <n v="2026"/>
    <n v="3"/>
    <s v="24-03-2026"/>
    <n v="11152"/>
    <s v="1104-01"/>
    <n v="0"/>
    <n v="118055"/>
    <s v="0761872877 transf. khipu spa"/>
    <n v="-118055"/>
    <s v="Activo"/>
    <n v="-118055"/>
    <x v="9"/>
  </r>
  <r>
    <n v="2026"/>
    <n v="3"/>
    <s v="24-03-2026"/>
    <n v="11171"/>
    <s v="1104-01"/>
    <n v="0"/>
    <n v="21990"/>
    <s v="Centralización recaudaciones marzo 2026 #2863 - #2863"/>
    <n v="-21990"/>
    <s v="Activo"/>
    <n v="-21990"/>
    <x v="9"/>
  </r>
  <r>
    <n v="2026"/>
    <n v="3"/>
    <s v="24-03-2026"/>
    <n v="11316"/>
    <s v="1104-01"/>
    <n v="0"/>
    <n v="86928"/>
    <s v="Centralización recaudaciones marzo 2026 #3006 - #3006"/>
    <n v="-86928"/>
    <s v="Activo"/>
    <n v="-86928"/>
    <x v="9"/>
  </r>
  <r>
    <n v="2026"/>
    <n v="3"/>
    <s v="24-03-2026"/>
    <n v="11340"/>
    <s v="1104-01"/>
    <n v="0"/>
    <n v="39990"/>
    <s v="Centralización recaudaciones marzo 2026 #3030 - #3030"/>
    <n v="-39990"/>
    <s v="Activo"/>
    <n v="-39990"/>
    <x v="9"/>
  </r>
  <r>
    <n v="2026"/>
    <n v="3"/>
    <s v="24-03-2026"/>
    <n v="11357"/>
    <s v="1104-01"/>
    <n v="0"/>
    <n v="271337"/>
    <s v="Centralización recaudaciones marzo 2026 #3047 - #3047"/>
    <n v="-271337"/>
    <s v="Activo"/>
    <n v="-271337"/>
    <x v="9"/>
  </r>
  <r>
    <n v="2026"/>
    <n v="3"/>
    <s v="24-03-2026"/>
    <n v="11384"/>
    <s v="1104-01"/>
    <n v="0"/>
    <n v="450410"/>
    <s v="Centralización recaudaciones marzo 2026 #3074 - #3074"/>
    <n v="-450410"/>
    <s v="Activo"/>
    <n v="-450410"/>
    <x v="9"/>
  </r>
  <r>
    <n v="2026"/>
    <n v="3"/>
    <s v="24-03-2026"/>
    <n v="11497"/>
    <s v="1104-01"/>
    <n v="0"/>
    <n v="124990"/>
    <s v="Centralización recaudaciones marzo 2026 #3187 - #3187"/>
    <n v="-124990"/>
    <s v="Activo"/>
    <n v="-124990"/>
    <x v="9"/>
  </r>
  <r>
    <n v="2026"/>
    <n v="3"/>
    <s v="24-03-2026"/>
    <n v="11505"/>
    <s v="1104-01"/>
    <n v="0"/>
    <n v="174821"/>
    <s v="Centralización recaudaciones marzo 2026 #3195 - #3195"/>
    <n v="-174821"/>
    <s v="Activo"/>
    <n v="-174821"/>
    <x v="9"/>
  </r>
  <r>
    <n v="2026"/>
    <n v="3"/>
    <s v="24-03-2026"/>
    <n v="11517"/>
    <s v="1104-01"/>
    <n v="0"/>
    <n v="22000"/>
    <s v="Centralización recaudaciones marzo 2026 #3207 - #3207"/>
    <n v="-22000"/>
    <s v="Activo"/>
    <n v="-22000"/>
    <x v="9"/>
  </r>
  <r>
    <n v="2026"/>
    <n v="3"/>
    <s v="24-03-2026"/>
    <n v="11557"/>
    <s v="1104-01"/>
    <n v="0"/>
    <n v="24990"/>
    <s v="Centralización recaudaciones marzo 2026 #3247 - #3247"/>
    <n v="-24990"/>
    <s v="Activo"/>
    <n v="-24990"/>
    <x v="9"/>
  </r>
  <r>
    <n v="2026"/>
    <n v="3"/>
    <s v="24-03-2026"/>
    <n v="11627"/>
    <s v="1104-01"/>
    <n v="0"/>
    <n v="11092"/>
    <s v="Centralización recaudaciones marzo 2026 #3317 - #3317"/>
    <n v="-11092"/>
    <s v="Activo"/>
    <n v="-11092"/>
    <x v="9"/>
  </r>
  <r>
    <n v="2026"/>
    <n v="3"/>
    <s v="24-03-2026"/>
    <n v="11693"/>
    <s v="1104-01"/>
    <n v="0"/>
    <n v="24990"/>
    <s v="Centralización recaudaciones marzo 2026 #3382 - #3382"/>
    <n v="-24990"/>
    <s v="Activo"/>
    <n v="-24990"/>
    <x v="9"/>
  </r>
  <r>
    <n v="2026"/>
    <n v="3"/>
    <s v="25-03-2026"/>
    <n v="11153"/>
    <s v="1104-01"/>
    <n v="0"/>
    <n v="2609667"/>
    <s v="0966893109 abn crd db tran transba"/>
    <n v="-2609667"/>
    <s v="Activo"/>
    <n v="-2609667"/>
    <x v="9"/>
  </r>
  <r>
    <n v="2026"/>
    <n v="3"/>
    <s v="25-03-2026"/>
    <n v="11154"/>
    <s v="1104-01"/>
    <n v="0"/>
    <n v="117911"/>
    <s v="0761872877 transf. khipu spa"/>
    <n v="-117911"/>
    <s v="Activo"/>
    <n v="-117911"/>
    <x v="9"/>
  </r>
  <r>
    <n v="2026"/>
    <n v="3"/>
    <s v="25-03-2026"/>
    <n v="11298"/>
    <s v="1104-01"/>
    <n v="0"/>
    <n v="41990"/>
    <s v="Centralización recaudaciones marzo 2026 #2988 - #2988"/>
    <n v="-41990"/>
    <s v="Activo"/>
    <n v="-41990"/>
    <x v="9"/>
  </r>
  <r>
    <n v="2026"/>
    <n v="3"/>
    <s v="25-03-2026"/>
    <n v="11332"/>
    <s v="1104-01"/>
    <n v="0"/>
    <n v="43980"/>
    <s v="Centralización recaudaciones marzo 2026 #3022 - #3022"/>
    <n v="-43980"/>
    <s v="Activo"/>
    <n v="-43980"/>
    <x v="9"/>
  </r>
  <r>
    <n v="2026"/>
    <n v="3"/>
    <s v="25-03-2026"/>
    <n v="11475"/>
    <s v="1104-01"/>
    <n v="0"/>
    <n v="48000"/>
    <s v="Centralización recaudaciones marzo 2026 #3165 - #3165"/>
    <n v="-48000"/>
    <s v="Activo"/>
    <n v="-48000"/>
    <x v="9"/>
  </r>
  <r>
    <n v="2026"/>
    <n v="3"/>
    <s v="25-03-2026"/>
    <n v="11518"/>
    <s v="1104-01"/>
    <n v="0"/>
    <n v="1300"/>
    <s v="Centralización recaudaciones marzo 2026 #3208 - #3208"/>
    <n v="-1300"/>
    <s v="Activo"/>
    <n v="-1300"/>
    <x v="9"/>
  </r>
  <r>
    <n v="2026"/>
    <n v="3"/>
    <s v="25-03-2026"/>
    <n v="11536"/>
    <s v="1104-01"/>
    <n v="0"/>
    <n v="24990"/>
    <s v="Centralización recaudaciones marzo 2026 #3226 - #3226"/>
    <n v="-24990"/>
    <s v="Activo"/>
    <n v="-24990"/>
    <x v="9"/>
  </r>
  <r>
    <n v="2026"/>
    <n v="3"/>
    <s v="25-03-2026"/>
    <n v="11545"/>
    <s v="1104-01"/>
    <n v="0"/>
    <n v="24990"/>
    <s v="Centralización recaudaciones marzo 2026 #3235 - #3235"/>
    <n v="-24990"/>
    <s v="Activo"/>
    <n v="-24990"/>
    <x v="9"/>
  </r>
  <r>
    <n v="2026"/>
    <n v="3"/>
    <s v="25-03-2026"/>
    <n v="11574"/>
    <s v="1104-01"/>
    <n v="0"/>
    <n v="133280"/>
    <s v="Centralización recaudaciones marzo 2026 #3264 - #3264"/>
    <n v="-133280"/>
    <s v="Activo"/>
    <n v="-133280"/>
    <x v="9"/>
  </r>
  <r>
    <n v="2026"/>
    <n v="3"/>
    <s v="25-03-2026"/>
    <n v="11606"/>
    <s v="1104-01"/>
    <n v="0"/>
    <n v="15080"/>
    <s v="Centralización recaudaciones marzo 2026 #3296 - #3296"/>
    <n v="-15080"/>
    <s v="Activo"/>
    <n v="-15080"/>
    <x v="9"/>
  </r>
  <r>
    <n v="2026"/>
    <n v="3"/>
    <s v="25-03-2026"/>
    <n v="11628"/>
    <s v="1104-01"/>
    <n v="0"/>
    <n v="8697"/>
    <s v="Centralización recaudaciones marzo 2026 #3318 - #3318"/>
    <n v="-8697"/>
    <s v="Activo"/>
    <n v="-8697"/>
    <x v="9"/>
  </r>
  <r>
    <n v="2026"/>
    <n v="3"/>
    <s v="25-03-2026"/>
    <n v="11642"/>
    <s v="1104-01"/>
    <n v="0"/>
    <n v="24990"/>
    <s v="Centralización recaudaciones marzo 2026 #3332 - #3332"/>
    <n v="-24990"/>
    <s v="Activo"/>
    <n v="-24990"/>
    <x v="9"/>
  </r>
  <r>
    <n v="2026"/>
    <n v="3"/>
    <s v="25-03-2026"/>
    <n v="11656"/>
    <s v="1104-01"/>
    <n v="0"/>
    <n v="24283"/>
    <s v="Centralización recaudaciones marzo 2026 #3346 - #3346"/>
    <n v="-24283"/>
    <s v="Activo"/>
    <n v="-24283"/>
    <x v="9"/>
  </r>
  <r>
    <n v="2026"/>
    <n v="3"/>
    <s v="25-03-2026"/>
    <n v="11773"/>
    <s v="1104-01"/>
    <n v="0"/>
    <n v="50990"/>
    <s v="Centralización recaudaciones marzo 2026 #3462 - #3462"/>
    <n v="-50990"/>
    <s v="Activo"/>
    <n v="-50990"/>
    <x v="9"/>
  </r>
  <r>
    <n v="2026"/>
    <n v="3"/>
    <s v="25-03-2026"/>
    <n v="11785"/>
    <s v="1104-01"/>
    <n v="0"/>
    <n v="1710"/>
    <s v="Centralización recaudaciones marzo 2026 #3474 - #3474"/>
    <n v="-1710"/>
    <s v="Activo"/>
    <n v="-1710"/>
    <x v="9"/>
  </r>
  <r>
    <n v="2026"/>
    <n v="3"/>
    <s v="26-03-2026"/>
    <n v="11155"/>
    <s v="1104-01"/>
    <n v="0"/>
    <n v="2792000"/>
    <s v="0966893109 abn crd db tran transba"/>
    <n v="-2792000"/>
    <s v="Activo"/>
    <n v="-2792000"/>
    <x v="9"/>
  </r>
  <r>
    <n v="2026"/>
    <n v="3"/>
    <s v="26-03-2026"/>
    <n v="11156"/>
    <s v="1104-01"/>
    <n v="0"/>
    <n v="574840"/>
    <s v="0761872877 transf. khipu spa"/>
    <n v="-574840"/>
    <s v="Activo"/>
    <n v="-574840"/>
    <x v="9"/>
  </r>
  <r>
    <n v="2026"/>
    <n v="3"/>
    <s v="26-03-2026"/>
    <n v="11186"/>
    <s v="1104-01"/>
    <n v="0"/>
    <n v="39990"/>
    <s v="Centralización recaudaciones marzo 2026 #2875 - #2875"/>
    <n v="-39990"/>
    <s v="Activo"/>
    <n v="-39990"/>
    <x v="9"/>
  </r>
  <r>
    <n v="2026"/>
    <n v="3"/>
    <s v="26-03-2026"/>
    <n v="11221"/>
    <s v="1104-01"/>
    <n v="0"/>
    <n v="90980"/>
    <s v="Centralización recaudaciones marzo 2026 #2909 - #2909"/>
    <n v="-90980"/>
    <s v="Activo"/>
    <n v="-90980"/>
    <x v="9"/>
  </r>
  <r>
    <n v="2026"/>
    <n v="3"/>
    <s v="26-03-2026"/>
    <n v="11299"/>
    <s v="1104-01"/>
    <n v="0"/>
    <n v="10"/>
    <s v="Centralización recaudaciones marzo 2026 #2989 - #2989"/>
    <n v="-10"/>
    <s v="Activo"/>
    <n v="-10"/>
    <x v="9"/>
  </r>
  <r>
    <n v="2026"/>
    <n v="3"/>
    <s v="26-03-2026"/>
    <n v="11318"/>
    <s v="1104-01"/>
    <n v="0"/>
    <n v="33990"/>
    <s v="Centralización recaudaciones marzo 2026 #3008 - #3008"/>
    <n v="-33990"/>
    <s v="Activo"/>
    <n v="-33990"/>
    <x v="9"/>
  </r>
  <r>
    <n v="2026"/>
    <n v="3"/>
    <s v="26-03-2026"/>
    <n v="11325"/>
    <s v="1104-01"/>
    <n v="0"/>
    <n v="130400"/>
    <s v="Centralización recaudaciones marzo 2026 #3015 - #3015"/>
    <n v="-130400"/>
    <s v="Activo"/>
    <n v="-130400"/>
    <x v="9"/>
  </r>
  <r>
    <n v="2026"/>
    <n v="3"/>
    <s v="26-03-2026"/>
    <n v="11405"/>
    <s v="1104-01"/>
    <n v="0"/>
    <n v="35970"/>
    <s v="Centralización recaudaciones marzo 2026 #3095 - #3095"/>
    <n v="-35970"/>
    <s v="Activo"/>
    <n v="-35970"/>
    <x v="9"/>
  </r>
  <r>
    <n v="2026"/>
    <n v="3"/>
    <s v="26-03-2026"/>
    <n v="11431"/>
    <s v="1104-01"/>
    <n v="0"/>
    <n v="24990"/>
    <s v="Centralización recaudaciones marzo 2026 #3121 - #3121"/>
    <n v="-24990"/>
    <s v="Activo"/>
    <n v="-24990"/>
    <x v="9"/>
  </r>
  <r>
    <n v="2026"/>
    <n v="3"/>
    <s v="26-03-2026"/>
    <n v="11433"/>
    <s v="1104-01"/>
    <n v="0"/>
    <n v="35980"/>
    <s v="Centralización recaudaciones marzo 2026 #3123 - #3123"/>
    <n v="-35980"/>
    <s v="Activo"/>
    <n v="-35980"/>
    <x v="9"/>
  </r>
  <r>
    <n v="2026"/>
    <n v="3"/>
    <s v="26-03-2026"/>
    <n v="11440"/>
    <s v="1104-01"/>
    <n v="0"/>
    <n v="169940"/>
    <s v="Centralización recaudaciones marzo 2026 #3130 - #3130"/>
    <n v="-169940"/>
    <s v="Activo"/>
    <n v="-169940"/>
    <x v="9"/>
  </r>
  <r>
    <n v="2026"/>
    <n v="3"/>
    <s v="26-03-2026"/>
    <n v="11456"/>
    <s v="1104-01"/>
    <n v="0"/>
    <n v="32990"/>
    <s v="Centralización recaudaciones marzo 2026 #3146 - #3146"/>
    <n v="-32990"/>
    <s v="Activo"/>
    <n v="-32990"/>
    <x v="9"/>
  </r>
  <r>
    <n v="2026"/>
    <n v="3"/>
    <s v="26-03-2026"/>
    <n v="11467"/>
    <s v="1104-01"/>
    <n v="0"/>
    <n v="24990"/>
    <s v="Centralización recaudaciones marzo 2026 #3157 - #3157"/>
    <n v="-24990"/>
    <s v="Activo"/>
    <n v="-24990"/>
    <x v="9"/>
  </r>
  <r>
    <n v="2026"/>
    <n v="3"/>
    <s v="26-03-2026"/>
    <n v="11474"/>
    <s v="1104-01"/>
    <n v="0"/>
    <n v="35981"/>
    <s v="Centralización recaudaciones marzo 2026 #3164 - #3164"/>
    <n v="-35981"/>
    <s v="Activo"/>
    <n v="-35981"/>
    <x v="9"/>
  </r>
  <r>
    <n v="2026"/>
    <n v="3"/>
    <s v="26-03-2026"/>
    <n v="11476"/>
    <s v="1104-01"/>
    <n v="0"/>
    <n v="24990"/>
    <s v="Centralización recaudaciones marzo 2026 #3166 - #3166"/>
    <n v="-24990"/>
    <s v="Activo"/>
    <n v="-24990"/>
    <x v="9"/>
  </r>
  <r>
    <n v="2026"/>
    <n v="3"/>
    <s v="26-03-2026"/>
    <n v="11495"/>
    <s v="1104-01"/>
    <n v="0"/>
    <n v="37990"/>
    <s v="Centralización recaudaciones marzo 2026 #3185 - #3185"/>
    <n v="-37990"/>
    <s v="Activo"/>
    <n v="-37990"/>
    <x v="9"/>
  </r>
  <r>
    <n v="2026"/>
    <n v="3"/>
    <s v="26-03-2026"/>
    <n v="11500"/>
    <s v="1104-01"/>
    <n v="0"/>
    <n v="40960"/>
    <s v="Centralización recaudaciones marzo 2026 #3190 - #3190"/>
    <n v="-40960"/>
    <s v="Activo"/>
    <n v="-40960"/>
    <x v="9"/>
  </r>
  <r>
    <n v="2026"/>
    <n v="3"/>
    <s v="26-03-2026"/>
    <n v="11516"/>
    <s v="1104-01"/>
    <n v="0"/>
    <n v="36990"/>
    <s v="Centralización recaudaciones marzo 2026 #3206 - #3206"/>
    <n v="-36990"/>
    <s v="Activo"/>
    <n v="-36990"/>
    <x v="9"/>
  </r>
  <r>
    <n v="2026"/>
    <n v="3"/>
    <s v="26-03-2026"/>
    <n v="11519"/>
    <s v="1104-01"/>
    <n v="0"/>
    <n v="1690"/>
    <s v="Centralización recaudaciones marzo 2026 #3209 - #3209"/>
    <n v="-1690"/>
    <s v="Activo"/>
    <n v="-1690"/>
    <x v="9"/>
  </r>
  <r>
    <n v="2026"/>
    <n v="3"/>
    <s v="26-03-2026"/>
    <n v="11540"/>
    <s v="1104-01"/>
    <n v="0"/>
    <n v="14990"/>
    <s v="Centralización recaudaciones marzo 2026 #3230 - #3230"/>
    <n v="-14990"/>
    <s v="Activo"/>
    <n v="-14990"/>
    <x v="9"/>
  </r>
  <r>
    <n v="2026"/>
    <n v="3"/>
    <s v="26-03-2026"/>
    <n v="11544"/>
    <s v="1104-01"/>
    <n v="0"/>
    <n v="43999"/>
    <s v="Centralización recaudaciones marzo 2026 #3234 - #3234"/>
    <n v="-43999"/>
    <s v="Activo"/>
    <n v="-43999"/>
    <x v="9"/>
  </r>
  <r>
    <n v="2026"/>
    <n v="3"/>
    <s v="26-03-2026"/>
    <n v="11546"/>
    <s v="1104-01"/>
    <n v="0"/>
    <n v="21990"/>
    <s v="Centralización recaudaciones marzo 2026 #3236 - #3236"/>
    <n v="-21990"/>
    <s v="Activo"/>
    <n v="-21990"/>
    <x v="9"/>
  </r>
  <r>
    <n v="2026"/>
    <n v="3"/>
    <s v="26-03-2026"/>
    <n v="11571"/>
    <s v="1104-01"/>
    <n v="0"/>
    <n v="39990"/>
    <s v="Centralización recaudaciones marzo 2026 #3261 - #3261"/>
    <n v="-39990"/>
    <s v="Activo"/>
    <n v="-39990"/>
    <x v="9"/>
  </r>
  <r>
    <n v="2026"/>
    <n v="3"/>
    <s v="26-03-2026"/>
    <n v="11582"/>
    <s v="1104-01"/>
    <n v="0"/>
    <n v="24990"/>
    <s v="Centralización recaudaciones marzo 2026 #3272 - #3272"/>
    <n v="-24990"/>
    <s v="Activo"/>
    <n v="-24990"/>
    <x v="9"/>
  </r>
  <r>
    <n v="2026"/>
    <n v="3"/>
    <s v="26-03-2026"/>
    <n v="11589"/>
    <s v="1104-01"/>
    <n v="0"/>
    <n v="44000"/>
    <s v="Centralización recaudaciones marzo 2026 #3279 - #3279"/>
    <n v="-44000"/>
    <s v="Activo"/>
    <n v="-44000"/>
    <x v="9"/>
  </r>
  <r>
    <n v="2026"/>
    <n v="3"/>
    <s v="26-03-2026"/>
    <n v="11602"/>
    <s v="1104-01"/>
    <n v="0"/>
    <n v="39990"/>
    <s v="Centralización recaudaciones marzo 2026 #3292 - #3292"/>
    <n v="-39990"/>
    <s v="Activo"/>
    <n v="-39990"/>
    <x v="9"/>
  </r>
  <r>
    <n v="2026"/>
    <n v="3"/>
    <s v="26-03-2026"/>
    <n v="11604"/>
    <s v="1104-01"/>
    <n v="0"/>
    <n v="24990"/>
    <s v="Centralización recaudaciones marzo 2026 #3294 - #3294"/>
    <n v="-24990"/>
    <s v="Activo"/>
    <n v="-24990"/>
    <x v="9"/>
  </r>
  <r>
    <n v="2026"/>
    <n v="3"/>
    <s v="26-03-2026"/>
    <n v="11607"/>
    <s v="1104-01"/>
    <n v="0"/>
    <n v="9910"/>
    <s v="Centralización recaudaciones marzo 2026 #3297 - #3297"/>
    <n v="-9910"/>
    <s v="Activo"/>
    <n v="-9910"/>
    <x v="9"/>
  </r>
  <r>
    <n v="2026"/>
    <n v="3"/>
    <s v="26-03-2026"/>
    <n v="11623"/>
    <s v="1104-01"/>
    <n v="0"/>
    <n v="24990"/>
    <s v="Centralización recaudaciones marzo 2026 #3313 - #3313"/>
    <n v="-24990"/>
    <s v="Activo"/>
    <n v="-24990"/>
    <x v="9"/>
  </r>
  <r>
    <n v="2026"/>
    <n v="3"/>
    <s v="26-03-2026"/>
    <n v="11625"/>
    <s v="1104-01"/>
    <n v="0"/>
    <n v="54990"/>
    <s v="Centralización recaudaciones marzo 2026 #3315 - #3315"/>
    <n v="-54990"/>
    <s v="Activo"/>
    <n v="-54990"/>
    <x v="9"/>
  </r>
  <r>
    <n v="2026"/>
    <n v="3"/>
    <s v="26-03-2026"/>
    <n v="11630"/>
    <s v="1104-01"/>
    <n v="0"/>
    <n v="59488"/>
    <s v="Centralización recaudaciones marzo 2026 #3320 - #3320"/>
    <n v="-59488"/>
    <s v="Activo"/>
    <n v="-59488"/>
    <x v="9"/>
  </r>
  <r>
    <n v="2026"/>
    <n v="3"/>
    <s v="26-03-2026"/>
    <n v="11640"/>
    <s v="1104-01"/>
    <n v="0"/>
    <n v="39990"/>
    <s v="Centralización recaudaciones marzo 2026 #3330 - #3330"/>
    <n v="-39990"/>
    <s v="Activo"/>
    <n v="-39990"/>
    <x v="9"/>
  </r>
  <r>
    <n v="2026"/>
    <n v="3"/>
    <s v="26-03-2026"/>
    <n v="11653"/>
    <s v="1104-01"/>
    <n v="0"/>
    <n v="24991"/>
    <s v="Centralización recaudaciones marzo 2026 #3343 - #3343"/>
    <n v="-24991"/>
    <s v="Activo"/>
    <n v="-24991"/>
    <x v="9"/>
  </r>
  <r>
    <n v="2026"/>
    <n v="3"/>
    <s v="26-03-2026"/>
    <n v="11657"/>
    <s v="1104-01"/>
    <n v="0"/>
    <n v="707"/>
    <s v="Centralización recaudaciones marzo 2026 #3347 - #3347"/>
    <n v="-707"/>
    <s v="Activo"/>
    <n v="-707"/>
    <x v="9"/>
  </r>
  <r>
    <n v="2026"/>
    <n v="3"/>
    <s v="26-03-2026"/>
    <n v="11659"/>
    <s v="1104-01"/>
    <n v="0"/>
    <n v="94000"/>
    <s v="Centralización recaudaciones marzo 2026 #3349 - #3349"/>
    <n v="-94000"/>
    <s v="Activo"/>
    <n v="-94000"/>
    <x v="9"/>
  </r>
  <r>
    <n v="2026"/>
    <n v="3"/>
    <s v="26-03-2026"/>
    <n v="11669"/>
    <s v="1104-01"/>
    <n v="0"/>
    <n v="24519"/>
    <s v="Centralización recaudaciones marzo 2026 #3359 - #3359"/>
    <n v="-24519"/>
    <s v="Activo"/>
    <n v="-24519"/>
    <x v="9"/>
  </r>
  <r>
    <n v="2026"/>
    <n v="3"/>
    <s v="26-03-2026"/>
    <n v="11672"/>
    <s v="1104-01"/>
    <n v="0"/>
    <n v="24990"/>
    <s v="Centralización recaudaciones marzo 2026 #3362 - #3362"/>
    <n v="-24990"/>
    <s v="Activo"/>
    <n v="-24990"/>
    <x v="9"/>
  </r>
  <r>
    <n v="2026"/>
    <n v="3"/>
    <s v="26-03-2026"/>
    <n v="11684"/>
    <s v="1104-01"/>
    <n v="0"/>
    <n v="24990"/>
    <s v="Centralización recaudaciones marzo 2026 #3373 - #3373"/>
    <n v="-24990"/>
    <s v="Activo"/>
    <n v="-24990"/>
    <x v="9"/>
  </r>
  <r>
    <n v="2026"/>
    <n v="3"/>
    <s v="26-03-2026"/>
    <n v="11686"/>
    <s v="1104-01"/>
    <n v="0"/>
    <n v="33990"/>
    <s v="Centralización recaudaciones marzo 2026 #3375 - #3375"/>
    <n v="-33990"/>
    <s v="Activo"/>
    <n v="-33990"/>
    <x v="9"/>
  </r>
  <r>
    <n v="2026"/>
    <n v="3"/>
    <s v="26-03-2026"/>
    <n v="11703"/>
    <s v="1104-01"/>
    <n v="0"/>
    <n v="24990"/>
    <s v="Centralización recaudaciones marzo 2026 #3392 - #3392"/>
    <n v="-24990"/>
    <s v="Activo"/>
    <n v="-24990"/>
    <x v="9"/>
  </r>
  <r>
    <n v="2026"/>
    <n v="3"/>
    <s v="26-03-2026"/>
    <n v="11732"/>
    <s v="1104-01"/>
    <n v="0"/>
    <n v="24990"/>
    <s v="Centralización recaudaciones marzo 2026 #3421 - #3421"/>
    <n v="-24990"/>
    <s v="Activo"/>
    <n v="-24990"/>
    <x v="9"/>
  </r>
  <r>
    <n v="2026"/>
    <n v="3"/>
    <s v="26-03-2026"/>
    <n v="11733"/>
    <s v="1104-01"/>
    <n v="0"/>
    <n v="24990"/>
    <s v="Centralización recaudaciones marzo 2026 #3422 - #3422"/>
    <n v="-24990"/>
    <s v="Activo"/>
    <n v="-24990"/>
    <x v="9"/>
  </r>
  <r>
    <n v="2026"/>
    <n v="3"/>
    <s v="26-03-2026"/>
    <n v="11753"/>
    <s v="1104-01"/>
    <n v="0"/>
    <n v="35297"/>
    <s v="Centralización recaudaciones marzo 2026 #3442 - #3442"/>
    <n v="-35297"/>
    <s v="Activo"/>
    <n v="-35297"/>
    <x v="9"/>
  </r>
  <r>
    <n v="2026"/>
    <n v="3"/>
    <s v="26-03-2026"/>
    <n v="11759"/>
    <s v="1104-01"/>
    <n v="0"/>
    <n v="21990"/>
    <s v="Centralización recaudaciones marzo 2026 #3448 - #3448"/>
    <n v="-21990"/>
    <s v="Activo"/>
    <n v="-21990"/>
    <x v="9"/>
  </r>
  <r>
    <n v="2026"/>
    <n v="3"/>
    <s v="26-03-2026"/>
    <n v="11775"/>
    <s v="1104-01"/>
    <n v="0"/>
    <n v="44000"/>
    <s v="Centralización recaudaciones marzo 2026 #3464 - #3464"/>
    <n v="-44000"/>
    <s v="Activo"/>
    <n v="-44000"/>
    <x v="9"/>
  </r>
  <r>
    <n v="2026"/>
    <n v="3"/>
    <s v="26-03-2026"/>
    <n v="11786"/>
    <s v="1104-01"/>
    <n v="0"/>
    <n v="33990"/>
    <s v="Centralización recaudaciones marzo 2026 #3475 - #3475"/>
    <n v="-33990"/>
    <s v="Activo"/>
    <n v="-33990"/>
    <x v="9"/>
  </r>
  <r>
    <n v="2026"/>
    <n v="3"/>
    <s v="27-03-2026"/>
    <n v="11157"/>
    <s v="1104-01"/>
    <n v="0"/>
    <n v="5558703"/>
    <s v="0966893109 abn crd db tran transba"/>
    <n v="-5558703"/>
    <s v="Activo"/>
    <n v="-5558703"/>
    <x v="9"/>
  </r>
  <r>
    <n v="2026"/>
    <n v="3"/>
    <s v="27-03-2026"/>
    <n v="11159"/>
    <s v="1104-01"/>
    <n v="0"/>
    <n v="465228"/>
    <s v="0761872877 transf. khipu spa"/>
    <n v="-465228"/>
    <s v="Activo"/>
    <n v="-465228"/>
    <x v="9"/>
  </r>
  <r>
    <n v="2026"/>
    <n v="3"/>
    <s v="27-03-2026"/>
    <n v="11181"/>
    <s v="1104-01"/>
    <n v="0"/>
    <n v="57990"/>
    <s v="Centralización recaudaciones marzo 2026 #2870 - #2870"/>
    <n v="-57990"/>
    <s v="Activo"/>
    <n v="-57990"/>
    <x v="9"/>
  </r>
  <r>
    <n v="2026"/>
    <n v="3"/>
    <s v="27-03-2026"/>
    <n v="11184"/>
    <s v="1104-01"/>
    <n v="0"/>
    <n v="153747"/>
    <s v="Centralización recaudaciones marzo 2026 #2873 - #2873"/>
    <n v="-153747"/>
    <s v="Activo"/>
    <n v="-153747"/>
    <x v="9"/>
  </r>
  <r>
    <n v="2026"/>
    <n v="3"/>
    <s v="27-03-2026"/>
    <n v="11195"/>
    <s v="1104-01"/>
    <n v="0"/>
    <n v="59990"/>
    <s v="Centralización recaudaciones marzo 2026 #2883 - #2883"/>
    <n v="-59990"/>
    <s v="Activo"/>
    <n v="-59990"/>
    <x v="9"/>
  </r>
  <r>
    <n v="2026"/>
    <n v="3"/>
    <s v="27-03-2026"/>
    <n v="11237"/>
    <s v="1104-01"/>
    <n v="0"/>
    <n v="50000"/>
    <s v="Centralización recaudaciones marzo 2026 #2926 - #2926"/>
    <n v="-50000"/>
    <s v="Activo"/>
    <n v="-50000"/>
    <x v="9"/>
  </r>
  <r>
    <n v="2026"/>
    <n v="3"/>
    <s v="27-03-2026"/>
    <n v="11305"/>
    <s v="1104-01"/>
    <n v="0"/>
    <n v="192509"/>
    <s v="Centralización recaudaciones marzo 2026 #2995 - #2995"/>
    <n v="-192509"/>
    <s v="Activo"/>
    <n v="-192509"/>
    <x v="9"/>
  </r>
  <r>
    <n v="2026"/>
    <n v="3"/>
    <s v="27-03-2026"/>
    <n v="11311"/>
    <s v="1104-01"/>
    <n v="0"/>
    <n v="118974"/>
    <s v="Centralización recaudaciones marzo 2026 #3001 - #3001"/>
    <n v="-118974"/>
    <s v="Activo"/>
    <n v="-118974"/>
    <x v="9"/>
  </r>
  <r>
    <n v="2026"/>
    <n v="3"/>
    <s v="27-03-2026"/>
    <n v="11319"/>
    <s v="1104-01"/>
    <n v="0"/>
    <n v="4078"/>
    <s v="Centralización recaudaciones marzo 2026 #3009 - #3009"/>
    <n v="-4078"/>
    <s v="Activo"/>
    <n v="-4078"/>
    <x v="9"/>
  </r>
  <r>
    <n v="2026"/>
    <n v="3"/>
    <s v="27-03-2026"/>
    <n v="11331"/>
    <s v="1104-01"/>
    <n v="0"/>
    <n v="39970"/>
    <s v="Centralización recaudaciones marzo 2026 #3021 - #3021"/>
    <n v="-39970"/>
    <s v="Activo"/>
    <n v="-39970"/>
    <x v="9"/>
  </r>
  <r>
    <n v="2026"/>
    <n v="3"/>
    <s v="27-03-2026"/>
    <n v="11395"/>
    <s v="1104-01"/>
    <n v="0"/>
    <n v="39990"/>
    <s v="Centralización recaudaciones marzo 2026 #3085 - #3085"/>
    <n v="-39990"/>
    <s v="Activo"/>
    <n v="-39990"/>
    <x v="9"/>
  </r>
  <r>
    <n v="2026"/>
    <n v="3"/>
    <s v="27-03-2026"/>
    <n v="11420"/>
    <s v="1104-01"/>
    <n v="0"/>
    <n v="6828"/>
    <s v="Centralización recaudaciones marzo 2026 #3110 - #3110"/>
    <n v="-6828"/>
    <s v="Activo"/>
    <n v="-6828"/>
    <x v="9"/>
  </r>
  <r>
    <n v="2026"/>
    <n v="3"/>
    <s v="27-03-2026"/>
    <n v="11457"/>
    <s v="1104-01"/>
    <n v="0"/>
    <n v="3000"/>
    <s v="Centralización recaudaciones marzo 2026 #3147 - #3147"/>
    <n v="-3000"/>
    <s v="Activo"/>
    <n v="-3000"/>
    <x v="9"/>
  </r>
  <r>
    <n v="2026"/>
    <n v="3"/>
    <s v="27-03-2026"/>
    <n v="11488"/>
    <s v="1104-01"/>
    <n v="0"/>
    <n v="39990"/>
    <s v="Centralización recaudaciones marzo 2026 #3178 - #3178"/>
    <n v="-39990"/>
    <s v="Activo"/>
    <n v="-39990"/>
    <x v="9"/>
  </r>
  <r>
    <n v="2026"/>
    <n v="3"/>
    <s v="27-03-2026"/>
    <n v="11496"/>
    <s v="1104-01"/>
    <n v="0"/>
    <n v="19990"/>
    <s v="Centralización recaudaciones marzo 2026 #3186 - #3186"/>
    <n v="-19990"/>
    <s v="Activo"/>
    <n v="-19990"/>
    <x v="9"/>
  </r>
  <r>
    <n v="2026"/>
    <n v="3"/>
    <s v="27-03-2026"/>
    <n v="11541"/>
    <s v="1104-01"/>
    <n v="0"/>
    <n v="10000"/>
    <s v="Centralización recaudaciones marzo 2026 #3231 - #3231"/>
    <n v="-10000"/>
    <s v="Activo"/>
    <n v="-10000"/>
    <x v="9"/>
  </r>
  <r>
    <n v="2026"/>
    <n v="3"/>
    <s v="27-03-2026"/>
    <n v="11543"/>
    <s v="1104-01"/>
    <n v="0"/>
    <n v="426705"/>
    <s v="Centralización recaudaciones marzo 2026 #3233 - #3233"/>
    <n v="-426705"/>
    <s v="Activo"/>
    <n v="-426705"/>
    <x v="9"/>
  </r>
  <r>
    <n v="2026"/>
    <n v="3"/>
    <s v="27-03-2026"/>
    <n v="11547"/>
    <s v="1104-01"/>
    <n v="0"/>
    <n v="3000"/>
    <s v="Centralización recaudaciones marzo 2026 #3237 - #3237"/>
    <n v="-3000"/>
    <s v="Activo"/>
    <n v="-3000"/>
    <x v="9"/>
  </r>
  <r>
    <n v="2026"/>
    <n v="3"/>
    <s v="27-03-2026"/>
    <n v="11576"/>
    <s v="1104-01"/>
    <n v="0"/>
    <n v="39990"/>
    <s v="Centralización recaudaciones marzo 2026 #3266 - #3266"/>
    <n v="-39990"/>
    <s v="Activo"/>
    <n v="-39990"/>
    <x v="9"/>
  </r>
  <r>
    <n v="2026"/>
    <n v="3"/>
    <s v="27-03-2026"/>
    <n v="11590"/>
    <s v="1104-01"/>
    <n v="0"/>
    <n v="990"/>
    <s v="Centralización recaudaciones marzo 2026 #3280 - #3280"/>
    <n v="-990"/>
    <s v="Activo"/>
    <n v="-990"/>
    <x v="9"/>
  </r>
  <r>
    <n v="2026"/>
    <n v="3"/>
    <s v="27-03-2026"/>
    <n v="11598"/>
    <s v="1104-01"/>
    <n v="0"/>
    <n v="39990"/>
    <s v="Centralización recaudaciones marzo 2026 #3288 - #3288"/>
    <n v="-39990"/>
    <s v="Activo"/>
    <n v="-39990"/>
    <x v="9"/>
  </r>
  <r>
    <n v="2026"/>
    <n v="3"/>
    <s v="27-03-2026"/>
    <n v="11666"/>
    <s v="1104-01"/>
    <n v="0"/>
    <n v="25000"/>
    <s v="Centralización recaudaciones marzo 2026 #3356 - #3356"/>
    <n v="-25000"/>
    <s v="Activo"/>
    <n v="-25000"/>
    <x v="9"/>
  </r>
  <r>
    <n v="2026"/>
    <n v="3"/>
    <s v="27-03-2026"/>
    <n v="11670"/>
    <s v="1104-01"/>
    <n v="0"/>
    <n v="471"/>
    <s v="Centralización recaudaciones marzo 2026 #3360 - #3360"/>
    <n v="-471"/>
    <s v="Activo"/>
    <n v="-471"/>
    <x v="9"/>
  </r>
  <r>
    <n v="2026"/>
    <n v="3"/>
    <s v="27-03-2026"/>
    <n v="11687"/>
    <s v="1104-01"/>
    <n v="0"/>
    <n v="2990"/>
    <s v="Centralización recaudaciones marzo 2026 #3376 - #3376"/>
    <n v="-2990"/>
    <s v="Activo"/>
    <n v="-2990"/>
    <x v="9"/>
  </r>
  <r>
    <n v="2026"/>
    <n v="3"/>
    <s v="27-03-2026"/>
    <n v="11754"/>
    <s v="1104-01"/>
    <n v="0"/>
    <n v="703"/>
    <s v="Centralización recaudaciones marzo 2026 #3443 - #3443"/>
    <n v="-703"/>
    <s v="Activo"/>
    <n v="-703"/>
    <x v="9"/>
  </r>
  <r>
    <n v="2026"/>
    <n v="3"/>
    <s v="27-03-2026"/>
    <n v="11760"/>
    <s v="1104-01"/>
    <n v="0"/>
    <n v="3000"/>
    <s v="Centralización recaudaciones marzo 2026 #3449 - #3449"/>
    <n v="-3000"/>
    <s v="Activo"/>
    <n v="-3000"/>
    <x v="9"/>
  </r>
  <r>
    <n v="2026"/>
    <n v="3"/>
    <s v="27-03-2026"/>
    <n v="11771"/>
    <s v="1104-01"/>
    <n v="0"/>
    <n v="89250"/>
    <s v="Centralización recaudaciones marzo 2026 #3460 - #3460"/>
    <n v="-89250"/>
    <s v="Activo"/>
    <n v="-89250"/>
    <x v="9"/>
  </r>
  <r>
    <n v="2026"/>
    <n v="3"/>
    <s v="30-03-2026"/>
    <n v="11160"/>
    <s v="1104-01"/>
    <n v="0"/>
    <n v="5071295"/>
    <s v="0966893109 abn crd db tran transba"/>
    <n v="-5071295"/>
    <s v="Activo"/>
    <n v="-5071295"/>
    <x v="9"/>
  </r>
  <r>
    <n v="2026"/>
    <n v="3"/>
    <s v="30-03-2026"/>
    <n v="11162"/>
    <s v="1104-01"/>
    <n v="0"/>
    <n v="1227726"/>
    <s v="0761872877 transf. khipu spa"/>
    <n v="-1227726"/>
    <s v="Activo"/>
    <n v="-1227726"/>
    <x v="9"/>
  </r>
  <r>
    <n v="2026"/>
    <n v="3"/>
    <s v="30-03-2026"/>
    <n v="11168"/>
    <s v="1104-01"/>
    <n v="0"/>
    <n v="473237"/>
    <s v="Centralización recaudaciones marzo 2026 #3486 - #3486"/>
    <n v="-473237"/>
    <s v="Activo"/>
    <n v="-473237"/>
    <x v="9"/>
  </r>
  <r>
    <n v="2026"/>
    <n v="3"/>
    <s v="30-03-2026"/>
    <n v="11174"/>
    <s v="1104-01"/>
    <n v="0"/>
    <n v="9010"/>
    <s v="Centralización recaudaciones marzo 2026 #3488 - #3488"/>
    <n v="-9010"/>
    <s v="Activo"/>
    <n v="-9010"/>
    <x v="9"/>
  </r>
  <r>
    <n v="2026"/>
    <n v="3"/>
    <s v="30-03-2026"/>
    <n v="11212"/>
    <s v="1104-01"/>
    <n v="0"/>
    <n v="45000"/>
    <s v="Centralización recaudaciones marzo 2026 #2900 - #2900"/>
    <n v="-45000"/>
    <s v="Activo"/>
    <n v="-45000"/>
    <x v="9"/>
  </r>
  <r>
    <n v="2026"/>
    <n v="3"/>
    <s v="30-03-2026"/>
    <n v="11213"/>
    <s v="1104-01"/>
    <n v="0"/>
    <n v="130100"/>
    <s v="Centralización recaudaciones marzo 2026 #2901 - #2901"/>
    <n v="-130100"/>
    <s v="Activo"/>
    <n v="-130100"/>
    <x v="9"/>
  </r>
  <r>
    <n v="2026"/>
    <n v="3"/>
    <s v="30-03-2026"/>
    <n v="11247"/>
    <s v="1104-01"/>
    <n v="0"/>
    <n v="42990"/>
    <s v="Centralización recaudaciones marzo 2026 #2937 - #2937"/>
    <n v="-42990"/>
    <s v="Activo"/>
    <n v="-42990"/>
    <x v="9"/>
  </r>
  <r>
    <n v="2026"/>
    <n v="3"/>
    <s v="30-03-2026"/>
    <n v="11263"/>
    <s v="1104-01"/>
    <n v="0"/>
    <n v="43987"/>
    <s v="Centralización recaudaciones marzo 2026 #2953 - #2953"/>
    <n v="-43987"/>
    <s v="Activo"/>
    <n v="-43987"/>
    <x v="9"/>
  </r>
  <r>
    <n v="2026"/>
    <n v="3"/>
    <s v="30-03-2026"/>
    <n v="11284"/>
    <s v="1104-01"/>
    <n v="0"/>
    <n v="76000"/>
    <s v="Centralización recaudaciones marzo 2026 #2974 - #2974"/>
    <n v="-76000"/>
    <s v="Activo"/>
    <n v="-76000"/>
    <x v="9"/>
  </r>
  <r>
    <n v="2026"/>
    <n v="3"/>
    <s v="30-03-2026"/>
    <n v="11309"/>
    <s v="1104-01"/>
    <n v="0"/>
    <n v="50000"/>
    <s v="Centralización recaudaciones marzo 2026 #2999 - #2999"/>
    <n v="-50000"/>
    <s v="Activo"/>
    <n v="-50000"/>
    <x v="9"/>
  </r>
  <r>
    <n v="2026"/>
    <n v="3"/>
    <s v="30-03-2026"/>
    <n v="11333"/>
    <s v="1104-01"/>
    <n v="0"/>
    <n v="80000"/>
    <s v="Centralización recaudaciones marzo 2026 #3023 - #3023"/>
    <n v="-80000"/>
    <s v="Activo"/>
    <n v="-80000"/>
    <x v="9"/>
  </r>
  <r>
    <n v="2026"/>
    <n v="3"/>
    <s v="30-03-2026"/>
    <n v="11341"/>
    <s v="1104-01"/>
    <n v="0"/>
    <n v="74300"/>
    <s v="Centralización recaudaciones marzo 2026 #3031 - #3031"/>
    <n v="-74300"/>
    <s v="Activo"/>
    <n v="-74300"/>
    <x v="9"/>
  </r>
  <r>
    <n v="2026"/>
    <n v="3"/>
    <s v="30-03-2026"/>
    <n v="11353"/>
    <s v="1104-01"/>
    <n v="0"/>
    <n v="39872"/>
    <s v="Centralización recaudaciones marzo 2026 #3043 - #3043"/>
    <n v="-39872"/>
    <s v="Activo"/>
    <n v="-39872"/>
    <x v="9"/>
  </r>
  <r>
    <n v="2026"/>
    <n v="3"/>
    <s v="30-03-2026"/>
    <n v="11383"/>
    <s v="1104-01"/>
    <n v="0"/>
    <n v="100000"/>
    <s v="Centralización recaudaciones marzo 2026 #3073 - #3073"/>
    <n v="-100000"/>
    <s v="Activo"/>
    <n v="-100000"/>
    <x v="9"/>
  </r>
  <r>
    <n v="2026"/>
    <n v="3"/>
    <s v="30-03-2026"/>
    <n v="11421"/>
    <s v="1104-01"/>
    <n v="0"/>
    <n v="33162"/>
    <s v="Centralización recaudaciones marzo 2026 #3111 - #3111"/>
    <n v="-33162"/>
    <s v="Activo"/>
    <n v="-33162"/>
    <x v="9"/>
  </r>
  <r>
    <n v="2026"/>
    <n v="3"/>
    <s v="30-03-2026"/>
    <n v="11426"/>
    <s v="1104-01"/>
    <n v="0"/>
    <n v="1990"/>
    <s v="Centralización recaudaciones marzo 2026 #3116 - #3116"/>
    <n v="-1990"/>
    <s v="Activo"/>
    <n v="-1990"/>
    <x v="9"/>
  </r>
  <r>
    <n v="2026"/>
    <n v="3"/>
    <s v="30-03-2026"/>
    <n v="11453"/>
    <s v="1104-01"/>
    <n v="0"/>
    <n v="40980"/>
    <s v="Centralización recaudaciones marzo 2026 #3143 - #3143"/>
    <n v="-40980"/>
    <s v="Activo"/>
    <n v="-40980"/>
    <x v="9"/>
  </r>
  <r>
    <n v="2026"/>
    <n v="3"/>
    <s v="30-03-2026"/>
    <n v="11472"/>
    <s v="1104-01"/>
    <n v="0"/>
    <n v="55980"/>
    <s v="Centralización recaudaciones marzo 2026 #3162 - #3162"/>
    <n v="-55980"/>
    <s v="Activo"/>
    <n v="-55980"/>
    <x v="9"/>
  </r>
  <r>
    <n v="2026"/>
    <n v="3"/>
    <s v="30-03-2026"/>
    <n v="11490"/>
    <s v="1104-01"/>
    <n v="0"/>
    <n v="74990"/>
    <s v="Centralización recaudaciones marzo 2026 #3180 - #3180"/>
    <n v="-74990"/>
    <s v="Activo"/>
    <n v="-74990"/>
    <x v="9"/>
  </r>
  <r>
    <n v="2026"/>
    <n v="3"/>
    <s v="30-03-2026"/>
    <n v="11512"/>
    <s v="1104-01"/>
    <n v="0"/>
    <n v="72980"/>
    <s v="Centralización recaudaciones marzo 2026 #3202 - #3202"/>
    <n v="-72980"/>
    <s v="Activo"/>
    <n v="-72980"/>
    <x v="9"/>
  </r>
  <r>
    <n v="2026"/>
    <n v="3"/>
    <s v="30-03-2026"/>
    <n v="11549"/>
    <s v="1104-01"/>
    <n v="0"/>
    <n v="42990"/>
    <s v="Centralización recaudaciones marzo 2026 #3239 - #3239"/>
    <n v="-42990"/>
    <s v="Activo"/>
    <n v="-42990"/>
    <x v="9"/>
  </r>
  <r>
    <n v="2026"/>
    <n v="3"/>
    <s v="30-03-2026"/>
    <n v="11568"/>
    <s v="1104-01"/>
    <n v="0"/>
    <n v="42990"/>
    <s v="Centralización recaudaciones marzo 2026 #3258 - #3258"/>
    <n v="-42990"/>
    <s v="Activo"/>
    <n v="-42990"/>
    <x v="9"/>
  </r>
  <r>
    <n v="2026"/>
    <n v="3"/>
    <s v="30-03-2026"/>
    <n v="11580"/>
    <s v="1104-01"/>
    <n v="0"/>
    <n v="55980"/>
    <s v="Centralización recaudaciones marzo 2026 #3270 - #3270"/>
    <n v="-55980"/>
    <s v="Activo"/>
    <n v="-55980"/>
    <x v="9"/>
  </r>
  <r>
    <n v="2026"/>
    <n v="3"/>
    <s v="30-03-2026"/>
    <n v="11601"/>
    <s v="1104-01"/>
    <n v="0"/>
    <n v="54990"/>
    <s v="Centralización recaudaciones marzo 2026 #3291 - #3291"/>
    <n v="-54990"/>
    <s v="Activo"/>
    <n v="-54990"/>
    <x v="9"/>
  </r>
  <r>
    <n v="2026"/>
    <n v="3"/>
    <s v="30-03-2026"/>
    <n v="11618"/>
    <s v="1104-01"/>
    <n v="0"/>
    <n v="70970"/>
    <s v="Centralización recaudaciones marzo 2026 #3308 - #3308"/>
    <n v="-70970"/>
    <s v="Activo"/>
    <n v="-70970"/>
    <x v="9"/>
  </r>
  <r>
    <n v="2026"/>
    <n v="3"/>
    <s v="30-03-2026"/>
    <n v="11636"/>
    <s v="1104-01"/>
    <n v="0"/>
    <n v="38970"/>
    <s v="Centralización recaudaciones marzo 2026 #3326 - #3326"/>
    <n v="-38970"/>
    <s v="Activo"/>
    <n v="-38970"/>
    <x v="9"/>
  </r>
  <r>
    <n v="2026"/>
    <n v="3"/>
    <s v="30-03-2026"/>
    <n v="11651"/>
    <s v="1104-01"/>
    <n v="0"/>
    <n v="41638"/>
    <s v="Centralización recaudaciones marzo 2026 #3341 - #3341"/>
    <n v="-41638"/>
    <s v="Activo"/>
    <n v="-41638"/>
    <x v="9"/>
  </r>
  <r>
    <n v="2026"/>
    <n v="3"/>
    <s v="30-03-2026"/>
    <n v="11667"/>
    <s v="1104-01"/>
    <n v="0"/>
    <n v="16638"/>
    <s v="Centralización recaudaciones marzo 2026 #3357 - #3357"/>
    <n v="-16638"/>
    <s v="Activo"/>
    <n v="-16638"/>
    <x v="9"/>
  </r>
  <r>
    <n v="2026"/>
    <n v="3"/>
    <s v="30-03-2026"/>
    <n v="11671"/>
    <s v="1104-01"/>
    <n v="0"/>
    <n v="30000"/>
    <s v="Centralización recaudaciones marzo 2026 #3361 - #3361"/>
    <n v="-30000"/>
    <s v="Activo"/>
    <n v="-30000"/>
    <x v="9"/>
  </r>
  <r>
    <n v="2026"/>
    <n v="3"/>
    <s v="30-03-2026"/>
    <n v="11694"/>
    <s v="1104-01"/>
    <n v="0"/>
    <n v="56157"/>
    <s v="Centralización recaudaciones marzo 2026 #3383 - #3383"/>
    <n v="-56157"/>
    <s v="Activo"/>
    <n v="-56157"/>
    <x v="9"/>
  </r>
  <r>
    <n v="2026"/>
    <n v="3"/>
    <s v="30-03-2026"/>
    <n v="11698"/>
    <s v="1104-01"/>
    <n v="0"/>
    <n v="39990"/>
    <s v="Centralización recaudaciones marzo 2026 #3387 - #3387"/>
    <n v="-39990"/>
    <s v="Activo"/>
    <n v="-39990"/>
    <x v="9"/>
  </r>
  <r>
    <n v="2026"/>
    <n v="3"/>
    <s v="30-03-2026"/>
    <n v="11713"/>
    <s v="1104-01"/>
    <n v="0"/>
    <n v="33990"/>
    <s v="Centralización recaudaciones marzo 2026 #3402 - #3402"/>
    <n v="-33990"/>
    <s v="Activo"/>
    <n v="-33990"/>
    <x v="9"/>
  </r>
  <r>
    <n v="2026"/>
    <n v="3"/>
    <s v="30-03-2026"/>
    <n v="11739"/>
    <s v="1104-01"/>
    <n v="0"/>
    <n v="41650"/>
    <s v="Centralización recaudaciones marzo 2026 #3428 - #3428"/>
    <n v="-41650"/>
    <s v="Activo"/>
    <n v="-41650"/>
    <x v="9"/>
  </r>
  <r>
    <n v="2026"/>
    <n v="3"/>
    <s v="30-03-2026"/>
    <n v="11740"/>
    <s v="1104-01"/>
    <n v="0"/>
    <n v="54990"/>
    <s v="Centralización recaudaciones marzo 2026 #3429 - #3429"/>
    <n v="-54990"/>
    <s v="Activo"/>
    <n v="-54990"/>
    <x v="9"/>
  </r>
  <r>
    <n v="2026"/>
    <n v="3"/>
    <s v="31-03-2026"/>
    <n v="11163"/>
    <s v="1104-01"/>
    <n v="0"/>
    <n v="8841435"/>
    <s v="0966893109 abn crd db tran transba"/>
    <n v="-8841435"/>
    <s v="Activo"/>
    <n v="-8841435"/>
    <x v="9"/>
  </r>
  <r>
    <n v="2026"/>
    <n v="3"/>
    <s v="31-03-2026"/>
    <n v="11164"/>
    <s v="1104-01"/>
    <n v="0"/>
    <n v="1361836"/>
    <s v="0761872877 transf. khipu spa"/>
    <n v="-1361836"/>
    <s v="Activo"/>
    <n v="-1361836"/>
    <x v="9"/>
  </r>
  <r>
    <n v="2026"/>
    <n v="3"/>
    <s v="31-03-2026"/>
    <n v="11191"/>
    <s v="1104-01"/>
    <n v="0"/>
    <n v="56980"/>
    <s v="Centralización recaudaciones marzo 2026 #2880 - #2880"/>
    <n v="-56980"/>
    <s v="Activo"/>
    <n v="-56980"/>
    <x v="9"/>
  </r>
  <r>
    <n v="2026"/>
    <n v="3"/>
    <s v="31-03-2026"/>
    <n v="11199"/>
    <s v="1104-01"/>
    <n v="0"/>
    <n v="68990"/>
    <s v="Centralización recaudaciones marzo 2026 #2887 - #2887"/>
    <n v="-68990"/>
    <s v="Activo"/>
    <n v="-68990"/>
    <x v="9"/>
  </r>
  <r>
    <n v="2026"/>
    <n v="3"/>
    <s v="31-03-2026"/>
    <n v="11201"/>
    <s v="1104-01"/>
    <n v="0"/>
    <n v="50000"/>
    <s v="Centralización recaudaciones marzo 2026 #2889 - #2889"/>
    <n v="-50000"/>
    <s v="Activo"/>
    <n v="-50000"/>
    <x v="9"/>
  </r>
  <r>
    <n v="2026"/>
    <n v="3"/>
    <s v="31-03-2026"/>
    <n v="11208"/>
    <s v="1104-01"/>
    <n v="0"/>
    <n v="30000"/>
    <s v="Centralización recaudaciones marzo 2026 #2896 - #2896"/>
    <n v="-30000"/>
    <s v="Activo"/>
    <n v="-30000"/>
    <x v="9"/>
  </r>
  <r>
    <n v="2026"/>
    <n v="3"/>
    <s v="31-03-2026"/>
    <n v="11222"/>
    <s v="1104-01"/>
    <n v="0"/>
    <n v="48000"/>
    <s v="Centralización recaudaciones marzo 2026 #2910 - #2910"/>
    <n v="-48000"/>
    <s v="Activo"/>
    <n v="-48000"/>
    <x v="9"/>
  </r>
  <r>
    <n v="2026"/>
    <n v="3"/>
    <s v="31-03-2026"/>
    <n v="11255"/>
    <s v="1104-01"/>
    <n v="0"/>
    <n v="58000"/>
    <s v="Centralización recaudaciones marzo 2026 #2945 - #2945"/>
    <n v="-58000"/>
    <s v="Activo"/>
    <n v="-58000"/>
    <x v="9"/>
  </r>
  <r>
    <n v="2026"/>
    <n v="3"/>
    <s v="31-03-2026"/>
    <n v="11264"/>
    <s v="1104-01"/>
    <n v="0"/>
    <n v="28013"/>
    <s v="Centralización recaudaciones marzo 2026 #2954 - #2954"/>
    <n v="-28013"/>
    <s v="Activo"/>
    <n v="-28013"/>
    <x v="9"/>
  </r>
  <r>
    <n v="2026"/>
    <n v="3"/>
    <s v="31-03-2026"/>
    <n v="11273"/>
    <s v="1104-01"/>
    <n v="0"/>
    <n v="30000"/>
    <s v="Centralización recaudaciones marzo 2026 #2963 - #2963"/>
    <n v="-30000"/>
    <s v="Activo"/>
    <n v="-30000"/>
    <x v="9"/>
  </r>
  <r>
    <n v="2026"/>
    <n v="3"/>
    <s v="31-03-2026"/>
    <n v="11314"/>
    <s v="1104-01"/>
    <n v="0"/>
    <n v="50000"/>
    <s v="Centralización recaudaciones marzo 2026 #3004 - #3004"/>
    <n v="-50000"/>
    <s v="Activo"/>
    <n v="-50000"/>
    <x v="9"/>
  </r>
  <r>
    <n v="2026"/>
    <n v="3"/>
    <s v="31-03-2026"/>
    <n v="11315"/>
    <s v="1104-01"/>
    <n v="0"/>
    <n v="118529"/>
    <s v="Centralización recaudaciones marzo 2026 #3005 - #3005"/>
    <n v="-118529"/>
    <s v="Activo"/>
    <n v="-118529"/>
    <x v="9"/>
  </r>
  <r>
    <n v="2026"/>
    <n v="3"/>
    <s v="31-03-2026"/>
    <n v="11330"/>
    <s v="1104-01"/>
    <n v="0"/>
    <n v="90000"/>
    <s v="Centralización recaudaciones marzo 2026 #3020 - #3020"/>
    <n v="-90000"/>
    <s v="Activo"/>
    <n v="-90000"/>
    <x v="9"/>
  </r>
  <r>
    <n v="2026"/>
    <n v="3"/>
    <s v="31-03-2026"/>
    <n v="11337"/>
    <s v="1104-01"/>
    <n v="0"/>
    <n v="57980"/>
    <s v="Centralización recaudaciones marzo 2026 #3027 - #3027"/>
    <n v="-57980"/>
    <s v="Activo"/>
    <n v="-57980"/>
    <x v="9"/>
  </r>
  <r>
    <n v="2026"/>
    <n v="3"/>
    <s v="31-03-2026"/>
    <n v="11345"/>
    <s v="1104-01"/>
    <n v="0"/>
    <n v="50000"/>
    <s v="Centralización recaudaciones marzo 2026 #3035 - #3035"/>
    <n v="-50000"/>
    <s v="Activo"/>
    <n v="-50000"/>
    <x v="9"/>
  </r>
  <r>
    <n v="2026"/>
    <n v="3"/>
    <s v="31-03-2026"/>
    <n v="11354"/>
    <s v="1104-01"/>
    <n v="0"/>
    <n v="3108"/>
    <s v="Centralización recaudaciones marzo 2026 #3044 - #3044"/>
    <n v="-3108"/>
    <s v="Activo"/>
    <n v="-3108"/>
    <x v="9"/>
  </r>
  <r>
    <n v="2026"/>
    <n v="3"/>
    <s v="31-03-2026"/>
    <n v="11359"/>
    <s v="1104-01"/>
    <n v="0"/>
    <n v="67980"/>
    <s v="Centralización recaudaciones marzo 2026 #3049 - #3049"/>
    <n v="-67980"/>
    <s v="Activo"/>
    <n v="-67980"/>
    <x v="9"/>
  </r>
  <r>
    <n v="2026"/>
    <n v="3"/>
    <s v="31-03-2026"/>
    <n v="11382"/>
    <s v="1104-01"/>
    <n v="0"/>
    <n v="374863"/>
    <s v="Centralización recaudaciones marzo 2026 #3072 - #3072"/>
    <n v="-374863"/>
    <s v="Activo"/>
    <n v="-374863"/>
    <x v="9"/>
  </r>
  <r>
    <n v="2026"/>
    <n v="3"/>
    <s v="31-03-2026"/>
    <n v="11388"/>
    <s v="1104-01"/>
    <n v="0"/>
    <n v="1391975"/>
    <s v="Centralización recaudaciones marzo 2026 #3078 - #3078"/>
    <n v="-1391975"/>
    <s v="Activo"/>
    <n v="-1391975"/>
    <x v="9"/>
  </r>
  <r>
    <n v="2026"/>
    <n v="3"/>
    <s v="31-03-2026"/>
    <n v="11393"/>
    <s v="1104-01"/>
    <n v="0"/>
    <n v="69990"/>
    <s v="Centralización recaudaciones marzo 2026 #3083 - #3083"/>
    <n v="-69990"/>
    <s v="Activo"/>
    <n v="-69990"/>
    <x v="9"/>
  </r>
  <r>
    <n v="2026"/>
    <n v="3"/>
    <s v="31-03-2026"/>
    <n v="11407"/>
    <s v="1104-01"/>
    <n v="0"/>
    <n v="56980"/>
    <s v="Centralización recaudaciones marzo 2026 #3097 - #3097"/>
    <n v="-56980"/>
    <s v="Activo"/>
    <n v="-56980"/>
    <x v="9"/>
  </r>
  <r>
    <n v="2026"/>
    <n v="3"/>
    <s v="31-03-2026"/>
    <n v="11418"/>
    <s v="1104-01"/>
    <n v="0"/>
    <n v="69980"/>
    <s v="Centralización recaudaciones marzo 2026 #3108 - #3108"/>
    <n v="-69980"/>
    <s v="Activo"/>
    <n v="-69980"/>
    <x v="9"/>
  </r>
  <r>
    <n v="2026"/>
    <n v="3"/>
    <s v="31-03-2026"/>
    <n v="11419"/>
    <s v="1104-01"/>
    <n v="0"/>
    <n v="49970"/>
    <s v="Centralización recaudaciones marzo 2026 #3109 - #3109"/>
    <n v="-49970"/>
    <s v="Activo"/>
    <n v="-49970"/>
    <x v="9"/>
  </r>
  <r>
    <n v="2026"/>
    <n v="3"/>
    <s v="31-03-2026"/>
    <n v="11427"/>
    <s v="1104-01"/>
    <n v="0"/>
    <n v="58990"/>
    <s v="Centralización recaudaciones marzo 2026 #3117 - #3117"/>
    <n v="-58990"/>
    <s v="Activo"/>
    <n v="-58990"/>
    <x v="9"/>
  </r>
  <r>
    <n v="2026"/>
    <n v="3"/>
    <s v="31-03-2026"/>
    <n v="11428"/>
    <s v="1104-01"/>
    <n v="0"/>
    <n v="60980"/>
    <s v="Centralización recaudaciones marzo 2026 #3118 - #3118"/>
    <n v="-60980"/>
    <s v="Activo"/>
    <n v="-60980"/>
    <x v="9"/>
  </r>
  <r>
    <n v="2026"/>
    <n v="3"/>
    <s v="31-03-2026"/>
    <n v="11454"/>
    <s v="1104-01"/>
    <n v="0"/>
    <n v="30000"/>
    <s v="Centralización recaudaciones marzo 2026 #3144 - #3144"/>
    <n v="-30000"/>
    <s v="Activo"/>
    <n v="-30000"/>
    <x v="9"/>
  </r>
  <r>
    <n v="2026"/>
    <n v="3"/>
    <s v="31-03-2026"/>
    <n v="11530"/>
    <s v="1104-01"/>
    <n v="0"/>
    <n v="72970"/>
    <s v="Centralización recaudaciones marzo 2026 #3220 - #3220"/>
    <n v="-72970"/>
    <s v="Activo"/>
    <n v="-72970"/>
    <x v="9"/>
  </r>
  <r>
    <n v="2026"/>
    <n v="3"/>
    <s v="31-03-2026"/>
    <n v="11595"/>
    <s v="1104-01"/>
    <n v="0"/>
    <n v="60940"/>
    <s v="Centralización recaudaciones marzo 2026 #3285 - #3285"/>
    <n v="-60940"/>
    <s v="Activo"/>
    <n v="-60940"/>
    <x v="9"/>
  </r>
  <r>
    <n v="2026"/>
    <n v="3"/>
    <s v="31-03-2026"/>
    <n v="11596"/>
    <s v="1104-01"/>
    <n v="0"/>
    <n v="50000"/>
    <s v="Centralización recaudaciones marzo 2026 #3286 - #3286"/>
    <n v="-50000"/>
    <s v="Activo"/>
    <n v="-50000"/>
    <x v="9"/>
  </r>
  <r>
    <n v="2026"/>
    <n v="3"/>
    <s v="31-03-2026"/>
    <n v="11611"/>
    <s v="1104-01"/>
    <n v="0"/>
    <n v="200789"/>
    <s v="Centralización recaudaciones marzo 2026 #3301 - #3301"/>
    <n v="-200789"/>
    <s v="Activo"/>
    <n v="-200789"/>
    <x v="9"/>
  </r>
  <r>
    <n v="2026"/>
    <n v="3"/>
    <s v="31-03-2026"/>
    <n v="11620"/>
    <s v="1104-01"/>
    <n v="0"/>
    <n v="69990"/>
    <s v="Centralización recaudaciones marzo 2026 #3310 - #3310"/>
    <n v="-69990"/>
    <s v="Activo"/>
    <n v="-69990"/>
    <x v="9"/>
  </r>
  <r>
    <n v="2026"/>
    <n v="3"/>
    <s v="31-03-2026"/>
    <n v="11624"/>
    <s v="1104-01"/>
    <n v="0"/>
    <n v="69980"/>
    <s v="Centralización recaudaciones marzo 2026 #3314 - #3314"/>
    <n v="-69980"/>
    <s v="Activo"/>
    <n v="-69980"/>
    <x v="9"/>
  </r>
  <r>
    <n v="2026"/>
    <n v="3"/>
    <s v="31-03-2026"/>
    <n v="11637"/>
    <s v="1104-01"/>
    <n v="0"/>
    <n v="6020"/>
    <s v="Centralización recaudaciones marzo 2026 #3327 - #3327"/>
    <n v="-6020"/>
    <s v="Activo"/>
    <n v="-6020"/>
    <x v="9"/>
  </r>
  <r>
    <n v="2026"/>
    <n v="3"/>
    <s v="31-03-2026"/>
    <n v="11654"/>
    <s v="1104-01"/>
    <n v="0"/>
    <n v="86052"/>
    <s v="Centralización recaudaciones marzo 2026 #3344 - #3344"/>
    <n v="-86052"/>
    <s v="Activo"/>
    <n v="-86052"/>
    <x v="9"/>
  </r>
  <r>
    <n v="2026"/>
    <n v="3"/>
    <s v="31-03-2026"/>
    <n v="11707"/>
    <s v="1104-01"/>
    <n v="0"/>
    <n v="49980"/>
    <s v="Centralización recaudaciones marzo 2026 #3396 - #3396"/>
    <n v="-49980"/>
    <s v="Activo"/>
    <n v="-49980"/>
    <x v="9"/>
  </r>
  <r>
    <n v="2026"/>
    <n v="3"/>
    <s v="31-03-2026"/>
    <n v="11743"/>
    <s v="1104-01"/>
    <n v="0"/>
    <n v="47490"/>
    <s v="Centralización recaudaciones marzo 2026 #3432 - #3432"/>
    <n v="-47490"/>
    <s v="Activo"/>
    <n v="-47490"/>
    <x v="9"/>
  </r>
  <r>
    <n v="2026"/>
    <n v="3"/>
    <s v="31-03-2026"/>
    <n v="11777"/>
    <s v="1104-01"/>
    <n v="0"/>
    <n v="54990"/>
    <s v="Centralización recaudaciones marzo 2026 #3466 - #3466"/>
    <n v="-54990"/>
    <s v="Activo"/>
    <n v="-54990"/>
    <x v="9"/>
  </r>
  <r>
    <n v="2026"/>
    <n v="3"/>
    <s v="31-03-2026"/>
    <n v="11778"/>
    <s v="1104-01"/>
    <n v="0"/>
    <n v="56519"/>
    <s v="Centralización recaudaciones marzo 2026 #3467 - #3467"/>
    <n v="-56519"/>
    <s v="Activo"/>
    <n v="-56519"/>
    <x v="9"/>
  </r>
  <r>
    <n v="2026"/>
    <n v="3"/>
    <s v="31-03-2026"/>
    <n v="10602"/>
    <s v="1104-01"/>
    <n v="155744375"/>
    <n v="0"/>
    <s v="Centralización ventas marzo 2026  #32026 - valor total"/>
    <n v="155744375"/>
    <s v="Activo"/>
    <n v="155744375"/>
    <x v="9"/>
  </r>
  <r>
    <n v="2026"/>
    <n v="3"/>
    <s v="31-03-2026"/>
    <n v="10741"/>
    <s v="1104-01"/>
    <n v="75238770"/>
    <n v="0"/>
    <s v="Centralización ventas marzo 2026  - valor total"/>
    <n v="75238770"/>
    <s v="Activo"/>
    <n v="75238770"/>
    <x v="9"/>
  </r>
  <r>
    <n v="2026"/>
    <n v="3"/>
    <s v="31-03-2026"/>
    <n v="10741"/>
    <s v="1104-01"/>
    <n v="0"/>
    <n v="10114441"/>
    <s v="Centralización ventas marzo 2026  - valor total"/>
    <n v="-10114441"/>
    <s v="Activo"/>
    <n v="-10114441"/>
    <x v="9"/>
  </r>
  <r>
    <n v="2026"/>
    <n v="4"/>
    <s v="01-04-2026"/>
    <n v="11795"/>
    <s v="1104-01"/>
    <n v="0"/>
    <n v="9177410"/>
    <s v="0966893109 abn crd db tran transba"/>
    <n v="-9177410"/>
    <s v="Activo"/>
    <n v="-9177410"/>
    <x v="9"/>
  </r>
  <r>
    <n v="2026"/>
    <n v="4"/>
    <s v="01-04-2026"/>
    <n v="11797"/>
    <s v="1104-01"/>
    <n v="0"/>
    <n v="867052"/>
    <s v="0761872877 transf. khipu spa"/>
    <n v="-867052"/>
    <s v="Activo"/>
    <n v="-867052"/>
    <x v="9"/>
  </r>
  <r>
    <n v="2026"/>
    <n v="4"/>
    <s v="02-04-2026"/>
    <n v="11798"/>
    <s v="1104-01"/>
    <n v="0"/>
    <n v="12390209"/>
    <s v="0966893109 abn crd db tran transba"/>
    <n v="-12390209"/>
    <s v="Activo"/>
    <n v="-12390209"/>
    <x v="9"/>
  </r>
  <r>
    <n v="2026"/>
    <n v="4"/>
    <s v="02-04-2026"/>
    <n v="11801"/>
    <s v="1104-01"/>
    <n v="0"/>
    <n v="1150321"/>
    <s v="0761872877 transf. khipu spa"/>
    <n v="-1150321"/>
    <s v="Activo"/>
    <n v="-1150321"/>
    <x v="9"/>
  </r>
  <r>
    <n v="2026"/>
    <n v="4"/>
    <s v="06-04-2026"/>
    <n v="11802"/>
    <s v="1104-01"/>
    <n v="0"/>
    <n v="20360224"/>
    <s v="0966893109 abn crd db tran transba"/>
    <n v="-20360224"/>
    <s v="Activo"/>
    <n v="-20360224"/>
    <x v="9"/>
  </r>
  <r>
    <n v="2026"/>
    <n v="4"/>
    <s v="06-04-2026"/>
    <n v="11809"/>
    <s v="1104-01"/>
    <n v="0"/>
    <n v="3312332"/>
    <s v="0761872877 transf. khipu spa"/>
    <n v="-3312332"/>
    <s v="Activo"/>
    <n v="-3312332"/>
    <x v="9"/>
  </r>
  <r>
    <n v="2026"/>
    <n v="4"/>
    <s v="07-04-2026"/>
    <n v="11810"/>
    <s v="1104-01"/>
    <n v="0"/>
    <n v="28554779"/>
    <s v="0966893109 abn crd db tran transba"/>
    <n v="-28554779"/>
    <s v="Activo"/>
    <n v="-28554779"/>
    <x v="9"/>
  </r>
  <r>
    <n v="2026"/>
    <n v="4"/>
    <s v="07-04-2026"/>
    <n v="11811"/>
    <s v="1104-01"/>
    <n v="0"/>
    <n v="789306"/>
    <s v="0761872877 transf. khipu spa"/>
    <n v="-789306"/>
    <s v="Activo"/>
    <n v="-789306"/>
    <x v="9"/>
  </r>
  <r>
    <n v="2026"/>
    <n v="4"/>
    <s v="08-04-2026"/>
    <n v="11812"/>
    <s v="1104-01"/>
    <n v="0"/>
    <n v="12503045"/>
    <s v="0966893109 abn crd db tran transba"/>
    <n v="-12503045"/>
    <s v="Activo"/>
    <n v="-12503045"/>
    <x v="9"/>
  </r>
  <r>
    <n v="2026"/>
    <n v="4"/>
    <s v="08-04-2026"/>
    <n v="11813"/>
    <s v="1104-01"/>
    <n v="0"/>
    <n v="413479"/>
    <s v="0761872877 transf. khipu spa"/>
    <n v="-413479"/>
    <s v="Activo"/>
    <n v="-413479"/>
    <x v="9"/>
  </r>
  <r>
    <n v="2026"/>
    <n v="4"/>
    <s v="09-04-2026"/>
    <n v="11814"/>
    <s v="1104-01"/>
    <n v="0"/>
    <n v="5554873"/>
    <s v="0966893109 abn crd db tran transba"/>
    <n v="-5554873"/>
    <s v="Activo"/>
    <n v="-5554873"/>
    <x v="9"/>
  </r>
  <r>
    <n v="2026"/>
    <n v="4"/>
    <s v="09-04-2026"/>
    <n v="11815"/>
    <s v="1104-01"/>
    <n v="0"/>
    <n v="247935"/>
    <s v="0761872877 transf. khipu spa"/>
    <n v="-247935"/>
    <s v="Activo"/>
    <n v="-247935"/>
    <x v="9"/>
  </r>
  <r>
    <n v="2026"/>
    <n v="4"/>
    <s v="10-04-2026"/>
    <n v="11816"/>
    <s v="1104-01"/>
    <n v="0"/>
    <n v="3676473"/>
    <s v="0966893109 abn crd db tran transba"/>
    <n v="-3676473"/>
    <s v="Activo"/>
    <n v="-3676473"/>
    <x v="9"/>
  </r>
  <r>
    <n v="2026"/>
    <n v="4"/>
    <s v="10-04-2026"/>
    <n v="11817"/>
    <s v="1104-01"/>
    <n v="0"/>
    <n v="67152"/>
    <s v="0761872877 transf. khipu spa"/>
    <n v="-67152"/>
    <s v="Activo"/>
    <n v="-67152"/>
    <x v="9"/>
  </r>
  <r>
    <n v="2026"/>
    <n v="4"/>
    <s v="13-04-2026"/>
    <n v="11822"/>
    <s v="1104-01"/>
    <n v="0"/>
    <n v="3465089"/>
    <s v="0966893109 abn crd db tran transba"/>
    <n v="-3465089"/>
    <s v="Activo"/>
    <n v="-3465089"/>
    <x v="9"/>
  </r>
  <r>
    <n v="2026"/>
    <n v="4"/>
    <s v="13-04-2026"/>
    <n v="11827"/>
    <s v="1104-01"/>
    <n v="0"/>
    <n v="759541"/>
    <s v="0761872877 transf. khipu spa"/>
    <n v="-759541"/>
    <s v="Activo"/>
    <n v="-759541"/>
    <x v="9"/>
  </r>
  <r>
    <n v="2026"/>
    <n v="4"/>
    <s v="14-04-2026"/>
    <n v="11829"/>
    <s v="1104-01"/>
    <n v="0"/>
    <n v="12344269"/>
    <s v="0966893109 abn crd db tran transba"/>
    <n v="-12344269"/>
    <s v="Activo"/>
    <n v="-12344269"/>
    <x v="9"/>
  </r>
  <r>
    <n v="2026"/>
    <n v="4"/>
    <s v="14-04-2026"/>
    <n v="11830"/>
    <s v="1104-01"/>
    <n v="0"/>
    <n v="68169"/>
    <s v="0761872877 transf. khipu spa"/>
    <n v="-68169"/>
    <s v="Activo"/>
    <n v="-68169"/>
    <x v="9"/>
  </r>
  <r>
    <n v="2026"/>
    <n v="4"/>
    <s v="15-04-2026"/>
    <n v="11831"/>
    <s v="1104-01"/>
    <n v="0"/>
    <n v="3368036"/>
    <s v="0966893109 abn crd db tran transba"/>
    <n v="-3368036"/>
    <s v="Activo"/>
    <n v="-3368036"/>
    <x v="9"/>
  </r>
  <r>
    <n v="2026"/>
    <n v="4"/>
    <s v="15-04-2026"/>
    <n v="11832"/>
    <s v="1104-01"/>
    <n v="0"/>
    <n v="47419"/>
    <s v="0761872877 transf. khipu spa"/>
    <n v="-47419"/>
    <s v="Activo"/>
    <n v="-47419"/>
    <x v="9"/>
  </r>
  <r>
    <n v="2026"/>
    <n v="4"/>
    <s v="16-04-2026"/>
    <n v="11835"/>
    <s v="1104-01"/>
    <n v="0"/>
    <n v="1103946"/>
    <s v="0966893109 abn crd db tran transba"/>
    <n v="-1103946"/>
    <s v="Activo"/>
    <n v="-1103946"/>
    <x v="9"/>
  </r>
  <r>
    <n v="2026"/>
    <n v="4"/>
    <s v="16-04-2026"/>
    <n v="11836"/>
    <s v="1104-01"/>
    <n v="0"/>
    <n v="424704"/>
    <s v="0761872877 transf. khipu spa"/>
    <n v="-424704"/>
    <s v="Activo"/>
    <n v="-424704"/>
    <x v="9"/>
  </r>
  <r>
    <n v="2026"/>
    <n v="4"/>
    <s v="17-04-2026"/>
    <n v="11837"/>
    <s v="1104-01"/>
    <n v="0"/>
    <n v="1569216"/>
    <s v="0966893109 abn crd db tran transba"/>
    <n v="-1569216"/>
    <s v="Activo"/>
    <n v="-1569216"/>
    <x v="9"/>
  </r>
  <r>
    <n v="2026"/>
    <n v="4"/>
    <s v="17-04-2026"/>
    <n v="11838"/>
    <s v="1104-01"/>
    <n v="0"/>
    <n v="501368"/>
    <s v="0761872877 transf. khipu spa"/>
    <n v="-501368"/>
    <s v="Activo"/>
    <n v="-501368"/>
    <x v="9"/>
  </r>
  <r>
    <n v="2026"/>
    <n v="4"/>
    <s v="20-04-2026"/>
    <n v="11839"/>
    <s v="1104-01"/>
    <n v="0"/>
    <n v="5001794"/>
    <s v="0966893109 abn crd db tran transba"/>
    <n v="-5001794"/>
    <s v="Activo"/>
    <n v="-5001794"/>
    <x v="9"/>
  </r>
  <r>
    <n v="2026"/>
    <n v="4"/>
    <s v="20-04-2026"/>
    <n v="11843"/>
    <s v="1104-01"/>
    <n v="0"/>
    <n v="525555"/>
    <s v="0761872877 transf. khipu spa"/>
    <n v="-525555"/>
    <s v="Activo"/>
    <n v="-525555"/>
    <x v="9"/>
  </r>
  <r>
    <n v="2026"/>
    <n v="4"/>
    <s v="21-04-2026"/>
    <n v="11844"/>
    <s v="1104-01"/>
    <n v="0"/>
    <n v="6099085"/>
    <s v="0966893109 abn crd db tran transba"/>
    <n v="-6099085"/>
    <s v="Activo"/>
    <n v="-6099085"/>
    <x v="9"/>
  </r>
  <r>
    <n v="2026"/>
    <n v="4"/>
    <s v="21-04-2026"/>
    <n v="11845"/>
    <s v="1104-01"/>
    <n v="0"/>
    <n v="87902"/>
    <s v="0761872877 transf. khipu spa"/>
    <n v="-87902"/>
    <s v="Activo"/>
    <n v="-87902"/>
    <x v="9"/>
  </r>
  <r>
    <n v="2026"/>
    <n v="4"/>
    <s v="22-04-2026"/>
    <n v="11846"/>
    <s v="1104-01"/>
    <n v="0"/>
    <n v="6573351"/>
    <s v="0966893109 abn crd db tran transba"/>
    <n v="-6573351"/>
    <s v="Activo"/>
    <n v="-6573351"/>
    <x v="9"/>
  </r>
  <r>
    <n v="2026"/>
    <n v="4"/>
    <s v="22-04-2026"/>
    <n v="11847"/>
    <s v="1104-01"/>
    <n v="0"/>
    <n v="264012"/>
    <s v="0761872877 transf. khipu spa"/>
    <n v="-264012"/>
    <s v="Activo"/>
    <n v="-264012"/>
    <x v="9"/>
  </r>
  <r>
    <n v="2026"/>
    <n v="4"/>
    <s v="23-04-2026"/>
    <n v="11848"/>
    <s v="1104-01"/>
    <n v="0"/>
    <n v="1490655"/>
    <s v="0966893109 abn crd db tran transba"/>
    <n v="-1490655"/>
    <s v="Activo"/>
    <n v="-1490655"/>
    <x v="9"/>
  </r>
  <r>
    <n v="2026"/>
    <n v="4"/>
    <s v="23-04-2026"/>
    <n v="11849"/>
    <s v="1104-01"/>
    <n v="0"/>
    <n v="81973"/>
    <s v="0761872877 transf. khipu spa"/>
    <n v="-81973"/>
    <s v="Activo"/>
    <n v="-81973"/>
    <x v="9"/>
  </r>
  <r>
    <n v="2026"/>
    <n v="4"/>
    <s v="24-04-2026"/>
    <n v="11850"/>
    <s v="1104-01"/>
    <n v="0"/>
    <n v="1861021"/>
    <s v="0966893109 abn crd db tran transba"/>
    <n v="-1861021"/>
    <s v="Activo"/>
    <n v="-1861021"/>
    <x v="9"/>
  </r>
  <r>
    <n v="2026"/>
    <n v="4"/>
    <s v="24-04-2026"/>
    <n v="11851"/>
    <s v="1104-01"/>
    <n v="0"/>
    <n v="43457"/>
    <s v="0761872877 transf. khipu spa"/>
    <n v="-43457"/>
    <s v="Activo"/>
    <n v="-43457"/>
    <x v="9"/>
  </r>
  <r>
    <n v="2026"/>
    <n v="4"/>
    <s v="27-04-2026"/>
    <n v="11852"/>
    <s v="1104-01"/>
    <n v="0"/>
    <n v="1607413"/>
    <s v="0966893109 abn crd db tran transba"/>
    <n v="-1607413"/>
    <s v="Activo"/>
    <n v="-1607413"/>
    <x v="9"/>
  </r>
  <r>
    <n v="2026"/>
    <n v="4"/>
    <s v="27-04-2026"/>
    <n v="11853"/>
    <s v="1104-01"/>
    <n v="0"/>
    <n v="670107"/>
    <s v="0761872877 transf. khipu spa"/>
    <n v="-670107"/>
    <s v="Activo"/>
    <n v="-670107"/>
    <x v="9"/>
  </r>
  <r>
    <n v="2026"/>
    <n v="4"/>
    <s v="28-04-2026"/>
    <n v="11854"/>
    <s v="1104-01"/>
    <n v="0"/>
    <n v="9557948"/>
    <s v="0966893109 abn crd db tran transba"/>
    <n v="-9557948"/>
    <s v="Activo"/>
    <n v="-9557948"/>
    <x v="9"/>
  </r>
  <r>
    <n v="2026"/>
    <n v="4"/>
    <s v="28-04-2026"/>
    <n v="11855"/>
    <s v="1104-01"/>
    <n v="0"/>
    <n v="622507"/>
    <s v="0761872877 transf. khipu spa"/>
    <n v="-622507"/>
    <s v="Activo"/>
    <n v="-622507"/>
    <x v="9"/>
  </r>
  <r>
    <n v="2026"/>
    <n v="4"/>
    <s v="29-04-2026"/>
    <n v="11856"/>
    <s v="1104-01"/>
    <n v="0"/>
    <n v="8801891"/>
    <s v="0966893109 abn crd db tran transba"/>
    <n v="-8801891"/>
    <s v="Activo"/>
    <n v="-8801891"/>
    <x v="9"/>
  </r>
  <r>
    <n v="2026"/>
    <n v="4"/>
    <s v="29-04-2026"/>
    <n v="11857"/>
    <s v="1104-01"/>
    <n v="0"/>
    <n v="355419"/>
    <s v="0761872877 transf. khipu spa"/>
    <n v="-355419"/>
    <s v="Activo"/>
    <n v="-355419"/>
    <x v="9"/>
  </r>
  <r>
    <n v="2026"/>
    <n v="4"/>
    <s v="30-04-2026"/>
    <n v="11858"/>
    <s v="1104-01"/>
    <n v="0"/>
    <n v="5672123"/>
    <s v="0966893109 abn crd db tran transba"/>
    <n v="-5672123"/>
    <s v="Activo"/>
    <n v="-5672123"/>
    <x v="9"/>
  </r>
  <r>
    <n v="2026"/>
    <n v="4"/>
    <s v="30-04-2026"/>
    <n v="11859"/>
    <s v="1104-01"/>
    <n v="0"/>
    <n v="436071"/>
    <s v="0761872877 transf. khipu spa"/>
    <n v="-436071"/>
    <s v="Activo"/>
    <n v="-436071"/>
    <x v="9"/>
  </r>
  <r>
    <n v="2026"/>
    <n v="4"/>
    <s v="30-04-2026"/>
    <n v="11863"/>
    <s v="1104-01"/>
    <n v="0"/>
    <n v="58017957"/>
    <s v="Centralización recaudaciones abril 2026"/>
    <n v="-58017957"/>
    <s v="Activo"/>
    <n v="-58017957"/>
    <x v="9"/>
  </r>
  <r>
    <n v="2026"/>
    <n v="4"/>
    <s v="30-04-2026"/>
    <n v="11870"/>
    <s v="1104-01"/>
    <n v="0"/>
    <n v="1717210"/>
    <s v="Centralización recaudaciones abril 2026"/>
    <n v="-1717210"/>
    <s v="Activo"/>
    <n v="-1717210"/>
    <x v="9"/>
  </r>
  <r>
    <n v="2026"/>
    <n v="4"/>
    <s v="30-04-2026"/>
    <n v="10755"/>
    <s v="1104-01"/>
    <n v="236543166"/>
    <n v="0"/>
    <s v="Centralización ventas abril 2026  - valor total"/>
    <n v="236543166"/>
    <s v="Activo"/>
    <n v="236543166"/>
    <x v="9"/>
  </r>
  <r>
    <n v="2026"/>
    <n v="4"/>
    <s v="30-04-2026"/>
    <n v="10755"/>
    <s v="1104-01"/>
    <n v="0"/>
    <n v="6954413"/>
    <s v="Centralización ventas abril 2026  - valor total"/>
    <n v="-6954413"/>
    <s v="Activo"/>
    <n v="-6954413"/>
    <x v="9"/>
  </r>
  <r>
    <n v="2026"/>
    <n v="5"/>
    <s v="04-05-2026"/>
    <n v="11873"/>
    <s v="1104-01"/>
    <n v="0"/>
    <n v="8327599"/>
    <s v="0966893109 abn crd db tran transba"/>
    <n v="-8327599"/>
    <s v="Activo"/>
    <n v="-8327599"/>
    <x v="9"/>
  </r>
  <r>
    <n v="2026"/>
    <n v="5"/>
    <s v="04-05-2026"/>
    <n v="11876"/>
    <s v="1104-01"/>
    <n v="0"/>
    <n v="4779934"/>
    <s v="0761872877 transf. khipu spa"/>
    <n v="-4779934"/>
    <s v="Activo"/>
    <n v="-4779934"/>
    <x v="9"/>
  </r>
  <r>
    <n v="2026"/>
    <n v="5"/>
    <s v="05-05-2026"/>
    <n v="11881"/>
    <s v="1104-01"/>
    <n v="0"/>
    <n v="44601703"/>
    <s v="0966893109 abn crd db tran transba"/>
    <n v="-44601703"/>
    <s v="Activo"/>
    <n v="-44601703"/>
    <x v="9"/>
  </r>
  <r>
    <n v="2026"/>
    <n v="5"/>
    <s v="05-05-2026"/>
    <n v="11882"/>
    <s v="1104-01"/>
    <n v="0"/>
    <n v="1415478"/>
    <s v="0761872877 transf. khipu spa"/>
    <n v="-1415478"/>
    <s v="Activo"/>
    <n v="-1415478"/>
    <x v="9"/>
  </r>
  <r>
    <n v="2026"/>
    <n v="5"/>
    <s v="06-05-2026"/>
    <n v="11885"/>
    <s v="1104-01"/>
    <n v="0"/>
    <n v="20035732"/>
    <s v="0966893109 abn crd db tran transba"/>
    <n v="-20035732"/>
    <s v="Activo"/>
    <n v="-20035732"/>
    <x v="9"/>
  </r>
  <r>
    <n v="2026"/>
    <n v="5"/>
    <s v="06-05-2026"/>
    <n v="11889"/>
    <s v="1104-01"/>
    <n v="0"/>
    <n v="554767"/>
    <s v="0761872877 transf. khipu spa"/>
    <n v="-554767"/>
    <s v="Activo"/>
    <n v="-554767"/>
    <x v="9"/>
  </r>
  <r>
    <n v="2026"/>
    <n v="5"/>
    <s v="07-05-2026"/>
    <n v="11890"/>
    <s v="1104-01"/>
    <n v="0"/>
    <n v="8244705"/>
    <s v="0966893109 abn crd db tran transba"/>
    <n v="-8244705"/>
    <s v="Activo"/>
    <n v="-8244705"/>
    <x v="9"/>
  </r>
  <r>
    <n v="2026"/>
    <n v="5"/>
    <s v="07-05-2026"/>
    <n v="11891"/>
    <s v="1104-01"/>
    <n v="0"/>
    <n v="483707"/>
    <s v="0761872877 transf. khipu spa"/>
    <n v="-483707"/>
    <s v="Activo"/>
    <n v="-483707"/>
    <x v="9"/>
  </r>
  <r>
    <n v="2026"/>
    <n v="5"/>
    <s v="08-05-2026"/>
    <n v="11892"/>
    <s v="1104-01"/>
    <n v="0"/>
    <n v="3664739"/>
    <s v="0966893109 abn crd db tran transba"/>
    <n v="-3664739"/>
    <s v="Activo"/>
    <n v="-3664739"/>
    <x v="9"/>
  </r>
  <r>
    <n v="2026"/>
    <n v="5"/>
    <s v="08-05-2026"/>
    <n v="11893"/>
    <s v="1104-01"/>
    <n v="0"/>
    <n v="133335"/>
    <s v="0761872877 transf. khipu spa"/>
    <n v="-133335"/>
    <s v="Activo"/>
    <n v="-133335"/>
    <x v="9"/>
  </r>
  <r>
    <n v="2026"/>
    <n v="5"/>
    <s v="11-05-2026"/>
    <n v="11894"/>
    <s v="1104-01"/>
    <n v="0"/>
    <n v="4092719"/>
    <s v="0966893109 abn crd db tran transba"/>
    <n v="-4092719"/>
    <s v="Activo"/>
    <n v="-4092719"/>
    <x v="9"/>
  </r>
  <r>
    <n v="2026"/>
    <n v="5"/>
    <s v="11-05-2026"/>
    <n v="11896"/>
    <s v="1104-01"/>
    <n v="0"/>
    <n v="150142"/>
    <s v="0761872877 transf. khipu spa"/>
    <n v="-150142"/>
    <s v="Activo"/>
    <n v="-150142"/>
    <x v="9"/>
  </r>
  <r>
    <n v="2026"/>
    <n v="5"/>
    <s v="12-05-2026"/>
    <n v="11897"/>
    <s v="1104-01"/>
    <n v="0"/>
    <n v="9958806"/>
    <s v="0966893109 abn crd db tran transba"/>
    <n v="-9958806"/>
    <s v="Activo"/>
    <n v="-9958806"/>
    <x v="9"/>
  </r>
  <r>
    <n v="2026"/>
    <n v="5"/>
    <s v="12-05-2026"/>
    <n v="11898"/>
    <s v="1104-01"/>
    <n v="0"/>
    <n v="1122511"/>
    <s v="0761872877 transf. khipu spa"/>
    <n v="-1122511"/>
    <s v="Activo"/>
    <n v="-1122511"/>
    <x v="9"/>
  </r>
  <r>
    <n v="2026"/>
    <n v="5"/>
    <s v="13-05-2026"/>
    <n v="11899"/>
    <s v="1104-01"/>
    <n v="0"/>
    <n v="8161253"/>
    <s v="0966893109 abn crd db tran transba"/>
    <n v="-8161253"/>
    <s v="Activo"/>
    <n v="-8161253"/>
    <x v="9"/>
  </r>
  <r>
    <n v="2026"/>
    <n v="5"/>
    <s v="13-05-2026"/>
    <n v="11902"/>
    <s v="1104-01"/>
    <n v="0"/>
    <n v="199576"/>
    <s v="0761872877 transf. khipu spa"/>
    <n v="-199576"/>
    <s v="Activo"/>
    <n v="-199576"/>
    <x v="9"/>
  </r>
  <r>
    <n v="2026"/>
    <n v="5"/>
    <s v="14-05-2026"/>
    <n v="11903"/>
    <s v="1104-01"/>
    <n v="0"/>
    <n v="2868742"/>
    <s v="0966893109 abn crd db tran transba"/>
    <n v="-2868742"/>
    <s v="Activo"/>
    <n v="-2868742"/>
    <x v="9"/>
  </r>
  <r>
    <n v="2026"/>
    <n v="5"/>
    <s v="14-05-2026"/>
    <n v="11904"/>
    <s v="1104-01"/>
    <n v="0"/>
    <n v="29643"/>
    <s v="0761872877 transf. khipu spa"/>
    <n v="-29643"/>
    <s v="Activo"/>
    <n v="-29643"/>
    <x v="9"/>
  </r>
  <r>
    <n v="2026"/>
    <n v="5"/>
    <s v="15-05-2026"/>
    <n v="11905"/>
    <s v="1104-01"/>
    <n v="0"/>
    <n v="987088"/>
    <s v="0966893109 abn crd db tran transba"/>
    <n v="-987088"/>
    <s v="Activo"/>
    <n v="-987088"/>
    <x v="9"/>
  </r>
  <r>
    <n v="2026"/>
    <n v="5"/>
    <s v="18-05-2026"/>
    <n v="11912"/>
    <s v="1104-01"/>
    <n v="0"/>
    <n v="722334"/>
    <s v="0966893109 abn crd db tran transba"/>
    <n v="-722334"/>
    <s v="Activo"/>
    <n v="-722334"/>
    <x v="9"/>
  </r>
  <r>
    <n v="2026"/>
    <n v="5"/>
    <s v="18-05-2026"/>
    <n v="11913"/>
    <s v="1104-01"/>
    <n v="0"/>
    <n v="433649"/>
    <s v="0761872877 transf. khipu spa"/>
    <n v="-433649"/>
    <s v="Activo"/>
    <n v="-433649"/>
    <x v="9"/>
  </r>
  <r>
    <n v="2026"/>
    <n v="5"/>
    <s v="19-05-2026"/>
    <n v="11914"/>
    <s v="1104-01"/>
    <n v="0"/>
    <n v="9996209"/>
    <s v="0966893109 abn crd db tran transba"/>
    <n v="-9996209"/>
    <s v="Activo"/>
    <n v="-9996209"/>
    <x v="9"/>
  </r>
  <r>
    <n v="2026"/>
    <n v="5"/>
    <s v="19-05-2026"/>
    <n v="11923"/>
    <s v="1104-01"/>
    <n v="0"/>
    <n v="317044"/>
    <s v="0761872877 transf. khipu spa"/>
    <n v="-317044"/>
    <s v="Activo"/>
    <n v="-317044"/>
    <x v="9"/>
  </r>
  <r>
    <n v="2026"/>
    <n v="5"/>
    <s v="20-05-2026"/>
    <n v="11924"/>
    <s v="1104-01"/>
    <n v="0"/>
    <n v="7118642"/>
    <s v="0966893109 abn crd db tran transba"/>
    <n v="-7118642"/>
    <s v="Activo"/>
    <n v="-7118642"/>
    <x v="9"/>
  </r>
  <r>
    <n v="2026"/>
    <n v="5"/>
    <s v="20-05-2026"/>
    <n v="11925"/>
    <s v="1104-01"/>
    <n v="0"/>
    <n v="186701"/>
    <s v="0761872877 transf. khipu spa"/>
    <n v="-186701"/>
    <s v="Activo"/>
    <n v="-186701"/>
    <x v="9"/>
  </r>
  <r>
    <n v="2026"/>
    <n v="5"/>
    <s v="22-05-2026"/>
    <n v="11926"/>
    <s v="1104-01"/>
    <n v="0"/>
    <n v="2849529"/>
    <s v="0966893109 abn crd db tran transba"/>
    <n v="-2849529"/>
    <s v="Activo"/>
    <n v="-2849529"/>
    <x v="9"/>
  </r>
  <r>
    <n v="2026"/>
    <n v="5"/>
    <s v="22-05-2026"/>
    <n v="11927"/>
    <s v="1104-01"/>
    <n v="0"/>
    <n v="140233"/>
    <s v="0761872877 transf. khipu spa"/>
    <n v="-140233"/>
    <s v="Activo"/>
    <n v="-140233"/>
    <x v="9"/>
  </r>
  <r>
    <n v="2026"/>
    <n v="5"/>
    <s v="25-05-2026"/>
    <n v="11930"/>
    <s v="1104-01"/>
    <n v="0"/>
    <n v="4818156"/>
    <s v="0966893109 abn crd db tran transba"/>
    <n v="-4818156"/>
    <s v="Activo"/>
    <n v="-4818156"/>
    <x v="9"/>
  </r>
  <r>
    <n v="2026"/>
    <n v="5"/>
    <s v="25-05-2026"/>
    <n v="11933"/>
    <s v="1104-01"/>
    <n v="0"/>
    <n v="566268"/>
    <s v="0761872877 transf. khipu spa"/>
    <n v="-566268"/>
    <s v="Activo"/>
    <n v="-566268"/>
    <x v="9"/>
  </r>
  <r>
    <n v="2026"/>
    <n v="5"/>
    <s v="26-05-2026"/>
    <n v="11934"/>
    <s v="1104-01"/>
    <n v="0"/>
    <n v="7551898"/>
    <s v="0966893109 abn crd db tran transba"/>
    <n v="-7551898"/>
    <s v="Activo"/>
    <n v="-7551898"/>
    <x v="9"/>
  </r>
  <r>
    <n v="2026"/>
    <n v="5"/>
    <s v="26-05-2026"/>
    <n v="11935"/>
    <s v="1104-01"/>
    <n v="0"/>
    <n v="634693"/>
    <s v="0761872877 transf. khipu spa"/>
    <n v="-634693"/>
    <s v="Activo"/>
    <n v="-634693"/>
    <x v="9"/>
  </r>
  <r>
    <n v="2026"/>
    <n v="5"/>
    <s v="27-05-2026"/>
    <n v="11936"/>
    <s v="1104-01"/>
    <n v="0"/>
    <n v="5057054"/>
    <s v="0966893109 abn crd db tran transba"/>
    <n v="-5057054"/>
    <s v="Activo"/>
    <n v="-5057054"/>
    <x v="9"/>
  </r>
  <r>
    <n v="2026"/>
    <n v="5"/>
    <s v="27-05-2026"/>
    <n v="11938"/>
    <s v="1104-01"/>
    <n v="0"/>
    <n v="585766"/>
    <s v="0761872877 transf. khipu spa"/>
    <n v="-585766"/>
    <s v="Activo"/>
    <n v="-585766"/>
    <x v="9"/>
  </r>
  <r>
    <n v="2026"/>
    <n v="5"/>
    <s v="28-05-2026"/>
    <n v="11939"/>
    <s v="1104-01"/>
    <n v="0"/>
    <n v="4894274"/>
    <s v="0966893109 abn crd db tran transba"/>
    <n v="-4894274"/>
    <s v="Activo"/>
    <n v="-4894274"/>
    <x v="9"/>
  </r>
  <r>
    <n v="2026"/>
    <n v="5"/>
    <s v="28-05-2026"/>
    <n v="11941"/>
    <s v="1104-01"/>
    <n v="0"/>
    <n v="835022"/>
    <s v="0761872877 transf. khipu spa"/>
    <n v="-835022"/>
    <s v="Activo"/>
    <n v="-835022"/>
    <x v="9"/>
  </r>
  <r>
    <n v="2026"/>
    <n v="5"/>
    <s v="29-05-2026"/>
    <n v="11942"/>
    <s v="1104-01"/>
    <n v="0"/>
    <n v="4788257"/>
    <s v="0966893109 abn crd db tran transba"/>
    <n v="-4788257"/>
    <s v="Activo"/>
    <n v="-4788257"/>
    <x v="9"/>
  </r>
  <r>
    <n v="2026"/>
    <n v="5"/>
    <s v="29-05-2026"/>
    <n v="11944"/>
    <s v="1104-01"/>
    <n v="0"/>
    <n v="286440"/>
    <s v="0761872877 transf. khipu spa"/>
    <n v="-286440"/>
    <s v="Activo"/>
    <n v="-286440"/>
    <x v="9"/>
  </r>
  <r>
    <n v="2026"/>
    <n v="5"/>
    <s v="31-05-2026"/>
    <n v="11872"/>
    <s v="1104-01"/>
    <n v="0"/>
    <n v="38544115"/>
    <s v="Centralización recaudaciones mayo 2026"/>
    <n v="-38544115"/>
    <s v="Activo"/>
    <n v="-38544115"/>
    <x v="9"/>
  </r>
  <r>
    <n v="2026"/>
    <n v="5"/>
    <s v="31-05-2026"/>
    <n v="10781"/>
    <s v="1104-01"/>
    <n v="246061330"/>
    <n v="0"/>
    <s v="Centralización ventas mayo 2026  - valor total"/>
    <n v="246061330"/>
    <s v="Activo"/>
    <n v="246061330"/>
    <x v="9"/>
  </r>
  <r>
    <n v="2026"/>
    <n v="5"/>
    <s v="31-05-2026"/>
    <n v="10781"/>
    <s v="1104-01"/>
    <n v="0"/>
    <n v="10280527"/>
    <s v="Centralización ventas mayo 2026  - valor total"/>
    <n v="-10280527"/>
    <s v="Activo"/>
    <n v="-10280527"/>
    <x v="9"/>
  </r>
  <r>
    <n v="2026"/>
    <n v="5"/>
    <s v="31-05-2026"/>
    <n v="10844"/>
    <s v="1104-01"/>
    <n v="0"/>
    <n v="653610"/>
    <s v="Centralización ventas mayo 2026  - valor total"/>
    <n v="-653610"/>
    <s v="Activo"/>
    <n v="-653610"/>
    <x v="9"/>
  </r>
  <r>
    <n v="2026"/>
    <n v="6"/>
    <s v="01-06-2026"/>
    <n v="11954"/>
    <s v="1104-01"/>
    <n v="0"/>
    <n v="980"/>
    <s v="Centralización recaudaciones junio 2026 #4660 - #4660"/>
    <n v="-980"/>
    <s v="Activo"/>
    <n v="-980"/>
    <x v="9"/>
  </r>
  <r>
    <n v="2026"/>
    <n v="6"/>
    <s v="01-06-2026"/>
    <n v="11961"/>
    <s v="1104-01"/>
    <n v="0"/>
    <n v="115310"/>
    <s v="Centralización recaudaciones junio 2026 #4667 - #4667"/>
    <n v="-115310"/>
    <s v="Activo"/>
    <n v="-115310"/>
    <x v="9"/>
  </r>
  <r>
    <n v="2026"/>
    <n v="6"/>
    <s v="01-06-2026"/>
    <n v="11969"/>
    <s v="1104-01"/>
    <n v="0"/>
    <n v="30000"/>
    <s v="Centralización recaudaciones junio 2026 #4674 - #4674"/>
    <n v="-30000"/>
    <s v="Activo"/>
    <n v="-30000"/>
    <x v="9"/>
  </r>
  <r>
    <n v="2026"/>
    <n v="6"/>
    <s v="01-06-2026"/>
    <n v="11972"/>
    <s v="1104-01"/>
    <n v="0"/>
    <n v="50000"/>
    <s v="Centralización recaudaciones junio 2026 #4677 - #4677"/>
    <n v="-50000"/>
    <s v="Activo"/>
    <n v="-50000"/>
    <x v="9"/>
  </r>
  <r>
    <n v="2026"/>
    <n v="6"/>
    <s v="01-06-2026"/>
    <n v="11977"/>
    <s v="1104-01"/>
    <n v="0"/>
    <n v="30000"/>
    <s v="Centralización recaudaciones junio 2026 #4682 - #4682"/>
    <n v="-30000"/>
    <s v="Activo"/>
    <n v="-30000"/>
    <x v="9"/>
  </r>
  <r>
    <n v="2026"/>
    <n v="6"/>
    <s v="01-06-2026"/>
    <n v="11984"/>
    <s v="1104-01"/>
    <n v="0"/>
    <n v="30000"/>
    <s v="Centralización recaudaciones junio 2026 #4689 - #4689"/>
    <n v="-30000"/>
    <s v="Activo"/>
    <n v="-30000"/>
    <x v="9"/>
  </r>
  <r>
    <n v="2026"/>
    <n v="6"/>
    <s v="01-06-2026"/>
    <n v="11988"/>
    <s v="1104-01"/>
    <n v="0"/>
    <n v="60000"/>
    <s v="Centralización recaudaciones junio 2026 #4693 - #4693"/>
    <n v="-60000"/>
    <s v="Activo"/>
    <n v="-60000"/>
    <x v="9"/>
  </r>
  <r>
    <n v="2026"/>
    <n v="6"/>
    <s v="01-06-2026"/>
    <n v="11989"/>
    <s v="1104-01"/>
    <n v="0"/>
    <n v="60000"/>
    <s v="Centralización recaudaciones junio 2026 #4694 - #4694"/>
    <n v="-60000"/>
    <s v="Activo"/>
    <n v="-60000"/>
    <x v="9"/>
  </r>
  <r>
    <n v="2026"/>
    <n v="6"/>
    <s v="01-06-2026"/>
    <n v="11993"/>
    <s v="1104-01"/>
    <n v="0"/>
    <n v="70052"/>
    <s v="Centralización recaudaciones junio 2026 #4698 - #4698"/>
    <n v="-70052"/>
    <s v="Activo"/>
    <n v="-70052"/>
    <x v="9"/>
  </r>
  <r>
    <n v="2026"/>
    <n v="6"/>
    <s v="01-06-2026"/>
    <n v="11995"/>
    <s v="1104-01"/>
    <n v="0"/>
    <n v="30000"/>
    <s v="Centralización recaudaciones junio 2026 #4700 - #4700"/>
    <n v="-30000"/>
    <s v="Activo"/>
    <n v="-30000"/>
    <x v="9"/>
  </r>
  <r>
    <n v="2026"/>
    <n v="6"/>
    <s v="01-06-2026"/>
    <n v="11997"/>
    <s v="1104-01"/>
    <n v="0"/>
    <n v="30000"/>
    <s v="Centralización recaudaciones junio 2026 #4702 - #4702"/>
    <n v="-30000"/>
    <s v="Activo"/>
    <n v="-30000"/>
    <x v="9"/>
  </r>
  <r>
    <n v="2026"/>
    <n v="6"/>
    <s v="01-06-2026"/>
    <n v="12006"/>
    <s v="1104-01"/>
    <n v="0"/>
    <n v="30000"/>
    <s v="Centralización recaudaciones junio 2026 #4711 - #4711"/>
    <n v="-30000"/>
    <s v="Activo"/>
    <n v="-30000"/>
    <x v="9"/>
  </r>
  <r>
    <n v="2026"/>
    <n v="6"/>
    <s v="01-06-2026"/>
    <n v="12007"/>
    <s v="1104-01"/>
    <n v="0"/>
    <n v="30000"/>
    <s v="Centralización recaudaciones junio 2026 #4712 - #4712"/>
    <n v="-30000"/>
    <s v="Activo"/>
    <n v="-30000"/>
    <x v="9"/>
  </r>
  <r>
    <n v="2026"/>
    <n v="6"/>
    <s v="01-06-2026"/>
    <n v="12009"/>
    <s v="1104-01"/>
    <n v="0"/>
    <n v="30000"/>
    <s v="Centralización recaudaciones junio 2026 #4714 - #4714"/>
    <n v="-30000"/>
    <s v="Activo"/>
    <n v="-30000"/>
    <x v="9"/>
  </r>
  <r>
    <n v="2026"/>
    <n v="6"/>
    <s v="01-06-2026"/>
    <n v="12010"/>
    <s v="1104-01"/>
    <n v="0"/>
    <n v="30000"/>
    <s v="Centralización recaudaciones junio 2026 #4715 - #4715"/>
    <n v="-30000"/>
    <s v="Activo"/>
    <n v="-30000"/>
    <x v="9"/>
  </r>
  <r>
    <n v="2026"/>
    <n v="6"/>
    <s v="01-06-2026"/>
    <n v="12013"/>
    <s v="1104-01"/>
    <n v="0"/>
    <n v="40000"/>
    <s v="Centralización recaudaciones junio 2026 #4718 - #4718"/>
    <n v="-40000"/>
    <s v="Activo"/>
    <n v="-40000"/>
    <x v="9"/>
  </r>
  <r>
    <n v="2026"/>
    <n v="6"/>
    <s v="01-06-2026"/>
    <n v="12015"/>
    <s v="1104-01"/>
    <n v="0"/>
    <n v="32990"/>
    <s v="Centralización recaudaciones junio 2026 #4720 - #4720"/>
    <n v="-32990"/>
    <s v="Activo"/>
    <n v="-32990"/>
    <x v="9"/>
  </r>
  <r>
    <n v="2026"/>
    <n v="6"/>
    <s v="01-06-2026"/>
    <n v="12024"/>
    <s v="1104-01"/>
    <n v="0"/>
    <n v="43990"/>
    <s v="Centralización recaudaciones junio 2026 #4729 - #4729"/>
    <n v="-43990"/>
    <s v="Activo"/>
    <n v="-43990"/>
    <x v="9"/>
  </r>
  <r>
    <n v="2026"/>
    <n v="6"/>
    <s v="01-06-2026"/>
    <n v="12027"/>
    <s v="1104-01"/>
    <n v="0"/>
    <n v="296114"/>
    <s v="Centralización recaudaciones junio 2026 #4732 - #4732"/>
    <n v="-296114"/>
    <s v="Activo"/>
    <n v="-296114"/>
    <x v="9"/>
  </r>
  <r>
    <n v="2026"/>
    <n v="6"/>
    <s v="01-06-2026"/>
    <n v="12028"/>
    <s v="1104-01"/>
    <n v="0"/>
    <n v="30000"/>
    <s v="Centralización recaudaciones junio 2026 #4733 - #4733"/>
    <n v="-30000"/>
    <s v="Activo"/>
    <n v="-30000"/>
    <x v="9"/>
  </r>
  <r>
    <n v="2026"/>
    <n v="6"/>
    <s v="01-06-2026"/>
    <n v="12031"/>
    <s v="1104-01"/>
    <n v="0"/>
    <n v="30000"/>
    <s v="Centralización recaudaciones junio 2026 #4736 - #4736"/>
    <n v="-30000"/>
    <s v="Activo"/>
    <n v="-30000"/>
    <x v="9"/>
  </r>
  <r>
    <n v="2026"/>
    <n v="6"/>
    <s v="01-06-2026"/>
    <n v="12035"/>
    <s v="1104-01"/>
    <n v="0"/>
    <n v="30000"/>
    <s v="Centralización recaudaciones junio 2026 #4740 - #4740"/>
    <n v="-30000"/>
    <s v="Activo"/>
    <n v="-30000"/>
    <x v="9"/>
  </r>
  <r>
    <n v="2026"/>
    <n v="6"/>
    <s v="01-06-2026"/>
    <n v="12039"/>
    <s v="1104-01"/>
    <n v="0"/>
    <n v="40000"/>
    <s v="Centralización recaudaciones junio 2026 #4744 - #4744"/>
    <n v="-40000"/>
    <s v="Activo"/>
    <n v="-40000"/>
    <x v="9"/>
  </r>
  <r>
    <n v="2026"/>
    <n v="6"/>
    <s v="01-06-2026"/>
    <n v="12040"/>
    <s v="1104-01"/>
    <n v="0"/>
    <n v="30000"/>
    <s v="Centralización recaudaciones junio 2026 #4745 - #4745"/>
    <n v="-30000"/>
    <s v="Activo"/>
    <n v="-30000"/>
    <x v="9"/>
  </r>
  <r>
    <n v="2026"/>
    <n v="6"/>
    <s v="01-06-2026"/>
    <n v="12044"/>
    <s v="1104-01"/>
    <n v="0"/>
    <n v="33990"/>
    <s v="Centralización recaudaciones junio 2026 #4749 - #4749"/>
    <n v="-33990"/>
    <s v="Activo"/>
    <n v="-33990"/>
    <x v="9"/>
  </r>
  <r>
    <n v="2026"/>
    <n v="6"/>
    <s v="01-06-2026"/>
    <n v="12047"/>
    <s v="1104-01"/>
    <n v="0"/>
    <n v="30000"/>
    <s v="Centralización recaudaciones junio 2026 #4752 - #4752"/>
    <n v="-30000"/>
    <s v="Activo"/>
    <n v="-30000"/>
    <x v="9"/>
  </r>
  <r>
    <n v="2026"/>
    <n v="6"/>
    <s v="01-06-2026"/>
    <n v="12049"/>
    <s v="1104-01"/>
    <n v="0"/>
    <n v="30000"/>
    <s v="Centralización recaudaciones junio 2026 #4754 - #4754"/>
    <n v="-30000"/>
    <s v="Activo"/>
    <n v="-30000"/>
    <x v="9"/>
  </r>
  <r>
    <n v="2026"/>
    <n v="6"/>
    <s v="01-06-2026"/>
    <n v="12050"/>
    <s v="1104-01"/>
    <n v="0"/>
    <n v="30000"/>
    <s v="Centralización recaudaciones junio 2026 #4755 - #4755"/>
    <n v="-30000"/>
    <s v="Activo"/>
    <n v="-30000"/>
    <x v="9"/>
  </r>
  <r>
    <n v="2026"/>
    <n v="6"/>
    <s v="01-06-2026"/>
    <n v="12051"/>
    <s v="1104-01"/>
    <n v="0"/>
    <n v="40000"/>
    <s v="Centralización recaudaciones junio 2026 #4756 - #4756"/>
    <n v="-40000"/>
    <s v="Activo"/>
    <n v="-40000"/>
    <x v="9"/>
  </r>
  <r>
    <n v="2026"/>
    <n v="6"/>
    <s v="01-06-2026"/>
    <n v="12055"/>
    <s v="1104-01"/>
    <n v="0"/>
    <n v="21990"/>
    <s v="Centralización recaudaciones junio 2026 #4760 - #4760"/>
    <n v="-21990"/>
    <s v="Activo"/>
    <n v="-21990"/>
    <x v="9"/>
  </r>
  <r>
    <n v="2026"/>
    <n v="6"/>
    <s v="01-06-2026"/>
    <n v="12060"/>
    <s v="1104-01"/>
    <n v="0"/>
    <n v="21990"/>
    <s v="Centralización recaudaciones junio 2026 #4765 - #4765"/>
    <n v="-21990"/>
    <s v="Activo"/>
    <n v="-21990"/>
    <x v="9"/>
  </r>
  <r>
    <n v="2026"/>
    <n v="6"/>
    <s v="01-06-2026"/>
    <n v="12075"/>
    <s v="1104-01"/>
    <n v="0"/>
    <n v="101990"/>
    <s v="Centralización recaudaciones junio 2026 #5272 - #5272"/>
    <n v="-101990"/>
    <s v="Activo"/>
    <n v="-101990"/>
    <x v="9"/>
  </r>
  <r>
    <n v="2026"/>
    <n v="6"/>
    <s v="01-06-2026"/>
    <n v="12085"/>
    <s v="1104-01"/>
    <n v="0"/>
    <n v="30000"/>
    <s v="Centralización recaudaciones junio 2026 #4788 - #4788"/>
    <n v="-30000"/>
    <s v="Activo"/>
    <n v="-30000"/>
    <x v="9"/>
  </r>
  <r>
    <n v="2026"/>
    <n v="6"/>
    <s v="01-06-2026"/>
    <n v="12090"/>
    <s v="1104-01"/>
    <n v="0"/>
    <n v="30000"/>
    <s v="Centralización recaudaciones junio 2026 #4793 - #4793"/>
    <n v="-30000"/>
    <s v="Activo"/>
    <n v="-30000"/>
    <x v="9"/>
  </r>
  <r>
    <n v="2026"/>
    <n v="6"/>
    <s v="01-06-2026"/>
    <n v="12092"/>
    <s v="1104-01"/>
    <n v="0"/>
    <n v="90000"/>
    <s v="Centralización recaudaciones junio 2026 #4795 - #4795"/>
    <n v="-90000"/>
    <s v="Activo"/>
    <n v="-90000"/>
    <x v="9"/>
  </r>
  <r>
    <n v="2026"/>
    <n v="6"/>
    <s v="01-06-2026"/>
    <n v="12100"/>
    <s v="1104-01"/>
    <n v="0"/>
    <n v="33990"/>
    <s v="Centralización recaudaciones junio 2026 #4803 - #4803"/>
    <n v="-33990"/>
    <s v="Activo"/>
    <n v="-33990"/>
    <x v="9"/>
  </r>
  <r>
    <n v="2026"/>
    <n v="6"/>
    <s v="01-06-2026"/>
    <n v="12106"/>
    <s v="1104-01"/>
    <n v="0"/>
    <n v="21990"/>
    <s v="Centralización recaudaciones junio 2026 #4809 - #4809"/>
    <n v="-21990"/>
    <s v="Activo"/>
    <n v="-21990"/>
    <x v="9"/>
  </r>
  <r>
    <n v="2026"/>
    <n v="6"/>
    <s v="01-06-2026"/>
    <n v="12108"/>
    <s v="1104-01"/>
    <n v="0"/>
    <n v="30000"/>
    <s v="Centralización recaudaciones junio 2026 #4811 - #4811"/>
    <n v="-30000"/>
    <s v="Activo"/>
    <n v="-30000"/>
    <x v="9"/>
  </r>
  <r>
    <n v="2026"/>
    <n v="6"/>
    <s v="01-06-2026"/>
    <n v="12113"/>
    <s v="1104-01"/>
    <n v="0"/>
    <n v="30000"/>
    <s v="Centralización recaudaciones junio 2026 #4816 - #4816"/>
    <n v="-30000"/>
    <s v="Activo"/>
    <n v="-30000"/>
    <x v="9"/>
  </r>
  <r>
    <n v="2026"/>
    <n v="6"/>
    <s v="01-06-2026"/>
    <n v="12120"/>
    <s v="1104-01"/>
    <n v="0"/>
    <n v="47960"/>
    <s v="Centralización recaudaciones junio 2026 #4823 - #4823"/>
    <n v="-47960"/>
    <s v="Activo"/>
    <n v="-47960"/>
    <x v="9"/>
  </r>
  <r>
    <n v="2026"/>
    <n v="6"/>
    <s v="01-06-2026"/>
    <n v="12122"/>
    <s v="1104-01"/>
    <n v="0"/>
    <n v="5000"/>
    <s v="Centralización recaudaciones junio 2026 #4825 - #4825"/>
    <n v="-5000"/>
    <s v="Activo"/>
    <n v="-5000"/>
    <x v="9"/>
  </r>
  <r>
    <n v="2026"/>
    <n v="6"/>
    <s v="01-06-2026"/>
    <n v="12123"/>
    <s v="1104-01"/>
    <n v="0"/>
    <n v="38000"/>
    <s v="Centralización recaudaciones junio 2026 #4826 - #4826"/>
    <n v="-38000"/>
    <s v="Activo"/>
    <n v="-38000"/>
    <x v="9"/>
  </r>
  <r>
    <n v="2026"/>
    <n v="6"/>
    <s v="01-06-2026"/>
    <n v="12124"/>
    <s v="1104-01"/>
    <n v="0"/>
    <n v="40000"/>
    <s v="Centralización recaudaciones junio 2026 #4827 - #4827"/>
    <n v="-40000"/>
    <s v="Activo"/>
    <n v="-40000"/>
    <x v="9"/>
  </r>
  <r>
    <n v="2026"/>
    <n v="6"/>
    <s v="01-06-2026"/>
    <n v="12125"/>
    <s v="1104-01"/>
    <n v="0"/>
    <n v="64000"/>
    <s v="Centralización recaudaciones junio 2026 #4828 - #4828"/>
    <n v="-64000"/>
    <s v="Activo"/>
    <n v="-64000"/>
    <x v="9"/>
  </r>
  <r>
    <n v="2026"/>
    <n v="6"/>
    <s v="01-06-2026"/>
    <n v="12127"/>
    <s v="1104-01"/>
    <n v="0"/>
    <n v="30000"/>
    <s v="Centralización recaudaciones junio 2026 #4830 - #4830"/>
    <n v="-30000"/>
    <s v="Activo"/>
    <n v="-30000"/>
    <x v="9"/>
  </r>
  <r>
    <n v="2026"/>
    <n v="6"/>
    <s v="01-06-2026"/>
    <n v="12129"/>
    <s v="1104-01"/>
    <n v="0"/>
    <n v="29980"/>
    <s v="Centralización recaudaciones junio 2026 #4832 - #4832"/>
    <n v="-29980"/>
    <s v="Activo"/>
    <n v="-29980"/>
    <x v="9"/>
  </r>
  <r>
    <n v="2026"/>
    <n v="6"/>
    <s v="01-06-2026"/>
    <n v="12130"/>
    <s v="1104-01"/>
    <n v="0"/>
    <n v="50000"/>
    <s v="Centralización recaudaciones junio 2026 #4833 - #4833"/>
    <n v="-50000"/>
    <s v="Activo"/>
    <n v="-50000"/>
    <x v="9"/>
  </r>
  <r>
    <n v="2026"/>
    <n v="6"/>
    <s v="01-06-2026"/>
    <n v="12132"/>
    <s v="1104-01"/>
    <n v="0"/>
    <n v="33990"/>
    <s v="Centralización recaudaciones junio 2026 #4835 - #4835"/>
    <n v="-33990"/>
    <s v="Activo"/>
    <n v="-33990"/>
    <x v="9"/>
  </r>
  <r>
    <n v="2026"/>
    <n v="6"/>
    <s v="01-06-2026"/>
    <n v="12141"/>
    <s v="1104-01"/>
    <n v="0"/>
    <n v="30000"/>
    <s v="Centralización recaudaciones junio 2026 #4844 - #4844"/>
    <n v="-30000"/>
    <s v="Activo"/>
    <n v="-30000"/>
    <x v="9"/>
  </r>
  <r>
    <n v="2026"/>
    <n v="6"/>
    <s v="01-06-2026"/>
    <n v="12145"/>
    <s v="1104-01"/>
    <n v="0"/>
    <n v="30000"/>
    <s v="Centralización recaudaciones junio 2026 #4848 - #4848"/>
    <n v="-30000"/>
    <s v="Activo"/>
    <n v="-30000"/>
    <x v="9"/>
  </r>
  <r>
    <n v="2026"/>
    <n v="6"/>
    <s v="01-06-2026"/>
    <n v="12149"/>
    <s v="1104-01"/>
    <n v="0"/>
    <n v="30000"/>
    <s v="Centralización recaudaciones junio 2026 #4852 - #4852"/>
    <n v="-30000"/>
    <s v="Activo"/>
    <n v="-30000"/>
    <x v="9"/>
  </r>
  <r>
    <n v="2026"/>
    <n v="6"/>
    <s v="01-06-2026"/>
    <n v="12150"/>
    <s v="1104-01"/>
    <n v="0"/>
    <n v="36990"/>
    <s v="Centralización recaudaciones junio 2026 #4853 - #4853"/>
    <n v="-36990"/>
    <s v="Activo"/>
    <n v="-36990"/>
    <x v="9"/>
  </r>
  <r>
    <n v="2026"/>
    <n v="6"/>
    <s v="01-06-2026"/>
    <n v="12160"/>
    <s v="1104-01"/>
    <n v="0"/>
    <n v="35970"/>
    <s v="Centralización recaudaciones junio 2026 #4863 - #4863"/>
    <n v="-35970"/>
    <s v="Activo"/>
    <n v="-35970"/>
    <x v="9"/>
  </r>
  <r>
    <n v="2026"/>
    <n v="6"/>
    <s v="01-06-2026"/>
    <n v="12168"/>
    <s v="1104-01"/>
    <n v="0"/>
    <n v="30000"/>
    <s v="Centralización recaudaciones junio 2026 #4871 - #4871"/>
    <n v="-30000"/>
    <s v="Activo"/>
    <n v="-30000"/>
    <x v="9"/>
  </r>
  <r>
    <n v="2026"/>
    <n v="6"/>
    <s v="01-06-2026"/>
    <n v="12171"/>
    <s v="1104-01"/>
    <n v="0"/>
    <n v="21990"/>
    <s v="Centralización recaudaciones junio 2026 #4874 - #4874"/>
    <n v="-21990"/>
    <s v="Activo"/>
    <n v="-21990"/>
    <x v="9"/>
  </r>
  <r>
    <n v="2026"/>
    <n v="6"/>
    <s v="01-06-2026"/>
    <n v="12172"/>
    <s v="1104-01"/>
    <n v="0"/>
    <n v="21990"/>
    <s v="Centralización recaudaciones junio 2026 #4875 - #4875"/>
    <n v="-21990"/>
    <s v="Activo"/>
    <n v="-21990"/>
    <x v="9"/>
  </r>
  <r>
    <n v="2026"/>
    <n v="6"/>
    <s v="01-06-2026"/>
    <n v="12188"/>
    <s v="1104-01"/>
    <n v="0"/>
    <n v="43980"/>
    <s v="Centralización recaudaciones junio 2026 #4891 - #4891"/>
    <n v="-43980"/>
    <s v="Activo"/>
    <n v="-43980"/>
    <x v="9"/>
  </r>
  <r>
    <n v="2026"/>
    <n v="6"/>
    <s v="01-06-2026"/>
    <n v="12190"/>
    <s v="1104-01"/>
    <n v="0"/>
    <n v="14990"/>
    <s v="Centralización recaudaciones junio 2026 #4893 - #4893"/>
    <n v="-14990"/>
    <s v="Activo"/>
    <n v="-14990"/>
    <x v="9"/>
  </r>
  <r>
    <n v="2026"/>
    <n v="6"/>
    <s v="01-06-2026"/>
    <n v="12194"/>
    <s v="1104-01"/>
    <n v="0"/>
    <n v="172160"/>
    <s v="Centralización recaudaciones junio 2026 #4897 - #4897"/>
    <n v="-172160"/>
    <s v="Activo"/>
    <n v="-172160"/>
    <x v="9"/>
  </r>
  <r>
    <n v="2026"/>
    <n v="6"/>
    <s v="01-06-2026"/>
    <n v="12195"/>
    <s v="1104-01"/>
    <n v="0"/>
    <n v="21990"/>
    <s v="Centralización recaudaciones junio 2026 #4898 - #4898"/>
    <n v="-21990"/>
    <s v="Activo"/>
    <n v="-21990"/>
    <x v="9"/>
  </r>
  <r>
    <n v="2026"/>
    <n v="6"/>
    <s v="01-06-2026"/>
    <n v="12197"/>
    <s v="1104-01"/>
    <n v="0"/>
    <n v="22990"/>
    <s v="Centralización recaudaciones junio 2026 #4900 - #4900"/>
    <n v="-22990"/>
    <s v="Activo"/>
    <n v="-22990"/>
    <x v="9"/>
  </r>
  <r>
    <n v="2026"/>
    <n v="6"/>
    <s v="01-06-2026"/>
    <n v="12227"/>
    <s v="1104-01"/>
    <n v="0"/>
    <n v="14990"/>
    <s v="Centralización recaudaciones junio 2026 #4930 - #4930"/>
    <n v="-14990"/>
    <s v="Activo"/>
    <n v="-14990"/>
    <x v="9"/>
  </r>
  <r>
    <n v="2026"/>
    <n v="6"/>
    <s v="01-06-2026"/>
    <n v="12228"/>
    <s v="1104-01"/>
    <n v="0"/>
    <n v="34990"/>
    <s v="Centralización recaudaciones junio 2026 #4931 - #4931"/>
    <n v="-34990"/>
    <s v="Activo"/>
    <n v="-34990"/>
    <x v="9"/>
  </r>
  <r>
    <n v="2026"/>
    <n v="6"/>
    <s v="01-06-2026"/>
    <n v="12240"/>
    <s v="1104-01"/>
    <n v="0"/>
    <n v="19990"/>
    <s v="Centralización recaudaciones junio 2026 #4943 - #4943"/>
    <n v="-19990"/>
    <s v="Activo"/>
    <n v="-19990"/>
    <x v="9"/>
  </r>
  <r>
    <n v="2026"/>
    <n v="6"/>
    <s v="01-06-2026"/>
    <n v="12243"/>
    <s v="1104-01"/>
    <n v="0"/>
    <n v="28990"/>
    <s v="Centralización recaudaciones junio 2026 #4946 - #4946"/>
    <n v="-28990"/>
    <s v="Activo"/>
    <n v="-28990"/>
    <x v="9"/>
  </r>
  <r>
    <n v="2026"/>
    <n v="6"/>
    <s v="01-06-2026"/>
    <n v="12245"/>
    <s v="1104-01"/>
    <n v="0"/>
    <n v="40960"/>
    <s v="Centralización recaudaciones junio 2026 #4948 - #4948"/>
    <n v="-40960"/>
    <s v="Activo"/>
    <n v="-40960"/>
    <x v="9"/>
  </r>
  <r>
    <n v="2026"/>
    <n v="6"/>
    <s v="01-06-2026"/>
    <n v="12246"/>
    <s v="1104-01"/>
    <n v="0"/>
    <n v="40000"/>
    <s v="Centralización recaudaciones junio 2026 #4949 - #4949"/>
    <n v="-40000"/>
    <s v="Activo"/>
    <n v="-40000"/>
    <x v="9"/>
  </r>
  <r>
    <n v="2026"/>
    <n v="6"/>
    <s v="01-06-2026"/>
    <n v="12249"/>
    <s v="1104-01"/>
    <n v="0"/>
    <n v="21990"/>
    <s v="Centralización recaudaciones junio 2026 #4952 - #4952"/>
    <n v="-21990"/>
    <s v="Activo"/>
    <n v="-21990"/>
    <x v="9"/>
  </r>
  <r>
    <n v="2026"/>
    <n v="6"/>
    <s v="01-06-2026"/>
    <n v="12255"/>
    <s v="1104-01"/>
    <n v="0"/>
    <n v="30000"/>
    <s v="Centralización recaudaciones junio 2026 #4958 - #4958"/>
    <n v="-30000"/>
    <s v="Activo"/>
    <n v="-30000"/>
    <x v="9"/>
  </r>
  <r>
    <n v="2026"/>
    <n v="6"/>
    <s v="01-06-2026"/>
    <n v="12257"/>
    <s v="1104-01"/>
    <n v="0"/>
    <n v="60000"/>
    <s v="Centralización recaudaciones junio 2026 #4960 - #4960"/>
    <n v="-60000"/>
    <s v="Activo"/>
    <n v="-60000"/>
    <x v="9"/>
  </r>
  <r>
    <n v="2026"/>
    <n v="6"/>
    <s v="01-06-2026"/>
    <n v="12262"/>
    <s v="1104-01"/>
    <n v="0"/>
    <n v="6736"/>
    <s v="Centralización recaudaciones junio 2026 #4965 - #4965"/>
    <n v="-6736"/>
    <s v="Activo"/>
    <n v="-6736"/>
    <x v="9"/>
  </r>
  <r>
    <n v="2026"/>
    <n v="6"/>
    <s v="01-06-2026"/>
    <n v="12266"/>
    <s v="1104-01"/>
    <n v="0"/>
    <n v="26990"/>
    <s v="Centralización recaudaciones junio 2026 #4969 - #4969"/>
    <n v="-26990"/>
    <s v="Activo"/>
    <n v="-26990"/>
    <x v="9"/>
  </r>
  <r>
    <n v="2026"/>
    <n v="6"/>
    <s v="01-06-2026"/>
    <n v="12278"/>
    <s v="1104-01"/>
    <n v="0"/>
    <n v="14989"/>
    <s v="Centralización recaudaciones junio 2026 #4981 - #4981"/>
    <n v="-14989"/>
    <s v="Activo"/>
    <n v="-14989"/>
    <x v="9"/>
  </r>
  <r>
    <n v="2026"/>
    <n v="6"/>
    <s v="01-06-2026"/>
    <n v="12279"/>
    <s v="1104-01"/>
    <n v="0"/>
    <n v="24990"/>
    <s v="Centralización recaudaciones junio 2026 #4982 - #4982"/>
    <n v="-24990"/>
    <s v="Activo"/>
    <n v="-24990"/>
    <x v="9"/>
  </r>
  <r>
    <n v="2026"/>
    <n v="6"/>
    <s v="01-06-2026"/>
    <n v="12290"/>
    <s v="1104-01"/>
    <n v="0"/>
    <n v="17990"/>
    <s v="Centralización recaudaciones junio 2026 #4993 - #4993"/>
    <n v="-17990"/>
    <s v="Activo"/>
    <n v="-17990"/>
    <x v="9"/>
  </r>
  <r>
    <n v="2026"/>
    <n v="6"/>
    <s v="01-06-2026"/>
    <n v="12292"/>
    <s v="1104-01"/>
    <n v="0"/>
    <n v="70000"/>
    <s v="Centralización recaudaciones junio 2026 #4995 - #4995"/>
    <n v="-70000"/>
    <s v="Activo"/>
    <n v="-70000"/>
    <x v="9"/>
  </r>
  <r>
    <n v="2026"/>
    <n v="6"/>
    <s v="01-06-2026"/>
    <n v="12297"/>
    <s v="1104-01"/>
    <n v="0"/>
    <n v="14990"/>
    <s v="Centralización recaudaciones junio 2026 #5000 - #5000"/>
    <n v="-14990"/>
    <s v="Activo"/>
    <n v="-14990"/>
    <x v="9"/>
  </r>
  <r>
    <n v="2026"/>
    <n v="6"/>
    <s v="01-06-2026"/>
    <n v="12300"/>
    <s v="1104-01"/>
    <n v="0"/>
    <n v="35000"/>
    <s v="Centralización recaudaciones junio 2026 #5003 - #5003"/>
    <n v="-35000"/>
    <s v="Activo"/>
    <n v="-35000"/>
    <x v="9"/>
  </r>
  <r>
    <n v="2026"/>
    <n v="6"/>
    <s v="01-06-2026"/>
    <n v="12302"/>
    <s v="1104-01"/>
    <n v="0"/>
    <n v="21990"/>
    <s v="Centralización recaudaciones junio 2026 #5005 - #5005"/>
    <n v="-21990"/>
    <s v="Activo"/>
    <n v="-21990"/>
    <x v="9"/>
  </r>
  <r>
    <n v="2026"/>
    <n v="6"/>
    <s v="01-06-2026"/>
    <n v="12303"/>
    <s v="1104-01"/>
    <n v="0"/>
    <n v="22990"/>
    <s v="Centralización recaudaciones junio 2026 #5006 - #5006"/>
    <n v="-22990"/>
    <s v="Activo"/>
    <n v="-22990"/>
    <x v="9"/>
  </r>
  <r>
    <n v="2026"/>
    <n v="6"/>
    <s v="01-06-2026"/>
    <n v="12304"/>
    <s v="1104-01"/>
    <n v="0"/>
    <n v="51990"/>
    <s v="Centralización recaudaciones junio 2026 #5007 - #5007"/>
    <n v="-51990"/>
    <s v="Activo"/>
    <n v="-51990"/>
    <x v="9"/>
  </r>
  <r>
    <n v="2026"/>
    <n v="6"/>
    <s v="01-06-2026"/>
    <n v="12308"/>
    <s v="1104-01"/>
    <n v="0"/>
    <n v="48970"/>
    <s v="Centralización recaudaciones junio 2026 #5011 - #5011"/>
    <n v="-48970"/>
    <s v="Activo"/>
    <n v="-48970"/>
    <x v="9"/>
  </r>
  <r>
    <n v="2026"/>
    <n v="6"/>
    <s v="01-06-2026"/>
    <n v="12312"/>
    <s v="1104-01"/>
    <n v="0"/>
    <n v="46990"/>
    <s v="Centralización recaudaciones junio 2026 #5015 - #5015"/>
    <n v="-46990"/>
    <s v="Activo"/>
    <n v="-46990"/>
    <x v="9"/>
  </r>
  <r>
    <n v="2026"/>
    <n v="6"/>
    <s v="01-06-2026"/>
    <n v="12313"/>
    <s v="1104-01"/>
    <n v="0"/>
    <n v="39990"/>
    <s v="Centralización recaudaciones junio 2026 #5016 - #5016"/>
    <n v="-39990"/>
    <s v="Activo"/>
    <n v="-39990"/>
    <x v="9"/>
  </r>
  <r>
    <n v="2026"/>
    <n v="6"/>
    <s v="01-06-2026"/>
    <n v="12315"/>
    <s v="1104-01"/>
    <n v="0"/>
    <n v="36990"/>
    <s v="Centralización recaudaciones junio 2026 #5018 - #5018"/>
    <n v="-36990"/>
    <s v="Activo"/>
    <n v="-36990"/>
    <x v="9"/>
  </r>
  <r>
    <n v="2026"/>
    <n v="6"/>
    <s v="01-06-2026"/>
    <n v="12316"/>
    <s v="1104-01"/>
    <n v="0"/>
    <n v="480456"/>
    <s v="Centralización recaudaciones junio 2026 #5019 - #5019"/>
    <n v="-480456"/>
    <s v="Activo"/>
    <n v="-480456"/>
    <x v="9"/>
  </r>
  <r>
    <n v="2026"/>
    <n v="6"/>
    <s v="01-06-2026"/>
    <n v="12317"/>
    <s v="1104-01"/>
    <n v="0"/>
    <n v="14990"/>
    <s v="Centralización recaudaciones junio 2026 #5020 - #5020"/>
    <n v="-14990"/>
    <s v="Activo"/>
    <n v="-14990"/>
    <x v="9"/>
  </r>
  <r>
    <n v="2026"/>
    <n v="6"/>
    <s v="01-06-2026"/>
    <n v="12332"/>
    <s v="1104-01"/>
    <n v="0"/>
    <n v="50000"/>
    <s v="Centralización recaudaciones junio 2026 #5035 - #5035"/>
    <n v="-50000"/>
    <s v="Activo"/>
    <n v="-50000"/>
    <x v="9"/>
  </r>
  <r>
    <n v="2026"/>
    <n v="6"/>
    <s v="01-06-2026"/>
    <n v="12333"/>
    <s v="1104-01"/>
    <n v="0"/>
    <n v="50000"/>
    <s v="Centralización recaudaciones junio 2026 #5036 - #5036"/>
    <n v="-50000"/>
    <s v="Activo"/>
    <n v="-50000"/>
    <x v="9"/>
  </r>
  <r>
    <n v="2026"/>
    <n v="6"/>
    <s v="01-06-2026"/>
    <n v="12335"/>
    <s v="1104-01"/>
    <n v="0"/>
    <n v="39990"/>
    <s v="Centralización recaudaciones junio 2026 #5038 - #5038"/>
    <n v="-39990"/>
    <s v="Activo"/>
    <n v="-39990"/>
    <x v="9"/>
  </r>
  <r>
    <n v="2026"/>
    <n v="6"/>
    <s v="01-06-2026"/>
    <n v="12337"/>
    <s v="1104-01"/>
    <n v="0"/>
    <n v="33980"/>
    <s v="Centralización recaudaciones junio 2026 #5040 - #5040"/>
    <n v="-33980"/>
    <s v="Activo"/>
    <n v="-33980"/>
    <x v="9"/>
  </r>
  <r>
    <n v="2026"/>
    <n v="6"/>
    <s v="01-06-2026"/>
    <n v="12339"/>
    <s v="1104-01"/>
    <n v="0"/>
    <n v="29404"/>
    <s v="Centralización recaudaciones junio 2026 #5042 - #5042"/>
    <n v="-29404"/>
    <s v="Activo"/>
    <n v="-29404"/>
    <x v="9"/>
  </r>
  <r>
    <n v="2026"/>
    <n v="6"/>
    <s v="01-06-2026"/>
    <n v="12347"/>
    <s v="1104-01"/>
    <n v="0"/>
    <n v="28990"/>
    <s v="Centralización recaudaciones junio 2026 #5050 - #5050"/>
    <n v="-28990"/>
    <s v="Activo"/>
    <n v="-28990"/>
    <x v="9"/>
  </r>
  <r>
    <n v="2026"/>
    <n v="6"/>
    <s v="01-06-2026"/>
    <n v="12350"/>
    <s v="1104-01"/>
    <n v="0"/>
    <n v="200789"/>
    <s v="Centralización recaudaciones junio 2026 #5053 - #5053"/>
    <n v="-200789"/>
    <s v="Activo"/>
    <n v="-200789"/>
    <x v="9"/>
  </r>
  <r>
    <n v="2026"/>
    <n v="6"/>
    <s v="01-06-2026"/>
    <n v="12355"/>
    <s v="1104-01"/>
    <n v="0"/>
    <n v="84000"/>
    <s v="Centralización recaudaciones junio 2026 #5058 - #5058"/>
    <n v="-84000"/>
    <s v="Activo"/>
    <n v="-84000"/>
    <x v="9"/>
  </r>
  <r>
    <n v="2026"/>
    <n v="6"/>
    <s v="01-06-2026"/>
    <n v="12362"/>
    <s v="1104-01"/>
    <n v="0"/>
    <n v="24990"/>
    <s v="Centralización recaudaciones junio 2026 #5065 - #5065"/>
    <n v="-24990"/>
    <s v="Activo"/>
    <n v="-24990"/>
    <x v="9"/>
  </r>
  <r>
    <n v="2026"/>
    <n v="6"/>
    <s v="01-06-2026"/>
    <n v="12380"/>
    <s v="1104-01"/>
    <n v="0"/>
    <n v="64000"/>
    <s v="Centralización recaudaciones junio 2026 #5083 - #5083"/>
    <n v="-64000"/>
    <s v="Activo"/>
    <n v="-64000"/>
    <x v="9"/>
  </r>
  <r>
    <n v="2026"/>
    <n v="6"/>
    <s v="01-06-2026"/>
    <n v="12382"/>
    <s v="1104-01"/>
    <n v="0"/>
    <n v="36990"/>
    <s v="Centralización recaudaciones junio 2026 #5085 - #5085"/>
    <n v="-36990"/>
    <s v="Activo"/>
    <n v="-36990"/>
    <x v="9"/>
  </r>
  <r>
    <n v="2026"/>
    <n v="6"/>
    <s v="01-06-2026"/>
    <n v="12387"/>
    <s v="1104-01"/>
    <n v="0"/>
    <n v="30000"/>
    <s v="Centralización recaudaciones junio 2026 #5090 - #5090"/>
    <n v="-30000"/>
    <s v="Activo"/>
    <n v="-30000"/>
    <x v="9"/>
  </r>
  <r>
    <n v="2026"/>
    <n v="6"/>
    <s v="01-06-2026"/>
    <n v="12390"/>
    <s v="1104-01"/>
    <n v="0"/>
    <n v="17990"/>
    <s v="Centralización recaudaciones junio 2026 #5093 - #5093"/>
    <n v="-17990"/>
    <s v="Activo"/>
    <n v="-17990"/>
    <x v="9"/>
  </r>
  <r>
    <n v="2026"/>
    <n v="6"/>
    <s v="01-06-2026"/>
    <n v="12427"/>
    <s v="1104-01"/>
    <n v="0"/>
    <n v="30000"/>
    <s v="Centralización recaudaciones junio 2026 #5130 - #5130"/>
    <n v="-30000"/>
    <s v="Activo"/>
    <n v="-30000"/>
    <x v="9"/>
  </r>
  <r>
    <n v="2026"/>
    <n v="6"/>
    <s v="01-06-2026"/>
    <n v="12430"/>
    <s v="1104-01"/>
    <n v="0"/>
    <n v="16990"/>
    <s v="Centralización recaudaciones junio 2026 #5133 - #5133"/>
    <n v="-16990"/>
    <s v="Activo"/>
    <n v="-16990"/>
    <x v="9"/>
  </r>
  <r>
    <n v="2026"/>
    <n v="6"/>
    <s v="01-06-2026"/>
    <n v="12431"/>
    <s v="1104-01"/>
    <n v="0"/>
    <n v="14990"/>
    <s v="Centralización recaudaciones junio 2026 #5134 - #5134"/>
    <n v="-14990"/>
    <s v="Activo"/>
    <n v="-14990"/>
    <x v="9"/>
  </r>
  <r>
    <n v="2026"/>
    <n v="6"/>
    <s v="01-06-2026"/>
    <n v="12444"/>
    <s v="1104-01"/>
    <n v="0"/>
    <n v="30000"/>
    <s v="Centralización recaudaciones junio 2026 #5147 - #5147"/>
    <n v="-30000"/>
    <s v="Activo"/>
    <n v="-30000"/>
    <x v="9"/>
  </r>
  <r>
    <n v="2026"/>
    <n v="6"/>
    <s v="01-06-2026"/>
    <n v="12448"/>
    <s v="1104-01"/>
    <n v="0"/>
    <n v="33990"/>
    <s v="Centralización recaudaciones junio 2026 #5151 - #5151"/>
    <n v="-33990"/>
    <s v="Activo"/>
    <n v="-33990"/>
    <x v="9"/>
  </r>
  <r>
    <n v="2026"/>
    <n v="6"/>
    <s v="01-06-2026"/>
    <n v="12449"/>
    <s v="1104-01"/>
    <n v="0"/>
    <n v="28990"/>
    <s v="Centralización recaudaciones junio 2026 #5152 - #5152"/>
    <n v="-28990"/>
    <s v="Activo"/>
    <n v="-28990"/>
    <x v="9"/>
  </r>
  <r>
    <n v="2026"/>
    <n v="6"/>
    <s v="01-06-2026"/>
    <n v="12458"/>
    <s v="1104-01"/>
    <n v="0"/>
    <n v="28990"/>
    <s v="Centralización recaudaciones junio 2026 #5161 - #5161"/>
    <n v="-28990"/>
    <s v="Activo"/>
    <n v="-28990"/>
    <x v="9"/>
  </r>
  <r>
    <n v="2026"/>
    <n v="6"/>
    <s v="01-06-2026"/>
    <n v="12459"/>
    <s v="1104-01"/>
    <n v="0"/>
    <n v="8566"/>
    <s v="Centralización recaudaciones junio 2026 #5273 - #5273"/>
    <n v="-8566"/>
    <s v="Activo"/>
    <n v="-8566"/>
    <x v="9"/>
  </r>
  <r>
    <n v="2026"/>
    <n v="6"/>
    <s v="01-06-2026"/>
    <n v="12463"/>
    <s v="1104-01"/>
    <n v="0"/>
    <n v="11662"/>
    <s v="Centralización recaudaciones junio 2026 #5165 - #5165"/>
    <n v="-11662"/>
    <s v="Activo"/>
    <n v="-11662"/>
    <x v="9"/>
  </r>
  <r>
    <n v="2026"/>
    <n v="6"/>
    <s v="01-06-2026"/>
    <n v="12468"/>
    <s v="1104-01"/>
    <n v="0"/>
    <n v="14990"/>
    <s v="Centralización recaudaciones junio 2026 #5170 - #5170"/>
    <n v="-14990"/>
    <s v="Activo"/>
    <n v="-14990"/>
    <x v="9"/>
  </r>
  <r>
    <n v="2026"/>
    <n v="6"/>
    <s v="01-06-2026"/>
    <n v="12470"/>
    <s v="1104-01"/>
    <n v="0"/>
    <n v="232730"/>
    <s v="Centralización recaudaciones junio 2026 #5172 - #5172"/>
    <n v="-232730"/>
    <s v="Activo"/>
    <n v="-232730"/>
    <x v="9"/>
  </r>
  <r>
    <n v="2026"/>
    <n v="6"/>
    <s v="01-06-2026"/>
    <n v="12472"/>
    <s v="1104-01"/>
    <n v="0"/>
    <n v="14990"/>
    <s v="Centralización recaudaciones junio 2026 #5174 - #5174"/>
    <n v="-14990"/>
    <s v="Activo"/>
    <n v="-14990"/>
    <x v="9"/>
  </r>
  <r>
    <n v="2026"/>
    <n v="6"/>
    <s v="01-06-2026"/>
    <n v="12484"/>
    <s v="1104-01"/>
    <n v="0"/>
    <n v="14990"/>
    <s v="Centralización recaudaciones junio 2026 #5186 - #5186"/>
    <n v="-14990"/>
    <s v="Activo"/>
    <n v="-14990"/>
    <x v="9"/>
  </r>
  <r>
    <n v="2026"/>
    <n v="6"/>
    <s v="01-06-2026"/>
    <n v="12486"/>
    <s v="1104-01"/>
    <n v="0"/>
    <n v="34990"/>
    <s v="Centralización recaudaciones junio 2026 #5188 - #5188"/>
    <n v="-34990"/>
    <s v="Activo"/>
    <n v="-34990"/>
    <x v="9"/>
  </r>
  <r>
    <n v="2026"/>
    <n v="6"/>
    <s v="01-06-2026"/>
    <n v="12489"/>
    <s v="1104-01"/>
    <n v="0"/>
    <n v="24990"/>
    <s v="Centralización recaudaciones junio 2026 #5191 - #5191"/>
    <n v="-24990"/>
    <s v="Activo"/>
    <n v="-24990"/>
    <x v="9"/>
  </r>
  <r>
    <n v="2026"/>
    <n v="6"/>
    <s v="01-06-2026"/>
    <n v="12495"/>
    <s v="1104-01"/>
    <n v="0"/>
    <n v="33000"/>
    <s v="Centralización recaudaciones junio 2026 #5197 - #5197"/>
    <n v="-33000"/>
    <s v="Activo"/>
    <n v="-33000"/>
    <x v="9"/>
  </r>
  <r>
    <n v="2026"/>
    <n v="6"/>
    <s v="01-06-2026"/>
    <n v="12500"/>
    <s v="1104-01"/>
    <n v="0"/>
    <n v="30000"/>
    <s v="Centralización recaudaciones junio 2026 #5202 - #5202"/>
    <n v="-30000"/>
    <s v="Activo"/>
    <n v="-30000"/>
    <x v="9"/>
  </r>
  <r>
    <n v="2026"/>
    <n v="6"/>
    <s v="01-06-2026"/>
    <n v="12502"/>
    <s v="1104-01"/>
    <n v="0"/>
    <n v="17990"/>
    <s v="Centralización recaudaciones junio 2026 #5204 - #5204"/>
    <n v="-17990"/>
    <s v="Activo"/>
    <n v="-17990"/>
    <x v="9"/>
  </r>
  <r>
    <n v="2026"/>
    <n v="6"/>
    <s v="01-06-2026"/>
    <n v="12514"/>
    <s v="1104-01"/>
    <n v="0"/>
    <n v="54990"/>
    <s v="Centralización recaudaciones junio 2026 #5216 - #5216"/>
    <n v="-54990"/>
    <s v="Activo"/>
    <n v="-54990"/>
    <x v="9"/>
  </r>
  <r>
    <n v="2026"/>
    <n v="6"/>
    <s v="01-06-2026"/>
    <n v="12528"/>
    <s v="1104-01"/>
    <n v="0"/>
    <n v="14990"/>
    <s v="Centralización recaudaciones junio 2026 #5230 - #5230"/>
    <n v="-14990"/>
    <s v="Activo"/>
    <n v="-14990"/>
    <x v="9"/>
  </r>
  <r>
    <n v="2026"/>
    <n v="6"/>
    <s v="01-06-2026"/>
    <n v="12529"/>
    <s v="1104-01"/>
    <n v="0"/>
    <n v="14990"/>
    <s v="Centralización recaudaciones junio 2026 #5231 - #5231"/>
    <n v="-14990"/>
    <s v="Activo"/>
    <n v="-14990"/>
    <x v="9"/>
  </r>
  <r>
    <n v="2026"/>
    <n v="6"/>
    <s v="01-06-2026"/>
    <n v="12530"/>
    <s v="1104-01"/>
    <n v="0"/>
    <n v="14990"/>
    <s v="Centralización recaudaciones junio 2026 #5232 - #5232"/>
    <n v="-14990"/>
    <s v="Activo"/>
    <n v="-14990"/>
    <x v="9"/>
  </r>
  <r>
    <n v="2026"/>
    <n v="6"/>
    <s v="01-06-2026"/>
    <n v="12531"/>
    <s v="1104-01"/>
    <n v="0"/>
    <n v="30000"/>
    <s v="Centralización recaudaciones junio 2026 #5233 - #5233"/>
    <n v="-30000"/>
    <s v="Activo"/>
    <n v="-30000"/>
    <x v="9"/>
  </r>
  <r>
    <n v="2026"/>
    <n v="6"/>
    <s v="01-06-2026"/>
    <n v="12540"/>
    <s v="1104-01"/>
    <n v="0"/>
    <n v="14990"/>
    <s v="Centralización recaudaciones junio 2026 #5242 - #5242"/>
    <n v="-14990"/>
    <s v="Activo"/>
    <n v="-14990"/>
    <x v="9"/>
  </r>
  <r>
    <n v="2026"/>
    <n v="6"/>
    <s v="01-06-2026"/>
    <n v="12544"/>
    <s v="1104-01"/>
    <n v="0"/>
    <n v="14990"/>
    <s v="Centralización recaudaciones junio 2026 #5246 - #5246"/>
    <n v="-14990"/>
    <s v="Activo"/>
    <n v="-14990"/>
    <x v="9"/>
  </r>
  <r>
    <n v="2026"/>
    <n v="6"/>
    <s v="01-06-2026"/>
    <n v="12548"/>
    <s v="1104-01"/>
    <n v="0"/>
    <n v="35000"/>
    <s v="Centralización recaudaciones junio 2026 #5250 - #5250"/>
    <n v="-35000"/>
    <s v="Activo"/>
    <n v="-35000"/>
    <x v="9"/>
  </r>
  <r>
    <n v="2026"/>
    <n v="6"/>
    <s v="01-06-2026"/>
    <n v="12550"/>
    <s v="1104-01"/>
    <n v="0"/>
    <n v="540000"/>
    <s v="Centralización recaudaciones junio 2026 #5252 - #5252"/>
    <n v="-540000"/>
    <s v="Activo"/>
    <n v="-540000"/>
    <x v="9"/>
  </r>
  <r>
    <n v="2026"/>
    <n v="6"/>
    <s v="01-06-2026"/>
    <n v="12554"/>
    <s v="1104-01"/>
    <n v="0"/>
    <n v="30000"/>
    <s v="Centralización recaudaciones junio 2026 #5256 - #5256"/>
    <n v="-30000"/>
    <s v="Activo"/>
    <n v="-30000"/>
    <x v="9"/>
  </r>
  <r>
    <n v="2026"/>
    <n v="6"/>
    <s v="01-06-2026"/>
    <n v="12558"/>
    <s v="1104-01"/>
    <n v="0"/>
    <n v="30000"/>
    <s v="Centralización recaudaciones junio 2026 #5260 - #5260"/>
    <n v="-30000"/>
    <s v="Activo"/>
    <n v="-30000"/>
    <x v="9"/>
  </r>
  <r>
    <n v="2026"/>
    <n v="6"/>
    <s v="01-06-2026"/>
    <n v="12561"/>
    <s v="1104-01"/>
    <n v="0"/>
    <n v="34450"/>
    <s v="Centralización recaudaciones junio 2026 #5263 - #5263"/>
    <n v="-34450"/>
    <s v="Activo"/>
    <n v="-34450"/>
    <x v="9"/>
  </r>
  <r>
    <n v="2026"/>
    <n v="6"/>
    <s v="01-06-2026"/>
    <n v="12562"/>
    <s v="1104-01"/>
    <n v="0"/>
    <n v="13998"/>
    <s v="Centralización recaudaciones junio 2026 #5264 - #5264"/>
    <n v="-13998"/>
    <s v="Activo"/>
    <n v="-13998"/>
    <x v="9"/>
  </r>
  <r>
    <n v="2026"/>
    <n v="6"/>
    <s v="01-06-2026"/>
    <n v="12607"/>
    <s v="1104-01"/>
    <n v="0"/>
    <n v="3236589"/>
    <s v="0761872877 transf. khipu spa"/>
    <n v="-3236589"/>
    <s v="Activo"/>
    <n v="-3236589"/>
    <x v="9"/>
  </r>
  <r>
    <n v="2026"/>
    <n v="6"/>
    <s v="01-06-2026"/>
    <n v="12608"/>
    <s v="1104-01"/>
    <n v="0"/>
    <n v="6822480"/>
    <s v="0966893109 abn crd db tran transbank s"/>
    <n v="-6822480"/>
    <s v="Activo"/>
    <n v="-6822480"/>
    <x v="9"/>
  </r>
  <r>
    <n v="2026"/>
    <n v="6"/>
    <s v="02-06-2026"/>
    <n v="11955"/>
    <s v="1104-01"/>
    <n v="0"/>
    <n v="64000"/>
    <s v="Centralización recaudaciones junio 2026 #4661 - #4661"/>
    <n v="-64000"/>
    <s v="Activo"/>
    <n v="-64000"/>
    <x v="9"/>
  </r>
  <r>
    <n v="2026"/>
    <n v="6"/>
    <s v="02-06-2026"/>
    <n v="11965"/>
    <s v="1104-01"/>
    <n v="0"/>
    <n v="56980"/>
    <s v="Centralización recaudaciones junio 2026 #4670 - #4670"/>
    <n v="-56980"/>
    <s v="Activo"/>
    <n v="-56980"/>
    <x v="9"/>
  </r>
  <r>
    <n v="2026"/>
    <n v="6"/>
    <s v="02-06-2026"/>
    <n v="11966"/>
    <s v="1104-01"/>
    <n v="0"/>
    <n v="30000"/>
    <s v="Centralización recaudaciones junio 2026 #4671 - #4671"/>
    <n v="-30000"/>
    <s v="Activo"/>
    <n v="-30000"/>
    <x v="9"/>
  </r>
  <r>
    <n v="2026"/>
    <n v="6"/>
    <s v="02-06-2026"/>
    <n v="11968"/>
    <s v="1104-01"/>
    <n v="0"/>
    <n v="30000"/>
    <s v="Centralización recaudaciones junio 2026 #4673 - #4673"/>
    <n v="-30000"/>
    <s v="Activo"/>
    <n v="-30000"/>
    <x v="9"/>
  </r>
  <r>
    <n v="2026"/>
    <n v="6"/>
    <s v="02-06-2026"/>
    <n v="11971"/>
    <s v="1104-01"/>
    <n v="0"/>
    <n v="29990"/>
    <s v="Centralización recaudaciones junio 2026 #4676 - #4676"/>
    <n v="-29990"/>
    <s v="Activo"/>
    <n v="-29990"/>
    <x v="9"/>
  </r>
  <r>
    <n v="2026"/>
    <n v="6"/>
    <s v="02-06-2026"/>
    <n v="11976"/>
    <s v="1104-01"/>
    <n v="0"/>
    <n v="30000"/>
    <s v="Centralización recaudaciones junio 2026 #4681 - #4681"/>
    <n v="-30000"/>
    <s v="Activo"/>
    <n v="-30000"/>
    <x v="9"/>
  </r>
  <r>
    <n v="2026"/>
    <n v="6"/>
    <s v="02-06-2026"/>
    <n v="11981"/>
    <s v="1104-01"/>
    <n v="0"/>
    <n v="60000"/>
    <s v="Centralización recaudaciones junio 2026 #4686 - #4686"/>
    <n v="-60000"/>
    <s v="Activo"/>
    <n v="-60000"/>
    <x v="9"/>
  </r>
  <r>
    <n v="2026"/>
    <n v="6"/>
    <s v="02-06-2026"/>
    <n v="11983"/>
    <s v="1104-01"/>
    <n v="0"/>
    <n v="30000"/>
    <s v="Centralización recaudaciones junio 2026 #4688 - #4688"/>
    <n v="-30000"/>
    <s v="Activo"/>
    <n v="-30000"/>
    <x v="9"/>
  </r>
  <r>
    <n v="2026"/>
    <n v="6"/>
    <s v="02-06-2026"/>
    <n v="11985"/>
    <s v="1104-01"/>
    <n v="0"/>
    <n v="30000"/>
    <s v="Centralización recaudaciones junio 2026 #4690 - #4690"/>
    <n v="-30000"/>
    <s v="Activo"/>
    <n v="-30000"/>
    <x v="9"/>
  </r>
  <r>
    <n v="2026"/>
    <n v="6"/>
    <s v="02-06-2026"/>
    <n v="11986"/>
    <s v="1104-01"/>
    <n v="0"/>
    <n v="30000"/>
    <s v="Centralización recaudaciones junio 2026 #4691 - #4691"/>
    <n v="-30000"/>
    <s v="Activo"/>
    <n v="-30000"/>
    <x v="9"/>
  </r>
  <r>
    <n v="2026"/>
    <n v="6"/>
    <s v="02-06-2026"/>
    <n v="11991"/>
    <s v="1104-01"/>
    <n v="0"/>
    <n v="30000"/>
    <s v="Centralización recaudaciones junio 2026 #4696 - #4696"/>
    <n v="-30000"/>
    <s v="Activo"/>
    <n v="-30000"/>
    <x v="9"/>
  </r>
  <r>
    <n v="2026"/>
    <n v="6"/>
    <s v="02-06-2026"/>
    <n v="11992"/>
    <s v="1104-01"/>
    <n v="0"/>
    <n v="30000"/>
    <s v="Centralización recaudaciones junio 2026 #4697 - #4697"/>
    <n v="-30000"/>
    <s v="Activo"/>
    <n v="-30000"/>
    <x v="9"/>
  </r>
  <r>
    <n v="2026"/>
    <n v="6"/>
    <s v="02-06-2026"/>
    <n v="11996"/>
    <s v="1104-01"/>
    <n v="0"/>
    <n v="30000"/>
    <s v="Centralización recaudaciones junio 2026 #4701 - #4701"/>
    <n v="-30000"/>
    <s v="Activo"/>
    <n v="-30000"/>
    <x v="9"/>
  </r>
  <r>
    <n v="2026"/>
    <n v="6"/>
    <s v="02-06-2026"/>
    <n v="12001"/>
    <s v="1104-01"/>
    <n v="0"/>
    <n v="30000"/>
    <s v="Centralización recaudaciones junio 2026 #4706 - #4706"/>
    <n v="-30000"/>
    <s v="Activo"/>
    <n v="-30000"/>
    <x v="9"/>
  </r>
  <r>
    <n v="2026"/>
    <n v="6"/>
    <s v="02-06-2026"/>
    <n v="12008"/>
    <s v="1104-01"/>
    <n v="0"/>
    <n v="38990"/>
    <s v="Centralización recaudaciones junio 2026 #4713 - #4713"/>
    <n v="-38990"/>
    <s v="Activo"/>
    <n v="-38990"/>
    <x v="9"/>
  </r>
  <r>
    <n v="2026"/>
    <n v="6"/>
    <s v="02-06-2026"/>
    <n v="12011"/>
    <s v="1104-01"/>
    <n v="0"/>
    <n v="19990"/>
    <s v="Centralización recaudaciones junio 2026 #4716 - #4716"/>
    <n v="-19990"/>
    <s v="Activo"/>
    <n v="-19990"/>
    <x v="9"/>
  </r>
  <r>
    <n v="2026"/>
    <n v="6"/>
    <s v="02-06-2026"/>
    <n v="12017"/>
    <s v="1104-01"/>
    <n v="0"/>
    <n v="40000"/>
    <s v="Centralización recaudaciones junio 2026 #4722 - #4722"/>
    <n v="-40000"/>
    <s v="Activo"/>
    <n v="-40000"/>
    <x v="9"/>
  </r>
  <r>
    <n v="2026"/>
    <n v="6"/>
    <s v="02-06-2026"/>
    <n v="12026"/>
    <s v="1104-01"/>
    <n v="0"/>
    <n v="30000"/>
    <s v="Centralización recaudaciones junio 2026 #4731 - #4731"/>
    <n v="-30000"/>
    <s v="Activo"/>
    <n v="-30000"/>
    <x v="9"/>
  </r>
  <r>
    <n v="2026"/>
    <n v="6"/>
    <s v="02-06-2026"/>
    <n v="12030"/>
    <s v="1104-01"/>
    <n v="0"/>
    <n v="30000"/>
    <s v="Centralización recaudaciones junio 2026 #4735 - #4735"/>
    <n v="-30000"/>
    <s v="Activo"/>
    <n v="-30000"/>
    <x v="9"/>
  </r>
  <r>
    <n v="2026"/>
    <n v="6"/>
    <s v="02-06-2026"/>
    <n v="12032"/>
    <s v="1104-01"/>
    <n v="0"/>
    <n v="30000"/>
    <s v="Centralización recaudaciones junio 2026 #4737 - #4737"/>
    <n v="-30000"/>
    <s v="Activo"/>
    <n v="-30000"/>
    <x v="9"/>
  </r>
  <r>
    <n v="2026"/>
    <n v="6"/>
    <s v="02-06-2026"/>
    <n v="12037"/>
    <s v="1104-01"/>
    <n v="0"/>
    <n v="43980"/>
    <s v="Centralización recaudaciones junio 2026 #4742 - #4742"/>
    <n v="-43980"/>
    <s v="Activo"/>
    <n v="-43980"/>
    <x v="9"/>
  </r>
  <r>
    <n v="2026"/>
    <n v="6"/>
    <s v="02-06-2026"/>
    <n v="12048"/>
    <s v="1104-01"/>
    <n v="0"/>
    <n v="60000"/>
    <s v="Centralización recaudaciones junio 2026 #4753 - #4753"/>
    <n v="-60000"/>
    <s v="Activo"/>
    <n v="-60000"/>
    <x v="9"/>
  </r>
  <r>
    <n v="2026"/>
    <n v="6"/>
    <s v="02-06-2026"/>
    <n v="12052"/>
    <s v="1104-01"/>
    <n v="0"/>
    <n v="30000"/>
    <s v="Centralización recaudaciones junio 2026 #4757 - #4757"/>
    <n v="-30000"/>
    <s v="Activo"/>
    <n v="-30000"/>
    <x v="9"/>
  </r>
  <r>
    <n v="2026"/>
    <n v="6"/>
    <s v="02-06-2026"/>
    <n v="12053"/>
    <s v="1104-01"/>
    <n v="0"/>
    <n v="30000"/>
    <s v="Centralización recaudaciones junio 2026 #4758 - #4758"/>
    <n v="-30000"/>
    <s v="Activo"/>
    <n v="-30000"/>
    <x v="9"/>
  </r>
  <r>
    <n v="2026"/>
    <n v="6"/>
    <s v="02-06-2026"/>
    <n v="12069"/>
    <s v="1104-01"/>
    <n v="0"/>
    <n v="194094"/>
    <s v="Centralización recaudaciones junio 2026 #4774 - #4774"/>
    <n v="-194094"/>
    <s v="Activo"/>
    <n v="-194094"/>
    <x v="9"/>
  </r>
  <r>
    <n v="2026"/>
    <n v="6"/>
    <s v="02-06-2026"/>
    <n v="12072"/>
    <s v="1104-01"/>
    <n v="0"/>
    <n v="21990"/>
    <s v="Centralización recaudaciones junio 2026 #4777 - #4777"/>
    <n v="-21990"/>
    <s v="Activo"/>
    <n v="-21990"/>
    <x v="9"/>
  </r>
  <r>
    <n v="2026"/>
    <n v="6"/>
    <s v="02-06-2026"/>
    <n v="12074"/>
    <s v="1104-01"/>
    <n v="0"/>
    <n v="30000"/>
    <s v="Centralización recaudaciones junio 2026 #5271 - #5271"/>
    <n v="-30000"/>
    <s v="Activo"/>
    <n v="-30000"/>
    <x v="9"/>
  </r>
  <r>
    <n v="2026"/>
    <n v="6"/>
    <s v="02-06-2026"/>
    <n v="12077"/>
    <s v="1104-01"/>
    <n v="0"/>
    <n v="38990"/>
    <s v="Centralización recaudaciones junio 2026 #4780 - #4780"/>
    <n v="-38990"/>
    <s v="Activo"/>
    <n v="-38990"/>
    <x v="9"/>
  </r>
  <r>
    <n v="2026"/>
    <n v="6"/>
    <s v="02-06-2026"/>
    <n v="12083"/>
    <s v="1104-01"/>
    <n v="0"/>
    <n v="86302"/>
    <s v="Centralización recaudaciones junio 2026 #4786 - #4786"/>
    <n v="-86302"/>
    <s v="Activo"/>
    <n v="-86302"/>
    <x v="9"/>
  </r>
  <r>
    <n v="2026"/>
    <n v="6"/>
    <s v="02-06-2026"/>
    <n v="12089"/>
    <s v="1104-01"/>
    <n v="0"/>
    <n v="29990"/>
    <s v="Centralización recaudaciones junio 2026 #4792 - #4792"/>
    <n v="-29990"/>
    <s v="Activo"/>
    <n v="-29990"/>
    <x v="9"/>
  </r>
  <r>
    <n v="2026"/>
    <n v="6"/>
    <s v="02-06-2026"/>
    <n v="12091"/>
    <s v="1104-01"/>
    <n v="0"/>
    <n v="30000"/>
    <s v="Centralización recaudaciones junio 2026 #4794 - #4794"/>
    <n v="-30000"/>
    <s v="Activo"/>
    <n v="-30000"/>
    <x v="9"/>
  </r>
  <r>
    <n v="2026"/>
    <n v="6"/>
    <s v="02-06-2026"/>
    <n v="12094"/>
    <s v="1104-01"/>
    <n v="0"/>
    <n v="12990"/>
    <s v="Centralización recaudaciones junio 2026 #4797 - #4797"/>
    <n v="-12990"/>
    <s v="Activo"/>
    <n v="-12990"/>
    <x v="9"/>
  </r>
  <r>
    <n v="2026"/>
    <n v="6"/>
    <s v="02-06-2026"/>
    <n v="12099"/>
    <s v="1104-01"/>
    <n v="0"/>
    <n v="30000"/>
    <s v="Centralización recaudaciones junio 2026 #4802 - #4802"/>
    <n v="-30000"/>
    <s v="Activo"/>
    <n v="-30000"/>
    <x v="9"/>
  </r>
  <r>
    <n v="2026"/>
    <n v="6"/>
    <s v="02-06-2026"/>
    <n v="12107"/>
    <s v="1104-01"/>
    <n v="0"/>
    <n v="43990"/>
    <s v="Centralización recaudaciones junio 2026 #4810 - #4810"/>
    <n v="-43990"/>
    <s v="Activo"/>
    <n v="-43990"/>
    <x v="9"/>
  </r>
  <r>
    <n v="2026"/>
    <n v="6"/>
    <s v="02-06-2026"/>
    <n v="12109"/>
    <s v="1104-01"/>
    <n v="0"/>
    <n v="30000"/>
    <s v="Centralización recaudaciones junio 2026 #4812 - #4812"/>
    <n v="-30000"/>
    <s v="Activo"/>
    <n v="-30000"/>
    <x v="9"/>
  </r>
  <r>
    <n v="2026"/>
    <n v="6"/>
    <s v="02-06-2026"/>
    <n v="12126"/>
    <s v="1104-01"/>
    <n v="0"/>
    <n v="30000"/>
    <s v="Centralización recaudaciones junio 2026 #4829 - #4829"/>
    <n v="-30000"/>
    <s v="Activo"/>
    <n v="-30000"/>
    <x v="9"/>
  </r>
  <r>
    <n v="2026"/>
    <n v="6"/>
    <s v="02-06-2026"/>
    <n v="12128"/>
    <s v="1104-01"/>
    <n v="0"/>
    <n v="30000"/>
    <s v="Centralización recaudaciones junio 2026 #4831 - #4831"/>
    <n v="-30000"/>
    <s v="Activo"/>
    <n v="-30000"/>
    <x v="9"/>
  </r>
  <r>
    <n v="2026"/>
    <n v="6"/>
    <s v="02-06-2026"/>
    <n v="12142"/>
    <s v="1104-01"/>
    <n v="0"/>
    <n v="30000"/>
    <s v="Centralización recaudaciones junio 2026 #4845 - #4845"/>
    <n v="-30000"/>
    <s v="Activo"/>
    <n v="-30000"/>
    <x v="9"/>
  </r>
  <r>
    <n v="2026"/>
    <n v="6"/>
    <s v="02-06-2026"/>
    <n v="12148"/>
    <s v="1104-01"/>
    <n v="0"/>
    <n v="30000"/>
    <s v="Centralización recaudaciones junio 2026 #4851 - #4851"/>
    <n v="-30000"/>
    <s v="Activo"/>
    <n v="-30000"/>
    <x v="9"/>
  </r>
  <r>
    <n v="2026"/>
    <n v="6"/>
    <s v="02-06-2026"/>
    <n v="12151"/>
    <s v="1104-01"/>
    <n v="0"/>
    <n v="40000"/>
    <s v="Centralización recaudaciones junio 2026 #4854 - #4854"/>
    <n v="-40000"/>
    <s v="Activo"/>
    <n v="-40000"/>
    <x v="9"/>
  </r>
  <r>
    <n v="2026"/>
    <n v="6"/>
    <s v="02-06-2026"/>
    <n v="12153"/>
    <s v="1104-01"/>
    <n v="0"/>
    <n v="61980"/>
    <s v="Centralización recaudaciones junio 2026 #4856 - #4856"/>
    <n v="-61980"/>
    <s v="Activo"/>
    <n v="-61980"/>
    <x v="9"/>
  </r>
  <r>
    <n v="2026"/>
    <n v="6"/>
    <s v="02-06-2026"/>
    <n v="12154"/>
    <s v="1104-01"/>
    <n v="0"/>
    <n v="28990"/>
    <s v="Centralización recaudaciones junio 2026 #4857 - #4857"/>
    <n v="-28990"/>
    <s v="Activo"/>
    <n v="-28990"/>
    <x v="9"/>
  </r>
  <r>
    <n v="2026"/>
    <n v="6"/>
    <s v="02-06-2026"/>
    <n v="12155"/>
    <s v="1104-01"/>
    <n v="0"/>
    <n v="34990"/>
    <s v="Centralización recaudaciones junio 2026 #4858 - #4858"/>
    <n v="-34990"/>
    <s v="Activo"/>
    <n v="-34990"/>
    <x v="9"/>
  </r>
  <r>
    <n v="2026"/>
    <n v="6"/>
    <s v="02-06-2026"/>
    <n v="12184"/>
    <s v="1104-01"/>
    <n v="0"/>
    <n v="40000"/>
    <s v="Centralización recaudaciones junio 2026 #4887 - #4887"/>
    <n v="-40000"/>
    <s v="Activo"/>
    <n v="-40000"/>
    <x v="9"/>
  </r>
  <r>
    <n v="2026"/>
    <n v="6"/>
    <s v="02-06-2026"/>
    <n v="12187"/>
    <s v="1104-01"/>
    <n v="0"/>
    <n v="35980"/>
    <s v="Centralización recaudaciones junio 2026 #4890 - #4890"/>
    <n v="-35980"/>
    <s v="Activo"/>
    <n v="-35980"/>
    <x v="9"/>
  </r>
  <r>
    <n v="2026"/>
    <n v="6"/>
    <s v="02-06-2026"/>
    <n v="12223"/>
    <s v="1104-01"/>
    <n v="0"/>
    <n v="48000"/>
    <s v="Centralización recaudaciones junio 2026 #4926 - #4926"/>
    <n v="-48000"/>
    <s v="Activo"/>
    <n v="-48000"/>
    <x v="9"/>
  </r>
  <r>
    <n v="2026"/>
    <n v="6"/>
    <s v="02-06-2026"/>
    <n v="12239"/>
    <s v="1104-01"/>
    <n v="0"/>
    <n v="37990"/>
    <s v="Centralización recaudaciones junio 2026 #4942 - #4942"/>
    <n v="-37990"/>
    <s v="Activo"/>
    <n v="-37990"/>
    <x v="9"/>
  </r>
  <r>
    <n v="2026"/>
    <n v="6"/>
    <s v="02-06-2026"/>
    <n v="12263"/>
    <s v="1104-01"/>
    <n v="0"/>
    <n v="50"/>
    <s v="Centralización recaudaciones junio 2026 #4966 - #4966"/>
    <n v="-50"/>
    <s v="Activo"/>
    <n v="-50"/>
    <x v="9"/>
  </r>
  <r>
    <n v="2026"/>
    <n v="6"/>
    <s v="02-06-2026"/>
    <n v="12285"/>
    <s v="1104-01"/>
    <n v="0"/>
    <n v="168160"/>
    <s v="Centralización recaudaciones junio 2026 #4988 - #4988"/>
    <n v="-168160"/>
    <s v="Activo"/>
    <n v="-168160"/>
    <x v="9"/>
  </r>
  <r>
    <n v="2026"/>
    <n v="6"/>
    <s v="02-06-2026"/>
    <n v="12296"/>
    <s v="1104-01"/>
    <n v="0"/>
    <n v="21990"/>
    <s v="Centralización recaudaciones junio 2026 #4999 - #4999"/>
    <n v="-21990"/>
    <s v="Activo"/>
    <n v="-21990"/>
    <x v="9"/>
  </r>
  <r>
    <n v="2026"/>
    <n v="6"/>
    <s v="02-06-2026"/>
    <n v="12338"/>
    <s v="1104-01"/>
    <n v="0"/>
    <n v="28990"/>
    <s v="Centralización recaudaciones junio 2026 #5041 - #5041"/>
    <n v="-28990"/>
    <s v="Activo"/>
    <n v="-28990"/>
    <x v="9"/>
  </r>
  <r>
    <n v="2026"/>
    <n v="6"/>
    <s v="02-06-2026"/>
    <n v="12345"/>
    <s v="1104-01"/>
    <n v="0"/>
    <n v="29990"/>
    <s v="Centralización recaudaciones junio 2026 #5048 - #5048"/>
    <n v="-29990"/>
    <s v="Activo"/>
    <n v="-29990"/>
    <x v="9"/>
  </r>
  <r>
    <n v="2026"/>
    <n v="6"/>
    <s v="02-06-2026"/>
    <n v="12349"/>
    <s v="1104-01"/>
    <n v="0"/>
    <n v="33490"/>
    <s v="Centralización recaudaciones junio 2026 #5052 - #5052"/>
    <n v="-33490"/>
    <s v="Activo"/>
    <n v="-33490"/>
    <x v="9"/>
  </r>
  <r>
    <n v="2026"/>
    <n v="6"/>
    <s v="02-06-2026"/>
    <n v="12357"/>
    <s v="1104-01"/>
    <n v="0"/>
    <n v="60000"/>
    <s v="Centralización recaudaciones junio 2026 #5060 - #5060"/>
    <n v="-60000"/>
    <s v="Activo"/>
    <n v="-60000"/>
    <x v="9"/>
  </r>
  <r>
    <n v="2026"/>
    <n v="6"/>
    <s v="02-06-2026"/>
    <n v="12374"/>
    <s v="1104-01"/>
    <n v="0"/>
    <n v="45980"/>
    <s v="Centralización recaudaciones junio 2026 #5077 - #5077"/>
    <n v="-45980"/>
    <s v="Activo"/>
    <n v="-45980"/>
    <x v="9"/>
  </r>
  <r>
    <n v="2026"/>
    <n v="6"/>
    <s v="02-06-2026"/>
    <n v="12381"/>
    <s v="1104-01"/>
    <n v="0"/>
    <n v="990"/>
    <s v="Centralización recaudaciones junio 2026 #5084 - #5084"/>
    <n v="-990"/>
    <s v="Activo"/>
    <n v="-990"/>
    <x v="9"/>
  </r>
  <r>
    <n v="2026"/>
    <n v="6"/>
    <s v="02-06-2026"/>
    <n v="12388"/>
    <s v="1104-01"/>
    <n v="0"/>
    <n v="40000"/>
    <s v="Centralización recaudaciones junio 2026 #5091 - #5091"/>
    <n v="-40000"/>
    <s v="Activo"/>
    <n v="-40000"/>
    <x v="9"/>
  </r>
  <r>
    <n v="2026"/>
    <n v="6"/>
    <s v="02-06-2026"/>
    <n v="12412"/>
    <s v="1104-01"/>
    <n v="0"/>
    <n v="46990"/>
    <s v="Centralización recaudaciones junio 2026 #5115 - #5115"/>
    <n v="-46990"/>
    <s v="Activo"/>
    <n v="-46990"/>
    <x v="9"/>
  </r>
  <r>
    <n v="2026"/>
    <n v="6"/>
    <s v="02-06-2026"/>
    <n v="12423"/>
    <s v="1104-01"/>
    <n v="0"/>
    <n v="14990"/>
    <s v="Centralización recaudaciones junio 2026 #5126 - #5126"/>
    <n v="-14990"/>
    <s v="Activo"/>
    <n v="-14990"/>
    <x v="9"/>
  </r>
  <r>
    <n v="2026"/>
    <n v="6"/>
    <s v="02-06-2026"/>
    <n v="12445"/>
    <s v="1104-01"/>
    <n v="0"/>
    <n v="38980"/>
    <s v="Centralización recaudaciones junio 2026 #5148 - #5148"/>
    <n v="-38980"/>
    <s v="Activo"/>
    <n v="-38980"/>
    <x v="9"/>
  </r>
  <r>
    <n v="2026"/>
    <n v="6"/>
    <s v="02-06-2026"/>
    <n v="12447"/>
    <s v="1104-01"/>
    <n v="0"/>
    <n v="30000"/>
    <s v="Centralización recaudaciones junio 2026 #5150 - #5150"/>
    <n v="-30000"/>
    <s v="Activo"/>
    <n v="-30000"/>
    <x v="9"/>
  </r>
  <r>
    <n v="2026"/>
    <n v="6"/>
    <s v="02-06-2026"/>
    <n v="12453"/>
    <s v="1104-01"/>
    <n v="0"/>
    <n v="21990"/>
    <s v="Centralización recaudaciones junio 2026 #5156 - #5156"/>
    <n v="-21990"/>
    <s v="Activo"/>
    <n v="-21990"/>
    <x v="9"/>
  </r>
  <r>
    <n v="2026"/>
    <n v="6"/>
    <s v="02-06-2026"/>
    <n v="12482"/>
    <s v="1104-01"/>
    <n v="0"/>
    <n v="60000"/>
    <s v="Centralización recaudaciones junio 2026 #5184 - #5184"/>
    <n v="-60000"/>
    <s v="Activo"/>
    <n v="-60000"/>
    <x v="9"/>
  </r>
  <r>
    <n v="2026"/>
    <n v="6"/>
    <s v="02-06-2026"/>
    <n v="12490"/>
    <s v="1104-01"/>
    <n v="0"/>
    <n v="30000"/>
    <s v="Centralización recaudaciones junio 2026 #5192 - #5192"/>
    <n v="-30000"/>
    <s v="Activo"/>
    <n v="-30000"/>
    <x v="9"/>
  </r>
  <r>
    <n v="2026"/>
    <n v="6"/>
    <s v="02-06-2026"/>
    <n v="12497"/>
    <s v="1104-01"/>
    <n v="0"/>
    <n v="28990"/>
    <s v="Centralización recaudaciones junio 2026 #5199 - #5199"/>
    <n v="-28990"/>
    <s v="Activo"/>
    <n v="-28990"/>
    <x v="9"/>
  </r>
  <r>
    <n v="2026"/>
    <n v="6"/>
    <s v="02-06-2026"/>
    <n v="12513"/>
    <s v="1104-01"/>
    <n v="0"/>
    <n v="21990"/>
    <s v="Centralización recaudaciones junio 2026 #5215 - #5215"/>
    <n v="-21990"/>
    <s v="Activo"/>
    <n v="-21990"/>
    <x v="9"/>
  </r>
  <r>
    <n v="2026"/>
    <n v="6"/>
    <s v="02-06-2026"/>
    <n v="12532"/>
    <s v="1104-01"/>
    <n v="0"/>
    <n v="30000"/>
    <s v="Centralización recaudaciones junio 2026 #5234 - #5234"/>
    <n v="-30000"/>
    <s v="Activo"/>
    <n v="-30000"/>
    <x v="9"/>
  </r>
  <r>
    <n v="2026"/>
    <n v="6"/>
    <s v="02-06-2026"/>
    <n v="12538"/>
    <s v="1104-01"/>
    <n v="0"/>
    <n v="30000"/>
    <s v="Centralización recaudaciones junio 2026 #5240 - #5240"/>
    <n v="-30000"/>
    <s v="Activo"/>
    <n v="-30000"/>
    <x v="9"/>
  </r>
  <r>
    <n v="2026"/>
    <n v="6"/>
    <s v="02-06-2026"/>
    <n v="12546"/>
    <s v="1104-01"/>
    <n v="0"/>
    <n v="30000"/>
    <s v="Centralización recaudaciones junio 2026 #5248 - #5248"/>
    <n v="-30000"/>
    <s v="Activo"/>
    <n v="-30000"/>
    <x v="9"/>
  </r>
  <r>
    <n v="2026"/>
    <n v="6"/>
    <s v="02-06-2026"/>
    <n v="12551"/>
    <s v="1104-01"/>
    <n v="0"/>
    <n v="15491"/>
    <s v="Centralización recaudaciones junio 2026 #5253 - #5253"/>
    <n v="-15491"/>
    <s v="Activo"/>
    <n v="-15491"/>
    <x v="9"/>
  </r>
  <r>
    <n v="2026"/>
    <n v="6"/>
    <s v="02-06-2026"/>
    <n v="12556"/>
    <s v="1104-01"/>
    <n v="0"/>
    <n v="30000"/>
    <s v="Centralización recaudaciones junio 2026 #5258 - #5258"/>
    <n v="-30000"/>
    <s v="Activo"/>
    <n v="-30000"/>
    <x v="9"/>
  </r>
  <r>
    <n v="2026"/>
    <n v="6"/>
    <s v="02-06-2026"/>
    <n v="12560"/>
    <s v="1104-01"/>
    <n v="0"/>
    <n v="36990"/>
    <s v="Centralización recaudaciones junio 2026 #5262 - #5262"/>
    <n v="-36990"/>
    <s v="Activo"/>
    <n v="-36990"/>
    <x v="9"/>
  </r>
  <r>
    <n v="2026"/>
    <n v="6"/>
    <s v="02-06-2026"/>
    <n v="12605"/>
    <s v="1104-01"/>
    <n v="0"/>
    <n v="1082008"/>
    <s v="Abono khipu spa"/>
    <n v="-1082008"/>
    <s v="Activo"/>
    <n v="-1082008"/>
    <x v="9"/>
  </r>
  <r>
    <n v="2026"/>
    <n v="6"/>
    <s v="02-06-2026"/>
    <n v="12606"/>
    <s v="1104-01"/>
    <n v="0"/>
    <n v="24313075"/>
    <s v="Abono transbank s"/>
    <n v="-24313075"/>
    <s v="Activo"/>
    <n v="-24313075"/>
    <x v="9"/>
  </r>
  <r>
    <n v="2026"/>
    <n v="6"/>
    <s v="03-06-2026"/>
    <n v="11952"/>
    <s v="1104-01"/>
    <n v="0"/>
    <n v="29990"/>
    <s v="Centralización recaudaciones junio 2026 #4658 - #4658"/>
    <n v="-29990"/>
    <s v="Activo"/>
    <n v="-29990"/>
    <x v="9"/>
  </r>
  <r>
    <n v="2026"/>
    <n v="6"/>
    <s v="03-06-2026"/>
    <n v="11957"/>
    <s v="1104-01"/>
    <n v="0"/>
    <n v="57990"/>
    <s v="Centralización recaudaciones junio 2026 #4663 - #4663"/>
    <n v="-57990"/>
    <s v="Activo"/>
    <n v="-57990"/>
    <x v="9"/>
  </r>
  <r>
    <n v="2026"/>
    <n v="6"/>
    <s v="03-06-2026"/>
    <n v="11960"/>
    <s v="1104-01"/>
    <n v="0"/>
    <n v="70000"/>
    <s v="Centralización recaudaciones junio 2026 #4666 - #4666"/>
    <n v="-70000"/>
    <s v="Activo"/>
    <n v="-70000"/>
    <x v="9"/>
  </r>
  <r>
    <n v="2026"/>
    <n v="6"/>
    <s v="03-06-2026"/>
    <n v="11963"/>
    <s v="1104-01"/>
    <n v="0"/>
    <n v="244900"/>
    <s v="Centralización recaudaciones junio 2026 #5270 - #5270"/>
    <n v="-244900"/>
    <s v="Activo"/>
    <n v="-244900"/>
    <x v="9"/>
  </r>
  <r>
    <n v="2026"/>
    <n v="6"/>
    <s v="03-06-2026"/>
    <n v="11982"/>
    <s v="1104-01"/>
    <n v="0"/>
    <n v="40000"/>
    <s v="Centralización recaudaciones junio 2026 #4687 - #4687"/>
    <n v="-40000"/>
    <s v="Activo"/>
    <n v="-40000"/>
    <x v="9"/>
  </r>
  <r>
    <n v="2026"/>
    <n v="6"/>
    <s v="03-06-2026"/>
    <n v="12029"/>
    <s v="1104-01"/>
    <n v="0"/>
    <n v="37990"/>
    <s v="Centralización recaudaciones junio 2026 #4734 - #4734"/>
    <n v="-37990"/>
    <s v="Activo"/>
    <n v="-37990"/>
    <x v="9"/>
  </r>
  <r>
    <n v="2026"/>
    <n v="6"/>
    <s v="03-06-2026"/>
    <n v="12038"/>
    <s v="1104-01"/>
    <n v="0"/>
    <n v="34990"/>
    <s v="Centralización recaudaciones junio 2026 #4743 - #4743"/>
    <n v="-34990"/>
    <s v="Activo"/>
    <n v="-34990"/>
    <x v="9"/>
  </r>
  <r>
    <n v="2026"/>
    <n v="6"/>
    <s v="03-06-2026"/>
    <n v="12042"/>
    <s v="1104-01"/>
    <n v="0"/>
    <n v="29990"/>
    <s v="Centralización recaudaciones junio 2026 #4747 - #4747"/>
    <n v="-29990"/>
    <s v="Activo"/>
    <n v="-29990"/>
    <x v="9"/>
  </r>
  <r>
    <n v="2026"/>
    <n v="6"/>
    <s v="03-06-2026"/>
    <n v="12046"/>
    <s v="1104-01"/>
    <n v="0"/>
    <n v="29990"/>
    <s v="Centralización recaudaciones junio 2026 #4751 - #4751"/>
    <n v="-29990"/>
    <s v="Activo"/>
    <n v="-29990"/>
    <x v="9"/>
  </r>
  <r>
    <n v="2026"/>
    <n v="6"/>
    <s v="03-06-2026"/>
    <n v="12068"/>
    <s v="1104-01"/>
    <n v="0"/>
    <n v="35000"/>
    <s v="Centralización recaudaciones junio 2026 #4773 - #4773"/>
    <n v="-35000"/>
    <s v="Activo"/>
    <n v="-35000"/>
    <x v="9"/>
  </r>
  <r>
    <n v="2026"/>
    <n v="6"/>
    <s v="03-06-2026"/>
    <n v="12084"/>
    <s v="1104-01"/>
    <n v="0"/>
    <n v="626"/>
    <s v="Centralización recaudaciones junio 2026 #4787 - #4787"/>
    <n v="-626"/>
    <s v="Activo"/>
    <n v="-626"/>
    <x v="9"/>
  </r>
  <r>
    <n v="2026"/>
    <n v="6"/>
    <s v="03-06-2026"/>
    <n v="12096"/>
    <s v="1104-01"/>
    <n v="0"/>
    <n v="40000"/>
    <s v="Centralización recaudaciones junio 2026 #4799 - #4799"/>
    <n v="-40000"/>
    <s v="Activo"/>
    <n v="-40000"/>
    <x v="9"/>
  </r>
  <r>
    <n v="2026"/>
    <n v="6"/>
    <s v="03-06-2026"/>
    <n v="12139"/>
    <s v="1104-01"/>
    <n v="0"/>
    <n v="50000"/>
    <s v="Centralización recaudaciones junio 2026 #4842 - #4842"/>
    <n v="-50000"/>
    <s v="Activo"/>
    <n v="-50000"/>
    <x v="9"/>
  </r>
  <r>
    <n v="2026"/>
    <n v="6"/>
    <s v="03-06-2026"/>
    <n v="12140"/>
    <s v="1104-01"/>
    <n v="0"/>
    <n v="29990"/>
    <s v="Centralización recaudaciones junio 2026 #4843 - #4843"/>
    <n v="-29990"/>
    <s v="Activo"/>
    <n v="-29990"/>
    <x v="9"/>
  </r>
  <r>
    <n v="2026"/>
    <n v="6"/>
    <s v="03-06-2026"/>
    <n v="12161"/>
    <s v="1104-01"/>
    <n v="0"/>
    <n v="33490"/>
    <s v="Centralización recaudaciones junio 2026 #4864 - #4864"/>
    <n v="-33490"/>
    <s v="Activo"/>
    <n v="-33490"/>
    <x v="9"/>
  </r>
  <r>
    <n v="2026"/>
    <n v="6"/>
    <s v="03-06-2026"/>
    <n v="12165"/>
    <s v="1104-01"/>
    <n v="0"/>
    <n v="36990"/>
    <s v="Centralización recaudaciones junio 2026 #4868 - #4868"/>
    <n v="-36990"/>
    <s v="Activo"/>
    <n v="-36990"/>
    <x v="9"/>
  </r>
  <r>
    <n v="2026"/>
    <n v="6"/>
    <s v="03-06-2026"/>
    <n v="12169"/>
    <s v="1104-01"/>
    <n v="0"/>
    <n v="28990"/>
    <s v="Centralización recaudaciones junio 2026 #4872 - #4872"/>
    <n v="-28990"/>
    <s v="Activo"/>
    <n v="-28990"/>
    <x v="9"/>
  </r>
  <r>
    <n v="2026"/>
    <n v="6"/>
    <s v="03-06-2026"/>
    <n v="12170"/>
    <s v="1104-01"/>
    <n v="0"/>
    <n v="29990"/>
    <s v="Centralización recaudaciones junio 2026 #4873 - #4873"/>
    <n v="-29990"/>
    <s v="Activo"/>
    <n v="-29990"/>
    <x v="9"/>
  </r>
  <r>
    <n v="2026"/>
    <n v="6"/>
    <s v="03-06-2026"/>
    <n v="12183"/>
    <s v="1104-01"/>
    <n v="0"/>
    <n v="38990"/>
    <s v="Centralización recaudaciones junio 2026 #4886 - #4886"/>
    <n v="-38990"/>
    <s v="Activo"/>
    <n v="-38990"/>
    <x v="9"/>
  </r>
  <r>
    <n v="2026"/>
    <n v="6"/>
    <s v="03-06-2026"/>
    <n v="12192"/>
    <s v="1104-01"/>
    <n v="0"/>
    <n v="32990"/>
    <s v="Centralización recaudaciones junio 2026 #4895 - #4895"/>
    <n v="-32990"/>
    <s v="Activo"/>
    <n v="-32990"/>
    <x v="9"/>
  </r>
  <r>
    <n v="2026"/>
    <n v="6"/>
    <s v="03-06-2026"/>
    <n v="12201"/>
    <s v="1104-01"/>
    <n v="0"/>
    <n v="15687"/>
    <s v="Centralización recaudaciones junio 2026 #4904 - #4904"/>
    <n v="-15687"/>
    <s v="Activo"/>
    <n v="-15687"/>
    <x v="9"/>
  </r>
  <r>
    <n v="2026"/>
    <n v="6"/>
    <s v="03-06-2026"/>
    <n v="12204"/>
    <s v="1104-01"/>
    <n v="0"/>
    <n v="14990"/>
    <s v="Centralización recaudaciones junio 2026 #4907 - #4907"/>
    <n v="-14990"/>
    <s v="Activo"/>
    <n v="-14990"/>
    <x v="9"/>
  </r>
  <r>
    <n v="2026"/>
    <n v="6"/>
    <s v="03-06-2026"/>
    <n v="12206"/>
    <s v="1104-01"/>
    <n v="0"/>
    <n v="14990"/>
    <s v="Centralización recaudaciones junio 2026 #4909 - #4909"/>
    <n v="-14990"/>
    <s v="Activo"/>
    <n v="-14990"/>
    <x v="9"/>
  </r>
  <r>
    <n v="2026"/>
    <n v="6"/>
    <s v="03-06-2026"/>
    <n v="12214"/>
    <s v="1104-01"/>
    <n v="0"/>
    <n v="29990"/>
    <s v="Centralización recaudaciones junio 2026 #4917 - #4917"/>
    <n v="-29990"/>
    <s v="Activo"/>
    <n v="-29990"/>
    <x v="9"/>
  </r>
  <r>
    <n v="2026"/>
    <n v="6"/>
    <s v="03-06-2026"/>
    <n v="12216"/>
    <s v="1104-01"/>
    <n v="0"/>
    <n v="29990"/>
    <s v="Centralización recaudaciones junio 2026 #4919 - #4919"/>
    <n v="-29990"/>
    <s v="Activo"/>
    <n v="-29990"/>
    <x v="9"/>
  </r>
  <r>
    <n v="2026"/>
    <n v="6"/>
    <s v="03-06-2026"/>
    <n v="12221"/>
    <s v="1104-01"/>
    <n v="0"/>
    <n v="29990"/>
    <s v="Centralización recaudaciones junio 2026 #4924 - #4924"/>
    <n v="-29990"/>
    <s v="Activo"/>
    <n v="-29990"/>
    <x v="9"/>
  </r>
  <r>
    <n v="2026"/>
    <n v="6"/>
    <s v="03-06-2026"/>
    <n v="12244"/>
    <s v="1104-01"/>
    <n v="0"/>
    <n v="33490"/>
    <s v="Centralización recaudaciones junio 2026 #4947 - #4947"/>
    <n v="-33490"/>
    <s v="Activo"/>
    <n v="-33490"/>
    <x v="9"/>
  </r>
  <r>
    <n v="2026"/>
    <n v="6"/>
    <s v="03-06-2026"/>
    <n v="12250"/>
    <s v="1104-01"/>
    <n v="0"/>
    <n v="18000"/>
    <s v="Centralización recaudaciones junio 2026 #4953 - #4953"/>
    <n v="-18000"/>
    <s v="Activo"/>
    <n v="-18000"/>
    <x v="9"/>
  </r>
  <r>
    <n v="2026"/>
    <n v="6"/>
    <s v="03-06-2026"/>
    <n v="12254"/>
    <s v="1104-01"/>
    <n v="0"/>
    <n v="28990"/>
    <s v="Centralización recaudaciones junio 2026 #4957 - #4957"/>
    <n v="-28990"/>
    <s v="Activo"/>
    <n v="-28990"/>
    <x v="9"/>
  </r>
  <r>
    <n v="2026"/>
    <n v="6"/>
    <s v="03-06-2026"/>
    <n v="12258"/>
    <s v="1104-01"/>
    <n v="0"/>
    <n v="35980"/>
    <s v="Centralización recaudaciones junio 2026 #4961 - #4961"/>
    <n v="-35980"/>
    <s v="Activo"/>
    <n v="-35980"/>
    <x v="9"/>
  </r>
  <r>
    <n v="2026"/>
    <n v="6"/>
    <s v="03-06-2026"/>
    <n v="12259"/>
    <s v="1104-01"/>
    <n v="0"/>
    <n v="15000"/>
    <s v="Centralización recaudaciones junio 2026 #4962 - #4962"/>
    <n v="-15000"/>
    <s v="Activo"/>
    <n v="-15000"/>
    <x v="9"/>
  </r>
  <r>
    <n v="2026"/>
    <n v="6"/>
    <s v="03-06-2026"/>
    <n v="12264"/>
    <s v="1104-01"/>
    <n v="0"/>
    <n v="8204"/>
    <s v="Centralización recaudaciones junio 2026 #4967 - #4967"/>
    <n v="-8204"/>
    <s v="Activo"/>
    <n v="-8204"/>
    <x v="9"/>
  </r>
  <r>
    <n v="2026"/>
    <n v="6"/>
    <s v="03-06-2026"/>
    <n v="12268"/>
    <s v="1104-01"/>
    <n v="0"/>
    <n v="34990"/>
    <s v="Centralización recaudaciones junio 2026 #4971 - #4971"/>
    <n v="-34990"/>
    <s v="Activo"/>
    <n v="-34990"/>
    <x v="9"/>
  </r>
  <r>
    <n v="2026"/>
    <n v="6"/>
    <s v="03-06-2026"/>
    <n v="12307"/>
    <s v="1104-01"/>
    <n v="0"/>
    <n v="21990"/>
    <s v="Centralización recaudaciones junio 2026 #5010 - #5010"/>
    <n v="-21990"/>
    <s v="Activo"/>
    <n v="-21990"/>
    <x v="9"/>
  </r>
  <r>
    <n v="2026"/>
    <n v="6"/>
    <s v="03-06-2026"/>
    <n v="12314"/>
    <s v="1104-01"/>
    <n v="0"/>
    <n v="34990"/>
    <s v="Centralización recaudaciones junio 2026 #5017 - #5017"/>
    <n v="-34990"/>
    <s v="Activo"/>
    <n v="-34990"/>
    <x v="9"/>
  </r>
  <r>
    <n v="2026"/>
    <n v="6"/>
    <s v="03-06-2026"/>
    <n v="12327"/>
    <s v="1104-01"/>
    <n v="0"/>
    <n v="19990"/>
    <s v="Centralización recaudaciones junio 2026 #5030 - #5030"/>
    <n v="-19990"/>
    <s v="Activo"/>
    <n v="-19990"/>
    <x v="9"/>
  </r>
  <r>
    <n v="2026"/>
    <n v="6"/>
    <s v="03-06-2026"/>
    <n v="12329"/>
    <s v="1104-01"/>
    <n v="0"/>
    <n v="54030"/>
    <s v="Centralización recaudaciones junio 2026 #5032 - #5032"/>
    <n v="-54030"/>
    <s v="Activo"/>
    <n v="-54030"/>
    <x v="9"/>
  </r>
  <r>
    <n v="2026"/>
    <n v="6"/>
    <s v="03-06-2026"/>
    <n v="12340"/>
    <s v="1104-01"/>
    <n v="0"/>
    <n v="39990"/>
    <s v="Centralización recaudaciones junio 2026 #5043 - #5043"/>
    <n v="-39990"/>
    <s v="Activo"/>
    <n v="-39990"/>
    <x v="9"/>
  </r>
  <r>
    <n v="2026"/>
    <n v="6"/>
    <s v="03-06-2026"/>
    <n v="12375"/>
    <s v="1104-01"/>
    <n v="0"/>
    <n v="658"/>
    <s v="Centralización recaudaciones junio 2026 #5078 - #5078"/>
    <n v="-658"/>
    <s v="Activo"/>
    <n v="-658"/>
    <x v="9"/>
  </r>
  <r>
    <n v="2026"/>
    <n v="6"/>
    <s v="03-06-2026"/>
    <n v="12414"/>
    <s v="1104-01"/>
    <n v="0"/>
    <n v="53538"/>
    <s v="Centralización recaudaciones junio 2026 #5117 - #5117"/>
    <n v="-53538"/>
    <s v="Activo"/>
    <n v="-53538"/>
    <x v="9"/>
  </r>
  <r>
    <n v="2026"/>
    <n v="6"/>
    <s v="03-06-2026"/>
    <n v="12425"/>
    <s v="1104-01"/>
    <n v="0"/>
    <n v="14990"/>
    <s v="Centralización recaudaciones junio 2026 #5128 - #5128"/>
    <n v="-14990"/>
    <s v="Activo"/>
    <n v="-14990"/>
    <x v="9"/>
  </r>
  <r>
    <n v="2026"/>
    <n v="6"/>
    <s v="03-06-2026"/>
    <n v="12450"/>
    <s v="1104-01"/>
    <n v="0"/>
    <n v="28990"/>
    <s v="Centralización recaudaciones junio 2026 #5153 - #5153"/>
    <n v="-28990"/>
    <s v="Activo"/>
    <n v="-28990"/>
    <x v="9"/>
  </r>
  <r>
    <n v="2026"/>
    <n v="6"/>
    <s v="03-06-2026"/>
    <n v="12461"/>
    <s v="1104-01"/>
    <n v="0"/>
    <n v="40000"/>
    <s v="Centralización recaudaciones junio 2026 #5163 - #5163"/>
    <n v="-40000"/>
    <s v="Activo"/>
    <n v="-40000"/>
    <x v="9"/>
  </r>
  <r>
    <n v="2026"/>
    <n v="6"/>
    <s v="03-06-2026"/>
    <n v="12467"/>
    <s v="1104-01"/>
    <n v="0"/>
    <n v="34980"/>
    <s v="Centralización recaudaciones junio 2026 #5169 - #5169"/>
    <n v="-34980"/>
    <s v="Activo"/>
    <n v="-34980"/>
    <x v="9"/>
  </r>
  <r>
    <n v="2026"/>
    <n v="6"/>
    <s v="03-06-2026"/>
    <n v="12491"/>
    <s v="1104-01"/>
    <n v="0"/>
    <n v="21990"/>
    <s v="Centralización recaudaciones junio 2026 #5193 - #5193"/>
    <n v="-21990"/>
    <s v="Activo"/>
    <n v="-21990"/>
    <x v="9"/>
  </r>
  <r>
    <n v="2026"/>
    <n v="6"/>
    <s v="03-06-2026"/>
    <n v="12493"/>
    <s v="1104-01"/>
    <n v="0"/>
    <n v="2061402"/>
    <s v="Centralización recaudaciones junio 2026 #5195 - #5195"/>
    <n v="-2061402"/>
    <s v="Activo"/>
    <n v="-2061402"/>
    <x v="9"/>
  </r>
  <r>
    <n v="2026"/>
    <n v="6"/>
    <s v="03-06-2026"/>
    <n v="12501"/>
    <s v="1104-01"/>
    <n v="0"/>
    <n v="60000"/>
    <s v="Centralización recaudaciones junio 2026 #5203 - #5203"/>
    <n v="-60000"/>
    <s v="Activo"/>
    <n v="-60000"/>
    <x v="9"/>
  </r>
  <r>
    <n v="2026"/>
    <n v="6"/>
    <s v="03-06-2026"/>
    <n v="12525"/>
    <s v="1104-01"/>
    <n v="0"/>
    <n v="34000"/>
    <s v="Centralización recaudaciones junio 2026 #5227 - #5227"/>
    <n v="-34000"/>
    <s v="Activo"/>
    <n v="-34000"/>
    <x v="9"/>
  </r>
  <r>
    <n v="2026"/>
    <n v="6"/>
    <s v="03-06-2026"/>
    <n v="12536"/>
    <s v="1104-01"/>
    <n v="0"/>
    <n v="17838"/>
    <s v="Centralización recaudaciones junio 2026 #5238 - #5238"/>
    <n v="-17838"/>
    <s v="Activo"/>
    <n v="-17838"/>
    <x v="9"/>
  </r>
  <r>
    <n v="2026"/>
    <n v="6"/>
    <s v="03-06-2026"/>
    <n v="12552"/>
    <s v="1104-01"/>
    <n v="0"/>
    <n v="1429"/>
    <s v="Centralización recaudaciones junio 2026 #5254 - #5254"/>
    <n v="-1429"/>
    <s v="Activo"/>
    <n v="-1429"/>
    <x v="9"/>
  </r>
  <r>
    <n v="2026"/>
    <n v="6"/>
    <s v="03-06-2026"/>
    <n v="12557"/>
    <s v="1104-01"/>
    <n v="0"/>
    <n v="29990"/>
    <s v="Centralización recaudaciones junio 2026 #5259 - #5259"/>
    <n v="-29990"/>
    <s v="Activo"/>
    <n v="-29990"/>
    <x v="9"/>
  </r>
  <r>
    <n v="2026"/>
    <n v="6"/>
    <s v="03-06-2026"/>
    <n v="12567"/>
    <s v="1104-01"/>
    <n v="0"/>
    <n v="58000"/>
    <s v="Centralización recaudaciones junio 2026 #5269 - #5269"/>
    <n v="-58000"/>
    <s v="Activo"/>
    <n v="-58000"/>
    <x v="9"/>
  </r>
  <r>
    <n v="2026"/>
    <n v="6"/>
    <s v="03-06-2026"/>
    <n v="12603"/>
    <s v="1104-01"/>
    <n v="0"/>
    <n v="1126612"/>
    <s v="0761872877 transf. khipu spa"/>
    <n v="-1126612"/>
    <s v="Activo"/>
    <n v="-1126612"/>
    <x v="9"/>
  </r>
  <r>
    <n v="2026"/>
    <n v="6"/>
    <s v="03-06-2026"/>
    <n v="12604"/>
    <s v="1104-01"/>
    <n v="0"/>
    <n v="15698479"/>
    <s v="0966893109 abn crd db tran transbank s"/>
    <n v="-15698479"/>
    <s v="Activo"/>
    <n v="-15698479"/>
    <x v="9"/>
  </r>
  <r>
    <n v="2026"/>
    <n v="6"/>
    <s v="04-06-2026"/>
    <n v="11987"/>
    <s v="1104-01"/>
    <n v="0"/>
    <n v="35000"/>
    <s v="Centralización recaudaciones junio 2026 #4692 - #4692"/>
    <n v="-35000"/>
    <s v="Activo"/>
    <n v="-35000"/>
    <x v="9"/>
  </r>
  <r>
    <n v="2026"/>
    <n v="6"/>
    <s v="04-06-2026"/>
    <n v="12004"/>
    <s v="1104-01"/>
    <n v="0"/>
    <n v="32990"/>
    <s v="Centralización recaudaciones junio 2026 #4709 - #4709"/>
    <n v="-32990"/>
    <s v="Activo"/>
    <n v="-32990"/>
    <x v="9"/>
  </r>
  <r>
    <n v="2026"/>
    <n v="6"/>
    <s v="04-06-2026"/>
    <n v="12005"/>
    <s v="1104-01"/>
    <n v="0"/>
    <n v="40000"/>
    <s v="Centralización recaudaciones junio 2026 #4710 - #4710"/>
    <n v="-40000"/>
    <s v="Activo"/>
    <n v="-40000"/>
    <x v="9"/>
  </r>
  <r>
    <n v="2026"/>
    <n v="6"/>
    <s v="04-06-2026"/>
    <n v="12058"/>
    <s v="1104-01"/>
    <n v="0"/>
    <n v="14990"/>
    <s v="Centralización recaudaciones junio 2026 #4763 - #4763"/>
    <n v="-14990"/>
    <s v="Activo"/>
    <n v="-14990"/>
    <x v="9"/>
  </r>
  <r>
    <n v="2026"/>
    <n v="6"/>
    <s v="04-06-2026"/>
    <n v="12087"/>
    <s v="1104-01"/>
    <n v="0"/>
    <n v="60000"/>
    <s v="Centralización recaudaciones junio 2026 #4790 - #4790"/>
    <n v="-60000"/>
    <s v="Activo"/>
    <n v="-60000"/>
    <x v="9"/>
  </r>
  <r>
    <n v="2026"/>
    <n v="6"/>
    <s v="04-06-2026"/>
    <n v="12111"/>
    <s v="1104-01"/>
    <n v="0"/>
    <n v="59990"/>
    <s v="Centralización recaudaciones junio 2026 #4814 - #4814"/>
    <n v="-59990"/>
    <s v="Activo"/>
    <n v="-59990"/>
    <x v="9"/>
  </r>
  <r>
    <n v="2026"/>
    <n v="6"/>
    <s v="04-06-2026"/>
    <n v="12117"/>
    <s v="1104-01"/>
    <n v="0"/>
    <n v="14990"/>
    <s v="Centralización recaudaciones junio 2026 #4820 - #4820"/>
    <n v="-14990"/>
    <s v="Activo"/>
    <n v="-14990"/>
    <x v="9"/>
  </r>
  <r>
    <n v="2026"/>
    <n v="6"/>
    <s v="04-06-2026"/>
    <n v="12146"/>
    <s v="1104-01"/>
    <n v="0"/>
    <n v="1547586"/>
    <s v="Centralización recaudaciones junio 2026 #4849 - #4849"/>
    <n v="-1547586"/>
    <s v="Activo"/>
    <n v="-1547586"/>
    <x v="9"/>
  </r>
  <r>
    <n v="2026"/>
    <n v="6"/>
    <s v="04-06-2026"/>
    <n v="12156"/>
    <s v="1104-01"/>
    <n v="0"/>
    <n v="36990"/>
    <s v="Centralización recaudaciones junio 2026 #4859 - #4859"/>
    <n v="-36990"/>
    <s v="Activo"/>
    <n v="-36990"/>
    <x v="9"/>
  </r>
  <r>
    <n v="2026"/>
    <n v="6"/>
    <s v="04-06-2026"/>
    <n v="12163"/>
    <s v="1104-01"/>
    <n v="0"/>
    <n v="15990"/>
    <s v="Centralización recaudaciones junio 2026 #4866 - #4866"/>
    <n v="-15990"/>
    <s v="Activo"/>
    <n v="-15990"/>
    <x v="9"/>
  </r>
  <r>
    <n v="2026"/>
    <n v="6"/>
    <s v="04-06-2026"/>
    <n v="12199"/>
    <s v="1104-01"/>
    <n v="0"/>
    <n v="14990"/>
    <s v="Centralización recaudaciones junio 2026 #4902 - #4902"/>
    <n v="-14990"/>
    <s v="Activo"/>
    <n v="-14990"/>
    <x v="9"/>
  </r>
  <r>
    <n v="2026"/>
    <n v="6"/>
    <s v="04-06-2026"/>
    <n v="12203"/>
    <s v="1104-01"/>
    <n v="0"/>
    <n v="28990"/>
    <s v="Centralización recaudaciones junio 2026 #4906 - #4906"/>
    <n v="-28990"/>
    <s v="Activo"/>
    <n v="-28990"/>
    <x v="9"/>
  </r>
  <r>
    <n v="2026"/>
    <n v="6"/>
    <s v="04-06-2026"/>
    <n v="12210"/>
    <s v="1104-01"/>
    <n v="0"/>
    <n v="28000"/>
    <s v="Centralización recaudaciones junio 2026 #4913 - #4913"/>
    <n v="-28000"/>
    <s v="Activo"/>
    <n v="-28000"/>
    <x v="9"/>
  </r>
  <r>
    <n v="2026"/>
    <n v="6"/>
    <s v="04-06-2026"/>
    <n v="12225"/>
    <s v="1104-01"/>
    <n v="0"/>
    <n v="14973"/>
    <s v="Centralización recaudaciones junio 2026 #4928 - #4928"/>
    <n v="-14973"/>
    <s v="Activo"/>
    <n v="-14973"/>
    <x v="9"/>
  </r>
  <r>
    <n v="2026"/>
    <n v="6"/>
    <s v="04-06-2026"/>
    <n v="12234"/>
    <s v="1104-01"/>
    <n v="0"/>
    <n v="54990"/>
    <s v="Centralización recaudaciones junio 2026 #4937 - #4937"/>
    <n v="-54990"/>
    <s v="Activo"/>
    <n v="-54990"/>
    <x v="9"/>
  </r>
  <r>
    <n v="2026"/>
    <n v="6"/>
    <s v="04-06-2026"/>
    <n v="12236"/>
    <s v="1104-01"/>
    <n v="0"/>
    <n v="29990"/>
    <s v="Centralización recaudaciones junio 2026 #4939 - #4939"/>
    <n v="-29990"/>
    <s v="Activo"/>
    <n v="-29990"/>
    <x v="9"/>
  </r>
  <r>
    <n v="2026"/>
    <n v="6"/>
    <s v="04-06-2026"/>
    <n v="12247"/>
    <s v="1104-01"/>
    <n v="0"/>
    <n v="24990"/>
    <s v="Centralización recaudaciones junio 2026 #4950 - #4950"/>
    <n v="-24990"/>
    <s v="Activo"/>
    <n v="-24990"/>
    <x v="9"/>
  </r>
  <r>
    <n v="2026"/>
    <n v="6"/>
    <s v="04-06-2026"/>
    <n v="12251"/>
    <s v="1104-01"/>
    <n v="0"/>
    <n v="80"/>
    <s v="Centralización recaudaciones junio 2026 #4954 - #4954"/>
    <n v="-80"/>
    <s v="Activo"/>
    <n v="-80"/>
    <x v="9"/>
  </r>
  <r>
    <n v="2026"/>
    <n v="6"/>
    <s v="04-06-2026"/>
    <n v="12256"/>
    <s v="1104-01"/>
    <n v="0"/>
    <n v="29990"/>
    <s v="Centralización recaudaciones junio 2026 #4959 - #4959"/>
    <n v="-29990"/>
    <s v="Activo"/>
    <n v="-29990"/>
    <x v="9"/>
  </r>
  <r>
    <n v="2026"/>
    <n v="6"/>
    <s v="04-06-2026"/>
    <n v="12267"/>
    <s v="1104-01"/>
    <n v="0"/>
    <n v="29990"/>
    <s v="Centralización recaudaciones junio 2026 #4970 - #4970"/>
    <n v="-29990"/>
    <s v="Activo"/>
    <n v="-29990"/>
    <x v="9"/>
  </r>
  <r>
    <n v="2026"/>
    <n v="6"/>
    <s v="04-06-2026"/>
    <n v="12276"/>
    <s v="1104-01"/>
    <n v="0"/>
    <n v="32990"/>
    <s v="Centralización recaudaciones junio 2026 #4979 - #4979"/>
    <n v="-32990"/>
    <s v="Activo"/>
    <n v="-32990"/>
    <x v="9"/>
  </r>
  <r>
    <n v="2026"/>
    <n v="6"/>
    <s v="04-06-2026"/>
    <n v="12330"/>
    <s v="1104-01"/>
    <n v="0"/>
    <n v="960"/>
    <s v="Centralización recaudaciones junio 2026 #5033 - #5033"/>
    <n v="-960"/>
    <s v="Activo"/>
    <n v="-960"/>
    <x v="9"/>
  </r>
  <r>
    <n v="2026"/>
    <n v="6"/>
    <s v="04-06-2026"/>
    <n v="12348"/>
    <s v="1104-01"/>
    <n v="0"/>
    <n v="60000"/>
    <s v="Centralización recaudaciones junio 2026 #5051 - #5051"/>
    <n v="-60000"/>
    <s v="Activo"/>
    <n v="-60000"/>
    <x v="9"/>
  </r>
  <r>
    <n v="2026"/>
    <n v="6"/>
    <s v="04-06-2026"/>
    <n v="12352"/>
    <s v="1104-01"/>
    <n v="0"/>
    <n v="29990"/>
    <s v="Centralización recaudaciones junio 2026 #5055 - #5055"/>
    <n v="-29990"/>
    <s v="Activo"/>
    <n v="-29990"/>
    <x v="9"/>
  </r>
  <r>
    <n v="2026"/>
    <n v="6"/>
    <s v="04-06-2026"/>
    <n v="12358"/>
    <s v="1104-01"/>
    <n v="0"/>
    <n v="43980"/>
    <s v="Centralización recaudaciones junio 2026 #5061 - #5061"/>
    <n v="-43980"/>
    <s v="Activo"/>
    <n v="-43980"/>
    <x v="9"/>
  </r>
  <r>
    <n v="2026"/>
    <n v="6"/>
    <s v="04-06-2026"/>
    <n v="12389"/>
    <s v="1104-01"/>
    <n v="0"/>
    <n v="40000"/>
    <s v="Centralización recaudaciones junio 2026 #5092 - #5092"/>
    <n v="-40000"/>
    <s v="Activo"/>
    <n v="-40000"/>
    <x v="9"/>
  </r>
  <r>
    <n v="2026"/>
    <n v="6"/>
    <s v="04-06-2026"/>
    <n v="12401"/>
    <s v="1104-01"/>
    <n v="0"/>
    <n v="60000"/>
    <s v="Centralización recaudaciones junio 2026 #5104 - #5104"/>
    <n v="-60000"/>
    <s v="Activo"/>
    <n v="-60000"/>
    <x v="9"/>
  </r>
  <r>
    <n v="2026"/>
    <n v="6"/>
    <s v="04-06-2026"/>
    <n v="12405"/>
    <s v="1104-01"/>
    <n v="0"/>
    <n v="14990"/>
    <s v="Centralización recaudaciones junio 2026 #5108 - #5108"/>
    <n v="-14990"/>
    <s v="Activo"/>
    <n v="-14990"/>
    <x v="9"/>
  </r>
  <r>
    <n v="2026"/>
    <n v="6"/>
    <s v="04-06-2026"/>
    <n v="12434"/>
    <s v="1104-01"/>
    <n v="0"/>
    <n v="32990"/>
    <s v="Centralización recaudaciones junio 2026 #5137 - #5137"/>
    <n v="-32990"/>
    <s v="Activo"/>
    <n v="-32990"/>
    <x v="9"/>
  </r>
  <r>
    <n v="2026"/>
    <n v="6"/>
    <s v="04-06-2026"/>
    <n v="12438"/>
    <s v="1104-01"/>
    <n v="0"/>
    <n v="15000"/>
    <s v="Centralización recaudaciones junio 2026 #5141 - #5141"/>
    <n v="-15000"/>
    <s v="Activo"/>
    <n v="-15000"/>
    <x v="9"/>
  </r>
  <r>
    <n v="2026"/>
    <n v="6"/>
    <s v="04-06-2026"/>
    <n v="12498"/>
    <s v="1104-01"/>
    <n v="0"/>
    <n v="40000"/>
    <s v="Centralización recaudaciones junio 2026 #5200 - #5200"/>
    <n v="-40000"/>
    <s v="Activo"/>
    <n v="-40000"/>
    <x v="9"/>
  </r>
  <r>
    <n v="2026"/>
    <n v="6"/>
    <s v="04-06-2026"/>
    <n v="12526"/>
    <s v="1104-01"/>
    <n v="0"/>
    <n v="990"/>
    <s v="Centralización recaudaciones junio 2026 #5228 - #5228"/>
    <n v="-990"/>
    <s v="Activo"/>
    <n v="-990"/>
    <x v="9"/>
  </r>
  <r>
    <n v="2026"/>
    <n v="6"/>
    <s v="04-06-2026"/>
    <n v="12547"/>
    <s v="1104-01"/>
    <n v="0"/>
    <n v="29990"/>
    <s v="Centralización recaudaciones junio 2026 #5249 - #5249"/>
    <n v="-29990"/>
    <s v="Activo"/>
    <n v="-29990"/>
    <x v="9"/>
  </r>
  <r>
    <n v="2026"/>
    <n v="6"/>
    <s v="04-06-2026"/>
    <n v="12559"/>
    <s v="1104-01"/>
    <n v="0"/>
    <n v="61000"/>
    <s v="Centralización recaudaciones junio 2026 #5261 - #5261"/>
    <n v="-61000"/>
    <s v="Activo"/>
    <n v="-61000"/>
    <x v="9"/>
  </r>
  <r>
    <n v="2026"/>
    <n v="6"/>
    <s v="04-06-2026"/>
    <n v="12601"/>
    <s v="1104-01"/>
    <n v="0"/>
    <n v="1163351"/>
    <s v="0761872877 transf. khipu spa"/>
    <n v="-1163351"/>
    <s v="Activo"/>
    <n v="-1163351"/>
    <x v="9"/>
  </r>
  <r>
    <n v="2026"/>
    <n v="6"/>
    <s v="04-06-2026"/>
    <n v="12602"/>
    <s v="1104-01"/>
    <n v="0"/>
    <n v="13888900"/>
    <s v="0966893109 abn crd db tran transbank s"/>
    <n v="-13888900"/>
    <s v="Activo"/>
    <n v="-13888900"/>
    <x v="9"/>
  </r>
  <r>
    <n v="2026"/>
    <n v="6"/>
    <s v="05-06-2026"/>
    <n v="11950"/>
    <s v="1104-01"/>
    <n v="0"/>
    <n v="40000"/>
    <s v="Centralización recaudaciones junio 2026 #4656 - #4656"/>
    <n v="-40000"/>
    <s v="Activo"/>
    <n v="-40000"/>
    <x v="9"/>
  </r>
  <r>
    <n v="2026"/>
    <n v="6"/>
    <s v="05-06-2026"/>
    <n v="11990"/>
    <s v="1104-01"/>
    <n v="0"/>
    <n v="40000"/>
    <s v="Centralización recaudaciones junio 2026 #4695 - #4695"/>
    <n v="-40000"/>
    <s v="Activo"/>
    <n v="-40000"/>
    <x v="9"/>
  </r>
  <r>
    <n v="2026"/>
    <n v="6"/>
    <s v="05-06-2026"/>
    <n v="12021"/>
    <s v="1104-01"/>
    <n v="0"/>
    <n v="33990"/>
    <s v="Centralización recaudaciones junio 2026 #4726 - #4726"/>
    <n v="-33990"/>
    <s v="Activo"/>
    <n v="-33990"/>
    <x v="9"/>
  </r>
  <r>
    <n v="2026"/>
    <n v="6"/>
    <s v="05-06-2026"/>
    <n v="12033"/>
    <s v="1104-01"/>
    <n v="0"/>
    <n v="29000"/>
    <s v="Centralización recaudaciones junio 2026 #4738 - #4738"/>
    <n v="-29000"/>
    <s v="Activo"/>
    <n v="-29000"/>
    <x v="9"/>
  </r>
  <r>
    <n v="2026"/>
    <n v="6"/>
    <s v="05-06-2026"/>
    <n v="12034"/>
    <s v="1104-01"/>
    <n v="0"/>
    <n v="29990"/>
    <s v="Centralización recaudaciones junio 2026 #4739 - #4739"/>
    <n v="-29990"/>
    <s v="Activo"/>
    <n v="-29990"/>
    <x v="9"/>
  </r>
  <r>
    <n v="2026"/>
    <n v="6"/>
    <s v="05-06-2026"/>
    <n v="12137"/>
    <s v="1104-01"/>
    <n v="0"/>
    <n v="27990"/>
    <s v="Centralización recaudaciones junio 2026 #4840 - #4840"/>
    <n v="-27990"/>
    <s v="Activo"/>
    <n v="-27990"/>
    <x v="9"/>
  </r>
  <r>
    <n v="2026"/>
    <n v="6"/>
    <s v="05-06-2026"/>
    <n v="12186"/>
    <s v="1104-01"/>
    <n v="0"/>
    <n v="29990"/>
    <s v="Centralización recaudaciones junio 2026 #4889 - #4889"/>
    <n v="-29990"/>
    <s v="Activo"/>
    <n v="-29990"/>
    <x v="9"/>
  </r>
  <r>
    <n v="2026"/>
    <n v="6"/>
    <s v="05-06-2026"/>
    <n v="12200"/>
    <s v="1104-01"/>
    <n v="0"/>
    <n v="5000"/>
    <s v="Centralización recaudaciones junio 2026 #4903 - #4903"/>
    <n v="-5000"/>
    <s v="Activo"/>
    <n v="-5000"/>
    <x v="9"/>
  </r>
  <r>
    <n v="2026"/>
    <n v="6"/>
    <s v="05-06-2026"/>
    <n v="12211"/>
    <s v="1104-01"/>
    <n v="0"/>
    <n v="2783"/>
    <s v="Centralización recaudaciones junio 2026 #4914 - #4914"/>
    <n v="-2783"/>
    <s v="Activo"/>
    <n v="-2783"/>
    <x v="9"/>
  </r>
  <r>
    <n v="2026"/>
    <n v="6"/>
    <s v="05-06-2026"/>
    <n v="12226"/>
    <s v="1104-01"/>
    <n v="0"/>
    <n v="5017"/>
    <s v="Centralización recaudaciones junio 2026 #4929 - #4929"/>
    <n v="-5017"/>
    <s v="Activo"/>
    <n v="-5017"/>
    <x v="9"/>
  </r>
  <r>
    <n v="2026"/>
    <n v="6"/>
    <s v="05-06-2026"/>
    <n v="12231"/>
    <s v="1104-01"/>
    <n v="0"/>
    <n v="29990"/>
    <s v="Centralización recaudaciones junio 2026 #4934 - #4934"/>
    <n v="-29990"/>
    <s v="Activo"/>
    <n v="-29990"/>
    <x v="9"/>
  </r>
  <r>
    <n v="2026"/>
    <n v="6"/>
    <s v="05-06-2026"/>
    <n v="12252"/>
    <s v="1104-01"/>
    <n v="0"/>
    <n v="50"/>
    <s v="Centralización recaudaciones junio 2026 #4955 - #4955"/>
    <n v="-50"/>
    <s v="Activo"/>
    <n v="-50"/>
    <x v="9"/>
  </r>
  <r>
    <n v="2026"/>
    <n v="6"/>
    <s v="05-06-2026"/>
    <n v="12363"/>
    <s v="1104-01"/>
    <n v="0"/>
    <n v="69980"/>
    <s v="Centralización recaudaciones junio 2026 #5066 - #5066"/>
    <n v="-69980"/>
    <s v="Activo"/>
    <n v="-69980"/>
    <x v="9"/>
  </r>
  <r>
    <n v="2026"/>
    <n v="6"/>
    <s v="05-06-2026"/>
    <n v="12385"/>
    <s v="1104-01"/>
    <n v="0"/>
    <n v="14990"/>
    <s v="Centralización recaudaciones junio 2026 #5088 - #5088"/>
    <n v="-14990"/>
    <s v="Activo"/>
    <n v="-14990"/>
    <x v="9"/>
  </r>
  <r>
    <n v="2026"/>
    <n v="6"/>
    <s v="05-06-2026"/>
    <n v="12391"/>
    <s v="1104-01"/>
    <n v="0"/>
    <n v="29990"/>
    <s v="Centralización recaudaciones junio 2026 #5094 - #5094"/>
    <n v="-29990"/>
    <s v="Activo"/>
    <n v="-29990"/>
    <x v="9"/>
  </r>
  <r>
    <n v="2026"/>
    <n v="6"/>
    <s v="05-06-2026"/>
    <n v="12406"/>
    <s v="1104-01"/>
    <n v="0"/>
    <n v="2200"/>
    <s v="Centralización recaudaciones junio 2026 #5109 - #5109"/>
    <n v="-2200"/>
    <s v="Activo"/>
    <n v="-2200"/>
    <x v="9"/>
  </r>
  <r>
    <n v="2026"/>
    <n v="6"/>
    <s v="05-06-2026"/>
    <n v="12471"/>
    <s v="1104-01"/>
    <n v="0"/>
    <n v="51980"/>
    <s v="Centralización recaudaciones junio 2026 #5173 - #5173"/>
    <n v="-51980"/>
    <s v="Activo"/>
    <n v="-51980"/>
    <x v="9"/>
  </r>
  <r>
    <n v="2026"/>
    <n v="6"/>
    <s v="05-06-2026"/>
    <n v="12478"/>
    <s v="1104-01"/>
    <n v="0"/>
    <n v="520000"/>
    <s v="Centralización recaudaciones junio 2026 #5180 - #5180"/>
    <n v="-520000"/>
    <s v="Activo"/>
    <n v="-520000"/>
    <x v="9"/>
  </r>
  <r>
    <n v="2026"/>
    <n v="6"/>
    <s v="05-06-2026"/>
    <n v="12533"/>
    <s v="1104-01"/>
    <n v="0"/>
    <n v="40000"/>
    <s v="Centralización recaudaciones junio 2026 #5235 - #5235"/>
    <n v="-40000"/>
    <s v="Activo"/>
    <n v="-40000"/>
    <x v="9"/>
  </r>
  <r>
    <n v="2026"/>
    <n v="6"/>
    <s v="05-06-2026"/>
    <n v="12535"/>
    <s v="1104-01"/>
    <n v="0"/>
    <n v="1706000"/>
    <s v="Centralización recaudaciones junio 2026 #5237 - #5237"/>
    <n v="-1706000"/>
    <s v="Activo"/>
    <n v="-1706000"/>
    <x v="9"/>
  </r>
  <r>
    <n v="2026"/>
    <n v="6"/>
    <s v="05-06-2026"/>
    <n v="12545"/>
    <s v="1104-01"/>
    <n v="0"/>
    <n v="50000"/>
    <s v="Centralización recaudaciones junio 2026 #5247 - #5247"/>
    <n v="-50000"/>
    <s v="Activo"/>
    <n v="-50000"/>
    <x v="9"/>
  </r>
  <r>
    <n v="2026"/>
    <n v="6"/>
    <s v="05-06-2026"/>
    <n v="12566"/>
    <s v="1104-01"/>
    <n v="0"/>
    <n v="137318"/>
    <s v="Centralización recaudaciones junio 2026 #5268 - #5268"/>
    <n v="-137318"/>
    <s v="Activo"/>
    <n v="-137318"/>
    <x v="9"/>
  </r>
  <r>
    <n v="2026"/>
    <n v="6"/>
    <s v="05-06-2026"/>
    <n v="12599"/>
    <s v="1104-01"/>
    <n v="0"/>
    <n v="383274"/>
    <s v="0761872877 transf. khipu spa"/>
    <n v="-383274"/>
    <s v="Activo"/>
    <n v="-383274"/>
    <x v="9"/>
  </r>
  <r>
    <n v="2026"/>
    <n v="6"/>
    <s v="05-06-2026"/>
    <n v="12600"/>
    <s v="1104-01"/>
    <n v="0"/>
    <n v="9514100"/>
    <s v="0966893109 abn crd db tran transbank s"/>
    <n v="-9514100"/>
    <s v="Activo"/>
    <n v="-9514100"/>
    <x v="9"/>
  </r>
  <r>
    <n v="2026"/>
    <n v="6"/>
    <s v="08-06-2026"/>
    <n v="8063"/>
    <s v="1104-01"/>
    <n v="486000"/>
    <n v="0"/>
    <s v="0118439457 transf a paulo cortes"/>
    <n v="486000"/>
    <s v="Activo"/>
    <n v="486000"/>
    <x v="9"/>
  </r>
  <r>
    <n v="2026"/>
    <n v="6"/>
    <s v="08-06-2026"/>
    <n v="11964"/>
    <s v="1104-01"/>
    <n v="0"/>
    <n v="66000"/>
    <s v="Centralización recaudaciones junio 2026 #4669 - #4669"/>
    <n v="-66000"/>
    <s v="Activo"/>
    <n v="-66000"/>
    <x v="9"/>
  </r>
  <r>
    <n v="2026"/>
    <n v="6"/>
    <s v="08-06-2026"/>
    <n v="11979"/>
    <s v="1104-01"/>
    <n v="0"/>
    <n v="59990"/>
    <s v="Centralización recaudaciones junio 2026 #4684 - #4684"/>
    <n v="-59990"/>
    <s v="Activo"/>
    <n v="-59990"/>
    <x v="9"/>
  </r>
  <r>
    <n v="2026"/>
    <n v="6"/>
    <s v="08-06-2026"/>
    <n v="12003"/>
    <s v="1104-01"/>
    <n v="0"/>
    <n v="28990"/>
    <s v="Centralización recaudaciones junio 2026 #4708 - #4708"/>
    <n v="-28990"/>
    <s v="Activo"/>
    <n v="-28990"/>
    <x v="9"/>
  </r>
  <r>
    <n v="2026"/>
    <n v="6"/>
    <s v="08-06-2026"/>
    <n v="12019"/>
    <s v="1104-01"/>
    <n v="0"/>
    <n v="50000"/>
    <s v="Centralización recaudaciones junio 2026 #4724 - #4724"/>
    <n v="-50000"/>
    <s v="Activo"/>
    <n v="-50000"/>
    <x v="9"/>
  </r>
  <r>
    <n v="2026"/>
    <n v="6"/>
    <s v="08-06-2026"/>
    <n v="12020"/>
    <s v="1104-01"/>
    <n v="0"/>
    <n v="31999"/>
    <s v="Centralización recaudaciones junio 2026 #4725 - #4725"/>
    <n v="-31999"/>
    <s v="Activo"/>
    <n v="-31999"/>
    <x v="9"/>
  </r>
  <r>
    <n v="2026"/>
    <n v="6"/>
    <s v="08-06-2026"/>
    <n v="12022"/>
    <s v="1104-01"/>
    <n v="0"/>
    <n v="1000"/>
    <s v="Centralización recaudaciones junio 2026 #4727 - #4727"/>
    <n v="-1000"/>
    <s v="Activo"/>
    <n v="-1000"/>
    <x v="9"/>
  </r>
  <r>
    <n v="2026"/>
    <n v="6"/>
    <s v="08-06-2026"/>
    <n v="12078"/>
    <s v="1104-01"/>
    <n v="0"/>
    <n v="118974"/>
    <s v="Centralización recaudaciones junio 2026 #4781 - #4781"/>
    <n v="-118974"/>
    <s v="Activo"/>
    <n v="-118974"/>
    <x v="9"/>
  </r>
  <r>
    <n v="2026"/>
    <n v="6"/>
    <s v="08-06-2026"/>
    <n v="12081"/>
    <s v="1104-01"/>
    <n v="0"/>
    <n v="50000"/>
    <s v="Centralización recaudaciones junio 2026 #4784 - #4784"/>
    <n v="-50000"/>
    <s v="Activo"/>
    <n v="-50000"/>
    <x v="9"/>
  </r>
  <r>
    <n v="2026"/>
    <n v="6"/>
    <s v="08-06-2026"/>
    <n v="12088"/>
    <s v="1104-01"/>
    <n v="0"/>
    <n v="40000"/>
    <s v="Centralización recaudaciones junio 2026 #4791 - #4791"/>
    <n v="-40000"/>
    <s v="Activo"/>
    <n v="-40000"/>
    <x v="9"/>
  </r>
  <r>
    <n v="2026"/>
    <n v="6"/>
    <s v="08-06-2026"/>
    <n v="12102"/>
    <s v="1104-01"/>
    <n v="0"/>
    <n v="29990"/>
    <s v="Centralización recaudaciones junio 2026 #4805 - #4805"/>
    <n v="-29990"/>
    <s v="Activo"/>
    <n v="-29990"/>
    <x v="9"/>
  </r>
  <r>
    <n v="2026"/>
    <n v="6"/>
    <s v="08-06-2026"/>
    <n v="12112"/>
    <s v="1104-01"/>
    <n v="0"/>
    <n v="31000"/>
    <s v="Centralización recaudaciones junio 2026 #4815 - #4815"/>
    <n v="-31000"/>
    <s v="Activo"/>
    <n v="-31000"/>
    <x v="9"/>
  </r>
  <r>
    <n v="2026"/>
    <n v="6"/>
    <s v="08-06-2026"/>
    <n v="12118"/>
    <s v="1104-01"/>
    <n v="0"/>
    <n v="7000"/>
    <s v="Centralización recaudaciones junio 2026 #4821 - #4821"/>
    <n v="-7000"/>
    <s v="Activo"/>
    <n v="-7000"/>
    <x v="9"/>
  </r>
  <r>
    <n v="2026"/>
    <n v="6"/>
    <s v="08-06-2026"/>
    <n v="12134"/>
    <s v="1104-01"/>
    <n v="0"/>
    <n v="2044896"/>
    <s v="Centralización recaudaciones junio 2026 #4837 - #4837"/>
    <n v="-2044896"/>
    <s v="Activo"/>
    <n v="-2044896"/>
    <x v="9"/>
  </r>
  <r>
    <n v="2026"/>
    <n v="6"/>
    <s v="08-06-2026"/>
    <n v="12135"/>
    <s v="1104-01"/>
    <n v="0"/>
    <n v="432411"/>
    <s v="Centralización recaudaciones junio 2026 #4838 - #4838"/>
    <n v="-432411"/>
    <s v="Activo"/>
    <n v="-432411"/>
    <x v="9"/>
  </r>
  <r>
    <n v="2026"/>
    <n v="6"/>
    <s v="08-06-2026"/>
    <n v="12147"/>
    <s v="1104-01"/>
    <n v="0"/>
    <n v="43960"/>
    <s v="Centralización recaudaciones junio 2026 #4850 - #4850"/>
    <n v="-43960"/>
    <s v="Activo"/>
    <n v="-43960"/>
    <x v="9"/>
  </r>
  <r>
    <n v="2026"/>
    <n v="6"/>
    <s v="08-06-2026"/>
    <n v="12152"/>
    <s v="1104-01"/>
    <n v="0"/>
    <n v="21990"/>
    <s v="Centralización recaudaciones junio 2026 #4855 - #4855"/>
    <n v="-21990"/>
    <s v="Activo"/>
    <n v="-21990"/>
    <x v="9"/>
  </r>
  <r>
    <n v="2026"/>
    <n v="6"/>
    <s v="08-06-2026"/>
    <n v="12157"/>
    <s v="1104-01"/>
    <n v="0"/>
    <n v="21990"/>
    <s v="Centralización recaudaciones junio 2026 #4860 - #4860"/>
    <n v="-21990"/>
    <s v="Activo"/>
    <n v="-21990"/>
    <x v="9"/>
  </r>
  <r>
    <n v="2026"/>
    <n v="6"/>
    <s v="08-06-2026"/>
    <n v="12158"/>
    <s v="1104-01"/>
    <n v="0"/>
    <n v="990"/>
    <s v="Centralización recaudaciones junio 2026 #4861 - #4861"/>
    <n v="-990"/>
    <s v="Activo"/>
    <n v="-990"/>
    <x v="9"/>
  </r>
  <r>
    <n v="2026"/>
    <n v="6"/>
    <s v="08-06-2026"/>
    <n v="12178"/>
    <s v="1104-01"/>
    <n v="0"/>
    <n v="25990"/>
    <s v="Centralización recaudaciones junio 2026 #4881 - #4881"/>
    <n v="-25990"/>
    <s v="Activo"/>
    <n v="-25990"/>
    <x v="9"/>
  </r>
  <r>
    <n v="2026"/>
    <n v="6"/>
    <s v="08-06-2026"/>
    <n v="12180"/>
    <s v="1104-01"/>
    <n v="0"/>
    <n v="40000"/>
    <s v="Centralización recaudaciones junio 2026 #4883 - #4883"/>
    <n v="-40000"/>
    <s v="Activo"/>
    <n v="-40000"/>
    <x v="9"/>
  </r>
  <r>
    <n v="2026"/>
    <n v="6"/>
    <s v="08-06-2026"/>
    <n v="12191"/>
    <s v="1104-01"/>
    <n v="0"/>
    <n v="21990"/>
    <s v="Centralización recaudaciones junio 2026 #4894 - #4894"/>
    <n v="-21990"/>
    <s v="Activo"/>
    <n v="-21990"/>
    <x v="9"/>
  </r>
  <r>
    <n v="2026"/>
    <n v="6"/>
    <s v="08-06-2026"/>
    <n v="12193"/>
    <s v="1104-01"/>
    <n v="0"/>
    <n v="29990"/>
    <s v="Centralización recaudaciones junio 2026 #4896 - #4896"/>
    <n v="-29990"/>
    <s v="Activo"/>
    <n v="-29990"/>
    <x v="9"/>
  </r>
  <r>
    <n v="2026"/>
    <n v="6"/>
    <s v="08-06-2026"/>
    <n v="12202"/>
    <s v="1104-01"/>
    <n v="0"/>
    <n v="4303"/>
    <s v="Centralización recaudaciones junio 2026 #4905 - #4905"/>
    <n v="-4303"/>
    <s v="Activo"/>
    <n v="-4303"/>
    <x v="9"/>
  </r>
  <r>
    <n v="2026"/>
    <n v="6"/>
    <s v="08-06-2026"/>
    <n v="12207"/>
    <s v="1104-01"/>
    <n v="0"/>
    <n v="2678"/>
    <s v="Centralización recaudaciones junio 2026 #4910 - #4910"/>
    <n v="-2678"/>
    <s v="Activo"/>
    <n v="-2678"/>
    <x v="9"/>
  </r>
  <r>
    <n v="2026"/>
    <n v="6"/>
    <s v="08-06-2026"/>
    <n v="12212"/>
    <s v="1104-01"/>
    <n v="0"/>
    <n v="16756"/>
    <s v="Centralización recaudaciones junio 2026 #4915 - #4915"/>
    <n v="-16756"/>
    <s v="Activo"/>
    <n v="-16756"/>
    <x v="9"/>
  </r>
  <r>
    <n v="2026"/>
    <n v="6"/>
    <s v="08-06-2026"/>
    <n v="12215"/>
    <s v="1104-01"/>
    <n v="0"/>
    <n v="26990"/>
    <s v="Centralización recaudaciones junio 2026 #4918 - #4918"/>
    <n v="-26990"/>
    <s v="Activo"/>
    <n v="-26990"/>
    <x v="9"/>
  </r>
  <r>
    <n v="2026"/>
    <n v="6"/>
    <s v="08-06-2026"/>
    <n v="12237"/>
    <s v="1104-01"/>
    <n v="0"/>
    <n v="990"/>
    <s v="Centralización recaudaciones junio 2026 #4940 - #4940"/>
    <n v="-990"/>
    <s v="Activo"/>
    <n v="-990"/>
    <x v="9"/>
  </r>
  <r>
    <n v="2026"/>
    <n v="6"/>
    <s v="08-06-2026"/>
    <n v="12248"/>
    <s v="1104-01"/>
    <n v="0"/>
    <n v="21990"/>
    <s v="Centralización recaudaciones junio 2026 #4951 - #4951"/>
    <n v="-21990"/>
    <s v="Activo"/>
    <n v="-21990"/>
    <x v="9"/>
  </r>
  <r>
    <n v="2026"/>
    <n v="6"/>
    <s v="08-06-2026"/>
    <n v="12253"/>
    <s v="1104-01"/>
    <n v="0"/>
    <n v="1860"/>
    <s v="Centralización recaudaciones junio 2026 #4956 - #4956"/>
    <n v="-1860"/>
    <s v="Activo"/>
    <n v="-1860"/>
    <x v="9"/>
  </r>
  <r>
    <n v="2026"/>
    <n v="6"/>
    <s v="08-06-2026"/>
    <n v="12260"/>
    <s v="1104-01"/>
    <n v="0"/>
    <n v="4990"/>
    <s v="Centralización recaudaciones junio 2026 #4963 - #4963"/>
    <n v="-4990"/>
    <s v="Activo"/>
    <n v="-4990"/>
    <x v="9"/>
  </r>
  <r>
    <n v="2026"/>
    <n v="6"/>
    <s v="08-06-2026"/>
    <n v="12277"/>
    <s v="1104-01"/>
    <n v="0"/>
    <n v="29990"/>
    <s v="Centralización recaudaciones junio 2026 #4980 - #4980"/>
    <n v="-29990"/>
    <s v="Activo"/>
    <n v="-29990"/>
    <x v="9"/>
  </r>
  <r>
    <n v="2026"/>
    <n v="6"/>
    <s v="08-06-2026"/>
    <n v="12280"/>
    <s v="1104-01"/>
    <n v="0"/>
    <n v="21990"/>
    <s v="Centralización recaudaciones junio 2026 #4983 - #4983"/>
    <n v="-21990"/>
    <s v="Activo"/>
    <n v="-21990"/>
    <x v="9"/>
  </r>
  <r>
    <n v="2026"/>
    <n v="6"/>
    <s v="08-06-2026"/>
    <n v="12287"/>
    <s v="1104-01"/>
    <n v="0"/>
    <n v="44000"/>
    <s v="Centralización recaudaciones junio 2026 #4990 - #4990"/>
    <n v="-44000"/>
    <s v="Activo"/>
    <n v="-44000"/>
    <x v="9"/>
  </r>
  <r>
    <n v="2026"/>
    <n v="6"/>
    <s v="08-06-2026"/>
    <n v="12294"/>
    <s v="1104-01"/>
    <n v="0"/>
    <n v="22990"/>
    <s v="Centralización recaudaciones junio 2026 #4997 - #4997"/>
    <n v="-22990"/>
    <s v="Activo"/>
    <n v="-22990"/>
    <x v="9"/>
  </r>
  <r>
    <n v="2026"/>
    <n v="6"/>
    <s v="08-06-2026"/>
    <n v="12295"/>
    <s v="1104-01"/>
    <n v="0"/>
    <n v="29990"/>
    <s v="Centralización recaudaciones junio 2026 #4998 - #4998"/>
    <n v="-29990"/>
    <s v="Activo"/>
    <n v="-29990"/>
    <x v="9"/>
  </r>
  <r>
    <n v="2026"/>
    <n v="6"/>
    <s v="08-06-2026"/>
    <n v="12299"/>
    <s v="1104-01"/>
    <n v="0"/>
    <n v="28990"/>
    <s v="Centralización recaudaciones junio 2026 #5002 - #5002"/>
    <n v="-28990"/>
    <s v="Activo"/>
    <n v="-28990"/>
    <x v="9"/>
  </r>
  <r>
    <n v="2026"/>
    <n v="6"/>
    <s v="08-06-2026"/>
    <n v="12325"/>
    <s v="1104-01"/>
    <n v="0"/>
    <n v="990"/>
    <s v="Centralización recaudaciones junio 2026 #5028 - #5028"/>
    <n v="-990"/>
    <s v="Activo"/>
    <n v="-990"/>
    <x v="9"/>
  </r>
  <r>
    <n v="2026"/>
    <n v="6"/>
    <s v="08-06-2026"/>
    <n v="12334"/>
    <s v="1104-01"/>
    <n v="0"/>
    <n v="50000"/>
    <s v="Centralización recaudaciones junio 2026 #5037 - #5037"/>
    <n v="-50000"/>
    <s v="Activo"/>
    <n v="-50000"/>
    <x v="9"/>
  </r>
  <r>
    <n v="2026"/>
    <n v="6"/>
    <s v="08-06-2026"/>
    <n v="12354"/>
    <s v="1104-01"/>
    <n v="0"/>
    <n v="816776"/>
    <s v="Centralización recaudaciones junio 2026 #5057 - #5057"/>
    <n v="-816776"/>
    <s v="Activo"/>
    <n v="-816776"/>
    <x v="9"/>
  </r>
  <r>
    <n v="2026"/>
    <n v="6"/>
    <s v="08-06-2026"/>
    <n v="12361"/>
    <s v="1104-01"/>
    <n v="0"/>
    <n v="21990"/>
    <s v="Centralización recaudaciones junio 2026 #5064 - #5064"/>
    <n v="-21990"/>
    <s v="Activo"/>
    <n v="-21990"/>
    <x v="9"/>
  </r>
  <r>
    <n v="2026"/>
    <n v="6"/>
    <s v="08-06-2026"/>
    <n v="12377"/>
    <s v="1104-01"/>
    <n v="0"/>
    <n v="29738"/>
    <s v="Centralización recaudaciones junio 2026 #5080 - #5080"/>
    <n v="-29738"/>
    <s v="Activo"/>
    <n v="-29738"/>
    <x v="9"/>
  </r>
  <r>
    <n v="2026"/>
    <n v="6"/>
    <s v="08-06-2026"/>
    <n v="12386"/>
    <s v="1104-01"/>
    <n v="0"/>
    <n v="7000"/>
    <s v="Centralización recaudaciones junio 2026 #5089 - #5089"/>
    <n v="-7000"/>
    <s v="Activo"/>
    <n v="-7000"/>
    <x v="9"/>
  </r>
  <r>
    <n v="2026"/>
    <n v="6"/>
    <s v="08-06-2026"/>
    <n v="12396"/>
    <s v="1104-01"/>
    <n v="0"/>
    <n v="21990"/>
    <s v="Centralización recaudaciones junio 2026 #5099 - #5099"/>
    <n v="-21990"/>
    <s v="Activo"/>
    <n v="-21990"/>
    <x v="9"/>
  </r>
  <r>
    <n v="2026"/>
    <n v="6"/>
    <s v="08-06-2026"/>
    <n v="12407"/>
    <s v="1104-01"/>
    <n v="0"/>
    <n v="122"/>
    <s v="Centralización recaudaciones junio 2026 #5110 - #5110"/>
    <n v="-122"/>
    <s v="Activo"/>
    <n v="-122"/>
    <x v="9"/>
  </r>
  <r>
    <n v="2026"/>
    <n v="6"/>
    <s v="08-06-2026"/>
    <n v="12424"/>
    <s v="1104-01"/>
    <n v="0"/>
    <n v="111399"/>
    <s v="Centralización recaudaciones junio 2026 #5127 - #5127"/>
    <n v="-111399"/>
    <s v="Activo"/>
    <n v="-111399"/>
    <x v="9"/>
  </r>
  <r>
    <n v="2026"/>
    <n v="6"/>
    <s v="08-06-2026"/>
    <n v="12432"/>
    <s v="1104-01"/>
    <n v="0"/>
    <n v="140"/>
    <s v="Centralización recaudaciones junio 2026 #5135 - #5135"/>
    <n v="-140"/>
    <s v="Activo"/>
    <n v="-140"/>
    <x v="9"/>
  </r>
  <r>
    <n v="2026"/>
    <n v="6"/>
    <s v="08-06-2026"/>
    <n v="12436"/>
    <s v="1104-01"/>
    <n v="0"/>
    <n v="7000"/>
    <s v="Centralización recaudaciones junio 2026 #5139 - #5139"/>
    <n v="-7000"/>
    <s v="Activo"/>
    <n v="-7000"/>
    <x v="9"/>
  </r>
  <r>
    <n v="2026"/>
    <n v="6"/>
    <s v="08-06-2026"/>
    <n v="12451"/>
    <s v="1104-01"/>
    <n v="0"/>
    <n v="29738"/>
    <s v="Centralización recaudaciones junio 2026 #5154 - #5154"/>
    <n v="-29738"/>
    <s v="Activo"/>
    <n v="-29738"/>
    <x v="9"/>
  </r>
  <r>
    <n v="2026"/>
    <n v="6"/>
    <s v="08-06-2026"/>
    <n v="12456"/>
    <s v="1104-01"/>
    <n v="0"/>
    <n v="28990"/>
    <s v="Centralización recaudaciones junio 2026 #5159 - #5159"/>
    <n v="-28990"/>
    <s v="Activo"/>
    <n v="-28990"/>
    <x v="9"/>
  </r>
  <r>
    <n v="2026"/>
    <n v="6"/>
    <s v="08-06-2026"/>
    <n v="12464"/>
    <s v="1104-01"/>
    <n v="0"/>
    <n v="21990"/>
    <s v="Centralización recaudaciones junio 2026 #5166 - #5166"/>
    <n v="-21990"/>
    <s v="Activo"/>
    <n v="-21990"/>
    <x v="9"/>
  </r>
  <r>
    <n v="2026"/>
    <n v="6"/>
    <s v="08-06-2026"/>
    <n v="12469"/>
    <s v="1104-01"/>
    <n v="0"/>
    <n v="21990"/>
    <s v="Centralización recaudaciones junio 2026 #5171 - #5171"/>
    <n v="-21990"/>
    <s v="Activo"/>
    <n v="-21990"/>
    <x v="9"/>
  </r>
  <r>
    <n v="2026"/>
    <n v="6"/>
    <s v="08-06-2026"/>
    <n v="12477"/>
    <s v="1104-01"/>
    <n v="0"/>
    <n v="34990"/>
    <s v="Centralización recaudaciones junio 2026 #5179 - #5179"/>
    <n v="-34990"/>
    <s v="Activo"/>
    <n v="-34990"/>
    <x v="9"/>
  </r>
  <r>
    <n v="2026"/>
    <n v="6"/>
    <s v="08-06-2026"/>
    <n v="12508"/>
    <s v="1104-01"/>
    <n v="0"/>
    <n v="21990"/>
    <s v="Centralización recaudaciones junio 2026 #5210 - #5210"/>
    <n v="-21990"/>
    <s v="Activo"/>
    <n v="-21990"/>
    <x v="9"/>
  </r>
  <r>
    <n v="2026"/>
    <n v="6"/>
    <s v="08-06-2026"/>
    <n v="12511"/>
    <s v="1104-01"/>
    <n v="0"/>
    <n v="40000"/>
    <s v="Centralización recaudaciones junio 2026 #5213 - #5213"/>
    <n v="-40000"/>
    <s v="Activo"/>
    <n v="-40000"/>
    <x v="9"/>
  </r>
  <r>
    <n v="2026"/>
    <n v="6"/>
    <s v="08-06-2026"/>
    <n v="12527"/>
    <s v="1104-01"/>
    <n v="0"/>
    <n v="576548"/>
    <s v="Centralización recaudaciones junio 2026 #5229 - #5229"/>
    <n v="-576548"/>
    <s v="Activo"/>
    <n v="-576548"/>
    <x v="9"/>
  </r>
  <r>
    <n v="2026"/>
    <n v="6"/>
    <s v="08-06-2026"/>
    <n v="12537"/>
    <s v="1104-01"/>
    <n v="0"/>
    <n v="29990"/>
    <s v="Centralización recaudaciones junio 2026 #5239 - #5239"/>
    <n v="-29990"/>
    <s v="Activo"/>
    <n v="-29990"/>
    <x v="9"/>
  </r>
  <r>
    <n v="2026"/>
    <n v="6"/>
    <s v="08-06-2026"/>
    <n v="12539"/>
    <s v="1104-01"/>
    <n v="0"/>
    <n v="29750"/>
    <s v="Centralización recaudaciones junio 2026 #5241 - #5241"/>
    <n v="-29750"/>
    <s v="Activo"/>
    <n v="-29750"/>
    <x v="9"/>
  </r>
  <r>
    <n v="2026"/>
    <n v="6"/>
    <s v="08-06-2026"/>
    <n v="12565"/>
    <s v="1104-01"/>
    <n v="0"/>
    <n v="45000"/>
    <s v="Centralización recaudaciones junio 2026 #5267 - #5267"/>
    <n v="-45000"/>
    <s v="Activo"/>
    <n v="-45000"/>
    <x v="9"/>
  </r>
  <r>
    <n v="2026"/>
    <n v="6"/>
    <s v="08-06-2026"/>
    <n v="12597"/>
    <s v="1104-01"/>
    <n v="0"/>
    <n v="1037104"/>
    <s v="0761872877 transf. khipu spa"/>
    <n v="-1037104"/>
    <s v="Activo"/>
    <n v="-1037104"/>
    <x v="9"/>
  </r>
  <r>
    <n v="2026"/>
    <n v="6"/>
    <s v="08-06-2026"/>
    <n v="12598"/>
    <s v="1104-01"/>
    <n v="0"/>
    <n v="6259088"/>
    <s v="0966893109 abn crd db tran transbank s"/>
    <n v="-6259088"/>
    <s v="Activo"/>
    <n v="-6259088"/>
    <x v="9"/>
  </r>
  <r>
    <n v="2026"/>
    <n v="6"/>
    <s v="09-06-2026"/>
    <n v="12014"/>
    <s v="1104-01"/>
    <n v="0"/>
    <n v="28990"/>
    <s v="Centralización recaudaciones junio 2026 #4719 - #4719"/>
    <n v="-28990"/>
    <s v="Activo"/>
    <n v="-28990"/>
    <x v="9"/>
  </r>
  <r>
    <n v="2026"/>
    <n v="6"/>
    <s v="09-06-2026"/>
    <n v="12065"/>
    <s v="1104-01"/>
    <n v="0"/>
    <n v="556920"/>
    <s v="Centralización recaudaciones junio 2026 #4770 - #4770"/>
    <n v="-556920"/>
    <s v="Activo"/>
    <n v="-556920"/>
    <x v="9"/>
  </r>
  <r>
    <n v="2026"/>
    <n v="6"/>
    <s v="09-06-2026"/>
    <n v="12071"/>
    <s v="1104-01"/>
    <n v="0"/>
    <n v="28990"/>
    <s v="Centralización recaudaciones junio 2026 #4776 - #4776"/>
    <n v="-28990"/>
    <s v="Activo"/>
    <n v="-28990"/>
    <x v="9"/>
  </r>
  <r>
    <n v="2026"/>
    <n v="6"/>
    <s v="09-06-2026"/>
    <n v="12159"/>
    <s v="1104-01"/>
    <n v="0"/>
    <n v="30000"/>
    <s v="Centralización recaudaciones junio 2026 #4862 - #4862"/>
    <n v="-30000"/>
    <s v="Activo"/>
    <n v="-30000"/>
    <x v="9"/>
  </r>
  <r>
    <n v="2026"/>
    <n v="6"/>
    <s v="09-06-2026"/>
    <n v="12205"/>
    <s v="1104-01"/>
    <n v="0"/>
    <n v="5000"/>
    <s v="Centralización recaudaciones junio 2026 #4908 - #4908"/>
    <n v="-5000"/>
    <s v="Activo"/>
    <n v="-5000"/>
    <x v="9"/>
  </r>
  <r>
    <n v="2026"/>
    <n v="6"/>
    <s v="09-06-2026"/>
    <n v="12208"/>
    <s v="1104-01"/>
    <n v="0"/>
    <n v="2322"/>
    <s v="Centralización recaudaciones junio 2026 #4911 - #4911"/>
    <n v="-2322"/>
    <s v="Activo"/>
    <n v="-2322"/>
    <x v="9"/>
  </r>
  <r>
    <n v="2026"/>
    <n v="6"/>
    <s v="09-06-2026"/>
    <n v="12238"/>
    <s v="1104-01"/>
    <n v="0"/>
    <n v="34000"/>
    <s v="Centralización recaudaciones junio 2026 #4941 - #4941"/>
    <n v="-34000"/>
    <s v="Activo"/>
    <n v="-34000"/>
    <x v="9"/>
  </r>
  <r>
    <n v="2026"/>
    <n v="6"/>
    <s v="09-06-2026"/>
    <n v="12272"/>
    <s v="1104-01"/>
    <n v="0"/>
    <n v="14990"/>
    <s v="Centralización recaudaciones junio 2026 #4975 - #4975"/>
    <n v="-14990"/>
    <s v="Activo"/>
    <n v="-14990"/>
    <x v="9"/>
  </r>
  <r>
    <n v="2026"/>
    <n v="6"/>
    <s v="09-06-2026"/>
    <n v="12281"/>
    <s v="1104-01"/>
    <n v="0"/>
    <n v="4259785"/>
    <s v="Centralización recaudaciones junio 2026 #4984 - #4984"/>
    <n v="-4259785"/>
    <s v="Activo"/>
    <n v="-4259785"/>
    <x v="9"/>
  </r>
  <r>
    <n v="2026"/>
    <n v="6"/>
    <s v="09-06-2026"/>
    <n v="12311"/>
    <s v="1104-01"/>
    <n v="0"/>
    <n v="133280"/>
    <s v="Centralización recaudaciones junio 2026 #5014 - #5014"/>
    <n v="-133280"/>
    <s v="Activo"/>
    <n v="-133280"/>
    <x v="9"/>
  </r>
  <r>
    <n v="2026"/>
    <n v="6"/>
    <s v="09-06-2026"/>
    <n v="12326"/>
    <s v="1104-01"/>
    <n v="0"/>
    <n v="34000"/>
    <s v="Centralización recaudaciones junio 2026 #5029 - #5029"/>
    <n v="-34000"/>
    <s v="Activo"/>
    <n v="-34000"/>
    <x v="9"/>
  </r>
  <r>
    <n v="2026"/>
    <n v="6"/>
    <s v="09-06-2026"/>
    <n v="12356"/>
    <s v="1104-01"/>
    <n v="0"/>
    <n v="1554071"/>
    <s v="Centralización recaudaciones junio 2026 #5059 - #5059"/>
    <n v="-1554071"/>
    <s v="Activo"/>
    <n v="-1554071"/>
    <x v="9"/>
  </r>
  <r>
    <n v="2026"/>
    <n v="6"/>
    <s v="09-06-2026"/>
    <n v="12403"/>
    <s v="1104-01"/>
    <n v="0"/>
    <n v="21990"/>
    <s v="Centralización recaudaciones junio 2026 #5106 - #5106"/>
    <n v="-21990"/>
    <s v="Activo"/>
    <n v="-21990"/>
    <x v="9"/>
  </r>
  <r>
    <n v="2026"/>
    <n v="6"/>
    <s v="09-06-2026"/>
    <n v="12408"/>
    <s v="1104-01"/>
    <n v="0"/>
    <n v="2678"/>
    <s v="Centralización recaudaciones junio 2026 #5111 - #5111"/>
    <n v="-2678"/>
    <s v="Activo"/>
    <n v="-2678"/>
    <x v="9"/>
  </r>
  <r>
    <n v="2026"/>
    <n v="6"/>
    <s v="09-06-2026"/>
    <n v="12426"/>
    <s v="1104-01"/>
    <n v="0"/>
    <n v="5000"/>
    <s v="Centralización recaudaciones junio 2026 #5129 - #5129"/>
    <n v="-5000"/>
    <s v="Activo"/>
    <n v="-5000"/>
    <x v="9"/>
  </r>
  <r>
    <n v="2026"/>
    <n v="6"/>
    <s v="09-06-2026"/>
    <n v="12433"/>
    <s v="1104-01"/>
    <n v="0"/>
    <n v="24850"/>
    <s v="Centralización recaudaciones junio 2026 #5136 - #5136"/>
    <n v="-24850"/>
    <s v="Activo"/>
    <n v="-24850"/>
    <x v="9"/>
  </r>
  <r>
    <n v="2026"/>
    <n v="6"/>
    <s v="09-06-2026"/>
    <n v="12437"/>
    <s v="1104-01"/>
    <n v="0"/>
    <n v="14990"/>
    <s v="Centralización recaudaciones junio 2026 #5140 - #5140"/>
    <n v="-14990"/>
    <s v="Activo"/>
    <n v="-14990"/>
    <x v="9"/>
  </r>
  <r>
    <n v="2026"/>
    <n v="6"/>
    <s v="09-06-2026"/>
    <n v="12479"/>
    <s v="1104-01"/>
    <n v="0"/>
    <n v="520000"/>
    <s v="Centralización recaudaciones junio 2026 #5181 - #5181"/>
    <n v="-520000"/>
    <s v="Activo"/>
    <n v="-520000"/>
    <x v="9"/>
  </r>
  <r>
    <n v="2026"/>
    <n v="6"/>
    <s v="09-06-2026"/>
    <n v="12485"/>
    <s v="1104-01"/>
    <n v="0"/>
    <n v="520000"/>
    <s v="Centralización recaudaciones junio 2026 #5187 - #5187"/>
    <n v="-520000"/>
    <s v="Activo"/>
    <n v="-520000"/>
    <x v="9"/>
  </r>
  <r>
    <n v="2026"/>
    <n v="6"/>
    <s v="09-06-2026"/>
    <n v="12494"/>
    <s v="1104-01"/>
    <n v="0"/>
    <n v="1709480"/>
    <s v="Centralización recaudaciones junio 2026 #5196 - #5196"/>
    <n v="-1709480"/>
    <s v="Activo"/>
    <n v="-1709480"/>
    <x v="9"/>
  </r>
  <r>
    <n v="2026"/>
    <n v="6"/>
    <s v="09-06-2026"/>
    <n v="12595"/>
    <s v="1104-01"/>
    <n v="0"/>
    <n v="1273892"/>
    <s v="0761872877 transf. khipu spa"/>
    <n v="-1273892"/>
    <s v="Activo"/>
    <n v="-1273892"/>
    <x v="9"/>
  </r>
  <r>
    <n v="2026"/>
    <n v="6"/>
    <s v="09-06-2026"/>
    <n v="12596"/>
    <s v="1104-01"/>
    <n v="0"/>
    <n v="20740464"/>
    <s v="0966893109 abn crd db tran transbank s"/>
    <n v="-20740464"/>
    <s v="Activo"/>
    <n v="-20740464"/>
    <x v="9"/>
  </r>
  <r>
    <n v="2026"/>
    <n v="6"/>
    <s v="10-06-2026"/>
    <n v="11998"/>
    <s v="1104-01"/>
    <n v="0"/>
    <n v="131578"/>
    <s v="Centralización recaudaciones junio 2026 #4703 - #4703"/>
    <n v="-131578"/>
    <s v="Activo"/>
    <n v="-131578"/>
    <x v="9"/>
  </r>
  <r>
    <n v="2026"/>
    <n v="6"/>
    <s v="10-06-2026"/>
    <n v="12057"/>
    <s v="1104-01"/>
    <n v="0"/>
    <n v="59990"/>
    <s v="Centralización recaudaciones junio 2026 #4762 - #4762"/>
    <n v="-59990"/>
    <s v="Activo"/>
    <n v="-59990"/>
    <x v="9"/>
  </r>
  <r>
    <n v="2026"/>
    <n v="6"/>
    <s v="10-06-2026"/>
    <n v="12059"/>
    <s v="1104-01"/>
    <n v="0"/>
    <n v="6910"/>
    <s v="Centralización recaudaciones junio 2026 #4764 - #4764"/>
    <n v="-6910"/>
    <s v="Activo"/>
    <n v="-6910"/>
    <x v="9"/>
  </r>
  <r>
    <n v="2026"/>
    <n v="6"/>
    <s v="10-06-2026"/>
    <n v="12103"/>
    <s v="1104-01"/>
    <n v="0"/>
    <n v="59990"/>
    <s v="Centralización recaudaciones junio 2026 #4806 - #4806"/>
    <n v="-59990"/>
    <s v="Activo"/>
    <n v="-59990"/>
    <x v="9"/>
  </r>
  <r>
    <n v="2026"/>
    <n v="6"/>
    <s v="10-06-2026"/>
    <n v="12164"/>
    <s v="1104-01"/>
    <n v="0"/>
    <n v="6000"/>
    <s v="Centralización recaudaciones junio 2026 #4867 - #4867"/>
    <n v="-6000"/>
    <s v="Activo"/>
    <n v="-6000"/>
    <x v="9"/>
  </r>
  <r>
    <n v="2026"/>
    <n v="6"/>
    <s v="10-06-2026"/>
    <n v="12213"/>
    <s v="1104-01"/>
    <n v="0"/>
    <n v="2265"/>
    <s v="Centralización recaudaciones junio 2026 #4916 - #4916"/>
    <n v="-2265"/>
    <s v="Activo"/>
    <n v="-2265"/>
    <x v="9"/>
  </r>
  <r>
    <n v="2026"/>
    <n v="6"/>
    <s v="10-06-2026"/>
    <n v="12235"/>
    <s v="1104-01"/>
    <n v="0"/>
    <n v="586"/>
    <s v="Centralización recaudaciones junio 2026 #4938 - #4938"/>
    <n v="-586"/>
    <s v="Activo"/>
    <n v="-586"/>
    <x v="9"/>
  </r>
  <r>
    <n v="2026"/>
    <n v="6"/>
    <s v="10-06-2026"/>
    <n v="12273"/>
    <s v="1104-01"/>
    <n v="0"/>
    <n v="8000"/>
    <s v="Centralización recaudaciones junio 2026 #4976 - #4976"/>
    <n v="-8000"/>
    <s v="Activo"/>
    <n v="-8000"/>
    <x v="9"/>
  </r>
  <r>
    <n v="2026"/>
    <n v="6"/>
    <s v="10-06-2026"/>
    <n v="12344"/>
    <s v="1104-01"/>
    <n v="0"/>
    <n v="432410"/>
    <s v="Centralización recaudaciones junio 2026 #5047 - #5047"/>
    <n v="-432410"/>
    <s v="Activo"/>
    <n v="-432410"/>
    <x v="9"/>
  </r>
  <r>
    <n v="2026"/>
    <n v="6"/>
    <s v="10-06-2026"/>
    <n v="12397"/>
    <s v="1104-01"/>
    <n v="0"/>
    <n v="22990"/>
    <s v="Centralización recaudaciones junio 2026 #5100 - #5100"/>
    <n v="-22990"/>
    <s v="Activo"/>
    <n v="-22990"/>
    <x v="9"/>
  </r>
  <r>
    <n v="2026"/>
    <n v="6"/>
    <s v="10-06-2026"/>
    <n v="12409"/>
    <s v="1104-01"/>
    <n v="0"/>
    <n v="2051"/>
    <s v="Centralización recaudaciones junio 2026 #5112 - #5112"/>
    <n v="-2051"/>
    <s v="Activo"/>
    <n v="-2051"/>
    <x v="9"/>
  </r>
  <r>
    <n v="2026"/>
    <n v="6"/>
    <s v="10-06-2026"/>
    <n v="12422"/>
    <s v="1104-01"/>
    <n v="0"/>
    <n v="32980"/>
    <s v="Centralización recaudaciones junio 2026 #5125 - #5125"/>
    <n v="-32980"/>
    <s v="Activo"/>
    <n v="-32980"/>
    <x v="9"/>
  </r>
  <r>
    <n v="2026"/>
    <n v="6"/>
    <s v="10-06-2026"/>
    <n v="12439"/>
    <s v="1104-01"/>
    <n v="0"/>
    <n v="6900"/>
    <s v="Centralización recaudaciones junio 2026 #5142 - #5142"/>
    <n v="-6900"/>
    <s v="Activo"/>
    <n v="-6900"/>
    <x v="9"/>
  </r>
  <r>
    <n v="2026"/>
    <n v="6"/>
    <s v="10-06-2026"/>
    <n v="12457"/>
    <s v="1104-01"/>
    <n v="0"/>
    <n v="21990"/>
    <s v="Centralización recaudaciones junio 2026 #5160 - #5160"/>
    <n v="-21990"/>
    <s v="Activo"/>
    <n v="-21990"/>
    <x v="9"/>
  </r>
  <r>
    <n v="2026"/>
    <n v="6"/>
    <s v="10-06-2026"/>
    <n v="12507"/>
    <s v="1104-01"/>
    <n v="0"/>
    <n v="195000"/>
    <s v="Centralización recaudaciones junio 2026 #5209 - #5209"/>
    <n v="-195000"/>
    <s v="Activo"/>
    <n v="-195000"/>
    <x v="9"/>
  </r>
  <r>
    <n v="2026"/>
    <n v="6"/>
    <s v="10-06-2026"/>
    <n v="12549"/>
    <s v="1104-01"/>
    <n v="0"/>
    <n v="174"/>
    <s v="Centralización recaudaciones junio 2026 #5251 - #5251"/>
    <n v="-174"/>
    <s v="Activo"/>
    <n v="-174"/>
    <x v="9"/>
  </r>
  <r>
    <n v="2026"/>
    <n v="6"/>
    <s v="10-06-2026"/>
    <n v="12593"/>
    <s v="1104-01"/>
    <n v="0"/>
    <n v="14812"/>
    <s v="0761872877 transf. khipu spa"/>
    <n v="-14812"/>
    <s v="Activo"/>
    <n v="-14812"/>
    <x v="9"/>
  </r>
  <r>
    <n v="2026"/>
    <n v="6"/>
    <s v="10-06-2026"/>
    <n v="12594"/>
    <s v="1104-01"/>
    <n v="0"/>
    <n v="11366886"/>
    <s v="0966893109 abn crd db tran transbank s"/>
    <n v="-11366886"/>
    <s v="Activo"/>
    <n v="-11366886"/>
    <x v="9"/>
  </r>
  <r>
    <n v="2026"/>
    <n v="6"/>
    <s v="11-06-2026"/>
    <n v="12062"/>
    <s v="1104-01"/>
    <n v="0"/>
    <n v="41980"/>
    <s v="Centralización recaudaciones junio 2026 #4767 - #4767"/>
    <n v="-41980"/>
    <s v="Activo"/>
    <n v="-41980"/>
    <x v="9"/>
  </r>
  <r>
    <n v="2026"/>
    <n v="6"/>
    <s v="11-06-2026"/>
    <n v="12410"/>
    <s v="1104-01"/>
    <n v="0"/>
    <n v="14990"/>
    <s v="Centralización recaudaciones junio 2026 #5113 - #5113"/>
    <n v="-14990"/>
    <s v="Activo"/>
    <n v="-14990"/>
    <x v="9"/>
  </r>
  <r>
    <n v="2026"/>
    <n v="6"/>
    <s v="11-06-2026"/>
    <n v="12419"/>
    <s v="1104-01"/>
    <n v="0"/>
    <n v="320462"/>
    <s v="Centralización recaudaciones junio 2026 #5122 - #5122"/>
    <n v="-320462"/>
    <s v="Activo"/>
    <n v="-320462"/>
    <x v="9"/>
  </r>
  <r>
    <n v="2026"/>
    <n v="6"/>
    <s v="11-06-2026"/>
    <n v="12487"/>
    <s v="1104-01"/>
    <n v="0"/>
    <n v="336320"/>
    <s v="Centralización recaudaciones junio 2026 #5189 - #5189"/>
    <n v="-336320"/>
    <s v="Activo"/>
    <n v="-336320"/>
    <x v="9"/>
  </r>
  <r>
    <n v="2026"/>
    <n v="6"/>
    <s v="11-06-2026"/>
    <n v="12590"/>
    <s v="1104-01"/>
    <n v="0"/>
    <n v="110638"/>
    <s v="0761872877 transf. khipu spa"/>
    <n v="-110638"/>
    <s v="Activo"/>
    <n v="-110638"/>
    <x v="9"/>
  </r>
  <r>
    <n v="2026"/>
    <n v="6"/>
    <s v="11-06-2026"/>
    <n v="12591"/>
    <s v="1104-01"/>
    <n v="0"/>
    <n v="3902594"/>
    <s v="0966893109 abn crd db tran transbank s"/>
    <n v="-3902594"/>
    <s v="Activo"/>
    <n v="-3902594"/>
    <x v="9"/>
  </r>
  <r>
    <n v="2026"/>
    <n v="6"/>
    <s v="12-06-2026"/>
    <n v="12063"/>
    <s v="1104-01"/>
    <n v="0"/>
    <n v="20"/>
    <s v="Centralización recaudaciones junio 2026 #4768 - #4768"/>
    <n v="-20"/>
    <s v="Activo"/>
    <n v="-20"/>
    <x v="9"/>
  </r>
  <r>
    <n v="2026"/>
    <n v="6"/>
    <s v="12-06-2026"/>
    <n v="12121"/>
    <s v="1104-01"/>
    <n v="0"/>
    <n v="28990"/>
    <s v="Centralización recaudaciones junio 2026 #4824 - #4824"/>
    <n v="-28990"/>
    <s v="Activo"/>
    <n v="-28990"/>
    <x v="9"/>
  </r>
  <r>
    <n v="2026"/>
    <n v="6"/>
    <s v="12-06-2026"/>
    <n v="12275"/>
    <s v="1104-01"/>
    <n v="0"/>
    <n v="49990"/>
    <s v="Centralización recaudaciones junio 2026 #4978 - #4978"/>
    <n v="-49990"/>
    <s v="Activo"/>
    <n v="-49990"/>
    <x v="9"/>
  </r>
  <r>
    <n v="2026"/>
    <n v="6"/>
    <s v="12-06-2026"/>
    <n v="12411"/>
    <s v="1104-01"/>
    <n v="0"/>
    <n v="6749"/>
    <s v="Centralización recaudaciones junio 2026 #5114 - #5114"/>
    <n v="-6749"/>
    <s v="Activo"/>
    <n v="-6749"/>
    <x v="9"/>
  </r>
  <r>
    <n v="2026"/>
    <n v="6"/>
    <s v="12-06-2026"/>
    <n v="12474"/>
    <s v="1104-01"/>
    <n v="0"/>
    <n v="8221"/>
    <s v="Centralización recaudaciones junio 2026 #5176 - #5176"/>
    <n v="-8221"/>
    <s v="Activo"/>
    <n v="-8221"/>
    <x v="9"/>
  </r>
  <r>
    <n v="2026"/>
    <n v="6"/>
    <s v="12-06-2026"/>
    <n v="12589"/>
    <s v="1104-01"/>
    <n v="0"/>
    <n v="1124899"/>
    <s v="0966893109 abn crd db tran transbank s"/>
    <n v="-1124899"/>
    <s v="Activo"/>
    <n v="-1124899"/>
    <x v="9"/>
  </r>
  <r>
    <n v="2026"/>
    <n v="6"/>
    <s v="15-06-2026"/>
    <n v="12119"/>
    <s v="1104-01"/>
    <n v="0"/>
    <n v="67980"/>
    <s v="Centralización recaudaciones junio 2026 #4822 - #4822"/>
    <n v="-67980"/>
    <s v="Activo"/>
    <n v="-67980"/>
    <x v="9"/>
  </r>
  <r>
    <n v="2026"/>
    <n v="6"/>
    <s v="15-06-2026"/>
    <n v="12136"/>
    <s v="1104-01"/>
    <n v="0"/>
    <n v="128000"/>
    <s v="Centralización recaudaciones junio 2026 #4839 - #4839"/>
    <n v="-128000"/>
    <s v="Activo"/>
    <n v="-128000"/>
    <x v="9"/>
  </r>
  <r>
    <n v="2026"/>
    <n v="6"/>
    <s v="15-06-2026"/>
    <n v="12269"/>
    <s v="1104-01"/>
    <n v="0"/>
    <n v="429427"/>
    <s v="Centralización recaudaciones junio 2026 #4972 - #4972"/>
    <n v="-429427"/>
    <s v="Activo"/>
    <n v="-429427"/>
    <x v="9"/>
  </r>
  <r>
    <n v="2026"/>
    <n v="6"/>
    <s v="15-06-2026"/>
    <n v="12359"/>
    <s v="1104-01"/>
    <n v="0"/>
    <n v="424580"/>
    <s v="Centralización recaudaciones junio 2026 #5062 - #5062"/>
    <n v="-424580"/>
    <s v="Activo"/>
    <n v="-424580"/>
    <x v="9"/>
  </r>
  <r>
    <n v="2026"/>
    <n v="6"/>
    <s v="15-06-2026"/>
    <n v="12475"/>
    <s v="1104-01"/>
    <n v="0"/>
    <n v="15779"/>
    <s v="Centralización recaudaciones junio 2026 #5177 - #5177"/>
    <n v="-15779"/>
    <s v="Activo"/>
    <n v="-15779"/>
    <x v="9"/>
  </r>
  <r>
    <n v="2026"/>
    <n v="6"/>
    <s v="15-06-2026"/>
    <n v="12521"/>
    <s v="1104-01"/>
    <n v="0"/>
    <n v="7055"/>
    <s v="Centralización recaudaciones junio 2026 #5223 - #5223"/>
    <n v="-7055"/>
    <s v="Activo"/>
    <n v="-7055"/>
    <x v="9"/>
  </r>
  <r>
    <n v="2026"/>
    <n v="6"/>
    <s v="15-06-2026"/>
    <n v="12587"/>
    <s v="1104-01"/>
    <n v="0"/>
    <n v="14812"/>
    <s v="0761872877 transf. khipu spa"/>
    <n v="-14812"/>
    <s v="Activo"/>
    <n v="-14812"/>
    <x v="9"/>
  </r>
  <r>
    <n v="2026"/>
    <n v="6"/>
    <s v="15-06-2026"/>
    <n v="12588"/>
    <s v="1104-01"/>
    <n v="0"/>
    <n v="1054607"/>
    <s v="0966893109 abn crd db tran transbank s"/>
    <n v="-1054607"/>
    <s v="Activo"/>
    <n v="-1054607"/>
    <x v="9"/>
  </r>
  <r>
    <n v="2026"/>
    <n v="6"/>
    <s v="16-06-2026"/>
    <n v="12328"/>
    <s v="1104-01"/>
    <n v="0"/>
    <n v="69590"/>
    <s v="Centralización recaudaciones junio 2026 #5031 - #5031"/>
    <n v="-69590"/>
    <s v="Activo"/>
    <n v="-69590"/>
    <x v="9"/>
  </r>
  <r>
    <n v="2026"/>
    <n v="6"/>
    <s v="16-06-2026"/>
    <n v="12522"/>
    <s v="1104-01"/>
    <n v="0"/>
    <n v="14990"/>
    <s v="Centralización recaudaciones junio 2026 #5224 - #5224"/>
    <n v="-14990"/>
    <s v="Activo"/>
    <n v="-14990"/>
    <x v="9"/>
  </r>
  <r>
    <n v="2026"/>
    <n v="6"/>
    <s v="16-06-2026"/>
    <n v="12586"/>
    <s v="1104-01"/>
    <n v="0"/>
    <n v="1572537"/>
    <s v="0966893109 abn crd db tran transbank s"/>
    <n v="-1572537"/>
    <s v="Activo"/>
    <n v="-1572537"/>
    <x v="9"/>
  </r>
  <r>
    <n v="2026"/>
    <n v="6"/>
    <s v="17-06-2026"/>
    <n v="12189"/>
    <s v="1104-01"/>
    <n v="0"/>
    <n v="28990"/>
    <s v="Centralización recaudaciones junio 2026 #4892 - #4892"/>
    <n v="-28990"/>
    <s v="Activo"/>
    <n v="-28990"/>
    <x v="9"/>
  </r>
  <r>
    <n v="2026"/>
    <n v="6"/>
    <s v="17-06-2026"/>
    <n v="12270"/>
    <s v="1104-01"/>
    <n v="0"/>
    <n v="429427"/>
    <s v="Centralización recaudaciones junio 2026 #4973 - #4973"/>
    <n v="-429427"/>
    <s v="Activo"/>
    <n v="-429427"/>
    <x v="9"/>
  </r>
  <r>
    <n v="2026"/>
    <n v="6"/>
    <s v="17-06-2026"/>
    <n v="12318"/>
    <s v="1104-01"/>
    <n v="0"/>
    <n v="14990"/>
    <s v="Centralización recaudaciones junio 2026 #5021 - #5021"/>
    <n v="-14990"/>
    <s v="Activo"/>
    <n v="-14990"/>
    <x v="9"/>
  </r>
  <r>
    <n v="2026"/>
    <n v="6"/>
    <s v="17-06-2026"/>
    <n v="12320"/>
    <s v="1104-01"/>
    <n v="0"/>
    <n v="21990"/>
    <s v="Centralización recaudaciones junio 2026 #5023 - #5023"/>
    <n v="-21990"/>
    <s v="Activo"/>
    <n v="-21990"/>
    <x v="9"/>
  </r>
  <r>
    <n v="2026"/>
    <n v="6"/>
    <s v="17-06-2026"/>
    <n v="12441"/>
    <s v="1104-01"/>
    <n v="0"/>
    <n v="40000"/>
    <s v="Centralización recaudaciones junio 2026 #5144 - #5144"/>
    <n v="-40000"/>
    <s v="Activo"/>
    <n v="-40000"/>
    <x v="9"/>
  </r>
  <r>
    <n v="2026"/>
    <n v="6"/>
    <s v="17-06-2026"/>
    <n v="12541"/>
    <s v="1104-01"/>
    <n v="0"/>
    <n v="46990"/>
    <s v="Centralización recaudaciones junio 2026 #5243 - #5243"/>
    <n v="-46990"/>
    <s v="Activo"/>
    <n v="-46990"/>
    <x v="9"/>
  </r>
  <r>
    <n v="2026"/>
    <n v="6"/>
    <s v="17-06-2026"/>
    <n v="12584"/>
    <s v="1104-01"/>
    <n v="0"/>
    <n v="475150"/>
    <s v="0761872877 transf. khipu spa"/>
    <n v="-475150"/>
    <s v="Activo"/>
    <n v="-475150"/>
    <x v="9"/>
  </r>
  <r>
    <n v="2026"/>
    <n v="6"/>
    <s v="17-06-2026"/>
    <n v="12585"/>
    <s v="1104-01"/>
    <n v="0"/>
    <n v="1670586"/>
    <s v="0966893109 abn crd db tran transbank s"/>
    <n v="-1670586"/>
    <s v="Activo"/>
    <n v="-1670586"/>
    <x v="9"/>
  </r>
  <r>
    <n v="2026"/>
    <n v="6"/>
    <s v="18-06-2026"/>
    <n v="12404"/>
    <s v="1104-01"/>
    <n v="0"/>
    <n v="94000"/>
    <s v="Centralización recaudaciones junio 2026 #5107 - #5107"/>
    <n v="-94000"/>
    <s v="Activo"/>
    <n v="-94000"/>
    <x v="9"/>
  </r>
  <r>
    <n v="2026"/>
    <n v="6"/>
    <s v="18-06-2026"/>
    <n v="12509"/>
    <s v="1104-01"/>
    <n v="0"/>
    <n v="25000"/>
    <s v="Centralización recaudaciones junio 2026 #5211 - #5211"/>
    <n v="-25000"/>
    <s v="Activo"/>
    <n v="-25000"/>
    <x v="9"/>
  </r>
  <r>
    <n v="2026"/>
    <n v="6"/>
    <s v="18-06-2026"/>
    <n v="12524"/>
    <s v="1104-01"/>
    <n v="0"/>
    <n v="35700"/>
    <s v="Centralización recaudaciones junio 2026 #5226 - #5226"/>
    <n v="-35700"/>
    <s v="Activo"/>
    <n v="-35700"/>
    <x v="9"/>
  </r>
  <r>
    <n v="2026"/>
    <n v="6"/>
    <s v="18-06-2026"/>
    <n v="12542"/>
    <s v="1104-01"/>
    <n v="0"/>
    <n v="31"/>
    <s v="Centralización recaudaciones junio 2026 #5244 - #5244"/>
    <n v="-31"/>
    <s v="Activo"/>
    <n v="-31"/>
    <x v="9"/>
  </r>
  <r>
    <n v="2026"/>
    <n v="6"/>
    <s v="18-06-2026"/>
    <n v="12555"/>
    <s v="1104-01"/>
    <n v="0"/>
    <n v="571800"/>
    <s v="Centralización recaudaciones junio 2026 #5257 - #5257"/>
    <n v="-571800"/>
    <s v="Activo"/>
    <n v="-571800"/>
    <x v="9"/>
  </r>
  <r>
    <n v="2026"/>
    <n v="6"/>
    <s v="18-06-2026"/>
    <n v="12582"/>
    <s v="1104-01"/>
    <n v="0"/>
    <n v="110619"/>
    <s v="0761872877 transf. khipu spa"/>
    <n v="-110619"/>
    <s v="Activo"/>
    <n v="-110619"/>
    <x v="9"/>
  </r>
  <r>
    <n v="2026"/>
    <n v="6"/>
    <s v="18-06-2026"/>
    <n v="12583"/>
    <s v="1104-01"/>
    <n v="0"/>
    <n v="2541541"/>
    <s v="0966893109 abn crd db tran transbank s"/>
    <n v="-2541541"/>
    <s v="Activo"/>
    <n v="-2541541"/>
    <x v="9"/>
  </r>
  <r>
    <n v="2026"/>
    <n v="6"/>
    <s v="19-06-2026"/>
    <n v="12012"/>
    <s v="1104-01"/>
    <n v="0"/>
    <n v="119613"/>
    <s v="Centralización recaudaciones junio 2026 #4717 - #4717"/>
    <n v="-119613"/>
    <s v="Activo"/>
    <n v="-119613"/>
    <x v="9"/>
  </r>
  <r>
    <n v="2026"/>
    <n v="6"/>
    <s v="19-06-2026"/>
    <n v="12070"/>
    <s v="1104-01"/>
    <n v="0"/>
    <n v="194094"/>
    <s v="Centralización recaudaciones junio 2026 #4775 - #4775"/>
    <n v="-194094"/>
    <s v="Activo"/>
    <n v="-194094"/>
    <x v="9"/>
  </r>
  <r>
    <n v="2026"/>
    <n v="6"/>
    <s v="19-06-2026"/>
    <n v="12082"/>
    <s v="1104-01"/>
    <n v="0"/>
    <n v="120114"/>
    <s v="Centralización recaudaciones junio 2026 #4785 - #4785"/>
    <n v="-120114"/>
    <s v="Activo"/>
    <n v="-120114"/>
    <x v="9"/>
  </r>
  <r>
    <n v="2026"/>
    <n v="6"/>
    <s v="19-06-2026"/>
    <n v="12319"/>
    <s v="1104-01"/>
    <n v="0"/>
    <n v="10000"/>
    <s v="Centralización recaudaciones junio 2026 #5022 - #5022"/>
    <n v="-10000"/>
    <s v="Activo"/>
    <n v="-10000"/>
    <x v="9"/>
  </r>
  <r>
    <n v="2026"/>
    <n v="6"/>
    <s v="19-06-2026"/>
    <n v="12321"/>
    <s v="1104-01"/>
    <n v="0"/>
    <n v="884792"/>
    <s v="Centralización recaudaciones junio 2026 #5024 - #5024"/>
    <n v="-884792"/>
    <s v="Activo"/>
    <n v="-884792"/>
    <x v="9"/>
  </r>
  <r>
    <n v="2026"/>
    <n v="6"/>
    <s v="19-06-2026"/>
    <n v="12384"/>
    <s v="1104-01"/>
    <n v="0"/>
    <n v="24990"/>
    <s v="Centralización recaudaciones junio 2026 #5087 - #5087"/>
    <n v="-24990"/>
    <s v="Activo"/>
    <n v="-24990"/>
    <x v="9"/>
  </r>
  <r>
    <n v="2026"/>
    <n v="6"/>
    <s v="19-06-2026"/>
    <n v="12394"/>
    <s v="1104-01"/>
    <n v="0"/>
    <n v="32990"/>
    <s v="Centralización recaudaciones junio 2026 #5097 - #5097"/>
    <n v="-32990"/>
    <s v="Activo"/>
    <n v="-32990"/>
    <x v="9"/>
  </r>
  <r>
    <n v="2026"/>
    <n v="6"/>
    <s v="19-06-2026"/>
    <n v="12440"/>
    <s v="1104-01"/>
    <n v="0"/>
    <n v="118964"/>
    <s v="Centralización recaudaciones junio 2026 #5143 - #5143"/>
    <n v="-118964"/>
    <s v="Activo"/>
    <n v="-118964"/>
    <x v="9"/>
  </r>
  <r>
    <n v="2026"/>
    <n v="6"/>
    <s v="19-06-2026"/>
    <n v="12473"/>
    <s v="1104-01"/>
    <n v="0"/>
    <n v="24990"/>
    <s v="Centralización recaudaciones junio 2026 #5175 - #5175"/>
    <n v="-24990"/>
    <s v="Activo"/>
    <n v="-24990"/>
    <x v="9"/>
  </r>
  <r>
    <n v="2026"/>
    <n v="6"/>
    <s v="19-06-2026"/>
    <n v="12476"/>
    <s v="1104-01"/>
    <n v="0"/>
    <n v="24990"/>
    <s v="Centralización recaudaciones junio 2026 #5178 - #5178"/>
    <n v="-24990"/>
    <s v="Activo"/>
    <n v="-24990"/>
    <x v="9"/>
  </r>
  <r>
    <n v="2026"/>
    <n v="6"/>
    <s v="19-06-2026"/>
    <n v="12516"/>
    <s v="1104-01"/>
    <n v="0"/>
    <n v="773"/>
    <s v="Centralización recaudaciones junio 2026 #5218 - #5218"/>
    <n v="-773"/>
    <s v="Activo"/>
    <n v="-773"/>
    <x v="9"/>
  </r>
  <r>
    <n v="2026"/>
    <n v="6"/>
    <s v="19-06-2026"/>
    <n v="12523"/>
    <s v="1104-01"/>
    <n v="0"/>
    <n v="1955"/>
    <s v="Centralización recaudaciones junio 2026 #5225 - #5225"/>
    <n v="-1955"/>
    <s v="Activo"/>
    <n v="-1955"/>
    <x v="9"/>
  </r>
  <r>
    <n v="2026"/>
    <n v="6"/>
    <s v="19-06-2026"/>
    <n v="12543"/>
    <s v="1104-01"/>
    <n v="0"/>
    <n v="579"/>
    <s v="Centralización recaudaciones junio 2026 #5245 - #5245"/>
    <n v="-579"/>
    <s v="Activo"/>
    <n v="-579"/>
    <x v="9"/>
  </r>
  <r>
    <n v="2026"/>
    <n v="6"/>
    <s v="19-06-2026"/>
    <n v="12580"/>
    <s v="1104-01"/>
    <n v="0"/>
    <n v="229182"/>
    <s v="0761872877 transf. khipu spa"/>
    <n v="-229182"/>
    <s v="Activo"/>
    <n v="-229182"/>
    <x v="9"/>
  </r>
  <r>
    <n v="2026"/>
    <n v="6"/>
    <s v="19-06-2026"/>
    <n v="12581"/>
    <s v="1104-01"/>
    <n v="0"/>
    <n v="5003172"/>
    <s v="0966893109 abn crd db tran transbank s"/>
    <n v="-5003172"/>
    <s v="Activo"/>
    <n v="-5003172"/>
    <x v="9"/>
  </r>
  <r>
    <n v="2026"/>
    <n v="6"/>
    <s v="22-06-2026"/>
    <n v="12016"/>
    <s v="1104-01"/>
    <n v="0"/>
    <n v="34990"/>
    <s v="Centralización recaudaciones junio 2026 #4721 - #4721"/>
    <n v="-34990"/>
    <s v="Activo"/>
    <n v="-34990"/>
    <x v="9"/>
  </r>
  <r>
    <n v="2026"/>
    <n v="6"/>
    <s v="22-06-2026"/>
    <n v="12098"/>
    <s v="1104-01"/>
    <n v="0"/>
    <n v="59980"/>
    <s v="Centralización recaudaciones junio 2026 #4801 - #4801"/>
    <n v="-59980"/>
    <s v="Activo"/>
    <n v="-59980"/>
    <x v="9"/>
  </r>
  <r>
    <n v="2026"/>
    <n v="6"/>
    <s v="22-06-2026"/>
    <n v="12116"/>
    <s v="1104-01"/>
    <n v="0"/>
    <n v="271337"/>
    <s v="Centralización recaudaciones junio 2026 #4819 - #4819"/>
    <n v="-271337"/>
    <s v="Activo"/>
    <n v="-271337"/>
    <x v="9"/>
  </r>
  <r>
    <n v="2026"/>
    <n v="6"/>
    <s v="22-06-2026"/>
    <n v="12143"/>
    <s v="1104-01"/>
    <n v="0"/>
    <n v="456433"/>
    <s v="Centralización recaudaciones junio 2026 #4846 - #4846"/>
    <n v="-456433"/>
    <s v="Activo"/>
    <n v="-456433"/>
    <x v="9"/>
  </r>
  <r>
    <n v="2026"/>
    <n v="6"/>
    <s v="22-06-2026"/>
    <n v="12265"/>
    <s v="1104-01"/>
    <n v="0"/>
    <n v="144137"/>
    <s v="Centralización recaudaciones junio 2026 #4968 - #4968"/>
    <n v="-144137"/>
    <s v="Activo"/>
    <n v="-144137"/>
    <x v="9"/>
  </r>
  <r>
    <n v="2026"/>
    <n v="6"/>
    <s v="22-06-2026"/>
    <n v="12310"/>
    <s v="1104-01"/>
    <n v="0"/>
    <n v="28971"/>
    <s v="Centralización recaudaciones junio 2026 #5013 - #5013"/>
    <n v="-28971"/>
    <s v="Activo"/>
    <n v="-28971"/>
    <x v="9"/>
  </r>
  <r>
    <n v="2026"/>
    <n v="6"/>
    <s v="22-06-2026"/>
    <n v="12353"/>
    <s v="1104-01"/>
    <n v="0"/>
    <n v="28990"/>
    <s v="Centralización recaudaciones junio 2026 #5056 - #5056"/>
    <n v="-28990"/>
    <s v="Activo"/>
    <n v="-28990"/>
    <x v="9"/>
  </r>
  <r>
    <n v="2026"/>
    <n v="6"/>
    <s v="22-06-2026"/>
    <n v="12368"/>
    <s v="1104-01"/>
    <n v="0"/>
    <n v="674102"/>
    <s v="Centralización recaudaciones junio 2026 #5071 - #5071"/>
    <n v="-674102"/>
    <s v="Activo"/>
    <n v="-674102"/>
    <x v="9"/>
  </r>
  <r>
    <n v="2026"/>
    <n v="6"/>
    <s v="22-06-2026"/>
    <n v="12370"/>
    <s v="1104-01"/>
    <n v="0"/>
    <n v="6462"/>
    <s v="Centralización recaudaciones junio 2026 #5073 - #5073"/>
    <n v="-6462"/>
    <s v="Activo"/>
    <n v="-6462"/>
    <x v="9"/>
  </r>
  <r>
    <n v="2026"/>
    <n v="6"/>
    <s v="22-06-2026"/>
    <n v="12376"/>
    <s v="1104-01"/>
    <n v="0"/>
    <n v="27360"/>
    <s v="Centralización recaudaciones junio 2026 #5079 - #5079"/>
    <n v="-27360"/>
    <s v="Activo"/>
    <n v="-27360"/>
    <x v="9"/>
  </r>
  <r>
    <n v="2026"/>
    <n v="6"/>
    <s v="22-06-2026"/>
    <n v="12503"/>
    <s v="1104-01"/>
    <n v="0"/>
    <n v="30000"/>
    <s v="Centralización recaudaciones junio 2026 #5205 - #5205"/>
    <n v="-30000"/>
    <s v="Activo"/>
    <n v="-30000"/>
    <x v="9"/>
  </r>
  <r>
    <n v="2026"/>
    <n v="6"/>
    <s v="22-06-2026"/>
    <n v="12517"/>
    <s v="1104-01"/>
    <n v="0"/>
    <n v="24217"/>
    <s v="Centralización recaudaciones junio 2026 #5219 - #5219"/>
    <n v="-24217"/>
    <s v="Activo"/>
    <n v="-24217"/>
    <x v="9"/>
  </r>
  <r>
    <n v="2026"/>
    <n v="6"/>
    <s v="22-06-2026"/>
    <n v="12578"/>
    <s v="1104-01"/>
    <n v="0"/>
    <n v="523673"/>
    <s v="0761872877 transf. khipu spa"/>
    <n v="-523673"/>
    <s v="Activo"/>
    <n v="-523673"/>
    <x v="9"/>
  </r>
  <r>
    <n v="2026"/>
    <n v="6"/>
    <s v="22-06-2026"/>
    <n v="12579"/>
    <s v="1104-01"/>
    <n v="0"/>
    <n v="3859299"/>
    <s v="0966893109 abn crd db tran transbank s"/>
    <n v="-3859299"/>
    <s v="Activo"/>
    <n v="-3859299"/>
    <x v="9"/>
  </r>
  <r>
    <n v="2026"/>
    <n v="6"/>
    <s v="23-06-2026"/>
    <n v="7920"/>
    <s v="1104-01"/>
    <n v="168151"/>
    <n v="0"/>
    <s v="0052555582 transf a ayala farias jorge"/>
    <n v="168151"/>
    <s v="Activo"/>
    <n v="168151"/>
    <x v="9"/>
  </r>
  <r>
    <n v="2026"/>
    <n v="6"/>
    <s v="23-06-2026"/>
    <n v="7921"/>
    <s v="1104-01"/>
    <n v="14990"/>
    <n v="0"/>
    <s v="0172535054 transf a espinoza caceres st"/>
    <n v="14990"/>
    <s v="Activo"/>
    <n v="14990"/>
    <x v="9"/>
  </r>
  <r>
    <n v="2026"/>
    <n v="6"/>
    <s v="23-06-2026"/>
    <n v="12079"/>
    <s v="1104-01"/>
    <n v="0"/>
    <n v="43980"/>
    <s v="Centralización recaudaciones junio 2026 #4782 - #4782"/>
    <n v="-43980"/>
    <s v="Activo"/>
    <n v="-43980"/>
    <x v="9"/>
  </r>
  <r>
    <n v="2026"/>
    <n v="6"/>
    <s v="23-06-2026"/>
    <n v="12104"/>
    <s v="1104-01"/>
    <n v="0"/>
    <n v="30000"/>
    <s v="Centralización recaudaciones junio 2026 #4807 - #4807"/>
    <n v="-30000"/>
    <s v="Activo"/>
    <n v="-30000"/>
    <x v="9"/>
  </r>
  <r>
    <n v="2026"/>
    <n v="6"/>
    <s v="23-06-2026"/>
    <n v="12173"/>
    <s v="1104-01"/>
    <n v="0"/>
    <n v="30000"/>
    <s v="Centralización recaudaciones junio 2026 #4876 - #4876"/>
    <n v="-30000"/>
    <s v="Activo"/>
    <n v="-30000"/>
    <x v="9"/>
  </r>
  <r>
    <n v="2026"/>
    <n v="6"/>
    <s v="23-06-2026"/>
    <n v="12283"/>
    <s v="1104-01"/>
    <n v="0"/>
    <n v="30000"/>
    <s v="Centralización recaudaciones junio 2026 #4986 - #4986"/>
    <n v="-30000"/>
    <s v="Activo"/>
    <n v="-30000"/>
    <x v="9"/>
  </r>
  <r>
    <n v="2026"/>
    <n v="6"/>
    <s v="23-06-2026"/>
    <n v="12293"/>
    <s v="1104-01"/>
    <n v="0"/>
    <n v="32990"/>
    <s v="Centralización recaudaciones junio 2026 #4996 - #4996"/>
    <n v="-32990"/>
    <s v="Activo"/>
    <n v="-32990"/>
    <x v="9"/>
  </r>
  <r>
    <n v="2026"/>
    <n v="6"/>
    <s v="23-06-2026"/>
    <n v="12360"/>
    <s v="1104-01"/>
    <n v="0"/>
    <n v="849160"/>
    <s v="Centralización recaudaciones junio 2026 #5063 - #5063"/>
    <n v="-849160"/>
    <s v="Activo"/>
    <n v="-849160"/>
    <x v="9"/>
  </r>
  <r>
    <n v="2026"/>
    <n v="6"/>
    <s v="23-06-2026"/>
    <n v="12371"/>
    <s v="1104-01"/>
    <n v="0"/>
    <n v="14990"/>
    <s v="Centralización recaudaciones junio 2026 #5074 - #5074"/>
    <n v="-14990"/>
    <s v="Activo"/>
    <n v="-14990"/>
    <x v="9"/>
  </r>
  <r>
    <n v="2026"/>
    <n v="6"/>
    <s v="23-06-2026"/>
    <n v="12460"/>
    <s v="1104-01"/>
    <n v="0"/>
    <n v="59980"/>
    <s v="Centralización recaudaciones junio 2026 #5162 - #5162"/>
    <n v="-59980"/>
    <s v="Activo"/>
    <n v="-59980"/>
    <x v="9"/>
  </r>
  <r>
    <n v="2026"/>
    <n v="6"/>
    <s v="23-06-2026"/>
    <n v="12504"/>
    <s v="1104-01"/>
    <n v="0"/>
    <n v="20"/>
    <s v="Centralización recaudaciones junio 2026 #5206 - #5206"/>
    <n v="-20"/>
    <s v="Activo"/>
    <n v="-20"/>
    <x v="9"/>
  </r>
  <r>
    <n v="2026"/>
    <n v="6"/>
    <s v="23-06-2026"/>
    <n v="12576"/>
    <s v="1104-01"/>
    <n v="0"/>
    <n v="128375"/>
    <s v="0761872877 transf. khipu spa"/>
    <n v="-128375"/>
    <s v="Activo"/>
    <n v="-128375"/>
    <x v="9"/>
  </r>
  <r>
    <n v="2026"/>
    <n v="6"/>
    <s v="23-06-2026"/>
    <n v="12577"/>
    <s v="1104-01"/>
    <n v="0"/>
    <n v="3038993"/>
    <s v="0966893109 abn crd db tran transbank s"/>
    <n v="-3038993"/>
    <s v="Activo"/>
    <n v="-3038993"/>
    <x v="9"/>
  </r>
  <r>
    <n v="2026"/>
    <n v="6"/>
    <s v="24-06-2026"/>
    <n v="12043"/>
    <s v="1104-01"/>
    <n v="0"/>
    <n v="59980"/>
    <s v="Centralización recaudaciones junio 2026 #4748 - #4748"/>
    <n v="-59980"/>
    <s v="Activo"/>
    <n v="-59980"/>
    <x v="9"/>
  </r>
  <r>
    <n v="2026"/>
    <n v="6"/>
    <s v="24-06-2026"/>
    <n v="12166"/>
    <s v="1104-01"/>
    <n v="0"/>
    <n v="30000"/>
    <s v="Centralización recaudaciones junio 2026 #4869 - #4869"/>
    <n v="-30000"/>
    <s v="Activo"/>
    <n v="-30000"/>
    <x v="9"/>
  </r>
  <r>
    <n v="2026"/>
    <n v="6"/>
    <s v="24-06-2026"/>
    <n v="12219"/>
    <s v="1104-01"/>
    <n v="0"/>
    <n v="30000"/>
    <s v="Centralización recaudaciones junio 2026 #4922 - #4922"/>
    <n v="-30000"/>
    <s v="Activo"/>
    <n v="-30000"/>
    <x v="9"/>
  </r>
  <r>
    <n v="2026"/>
    <n v="6"/>
    <s v="24-06-2026"/>
    <n v="12398"/>
    <s v="1104-01"/>
    <n v="0"/>
    <n v="14990"/>
    <s v="Centralización recaudaciones junio 2026 #5101 - #5101"/>
    <n v="-14990"/>
    <s v="Activo"/>
    <n v="-14990"/>
    <x v="9"/>
  </r>
  <r>
    <n v="2026"/>
    <n v="6"/>
    <s v="24-06-2026"/>
    <n v="12505"/>
    <s v="1104-01"/>
    <n v="0"/>
    <n v="20"/>
    <s v="Centralización recaudaciones junio 2026 #5207 - #5207"/>
    <n v="-20"/>
    <s v="Activo"/>
    <n v="-20"/>
    <x v="9"/>
  </r>
  <r>
    <n v="2026"/>
    <n v="6"/>
    <s v="24-06-2026"/>
    <n v="12574"/>
    <s v="1104-01"/>
    <n v="0"/>
    <n v="319119"/>
    <s v="0761872877 transf. khipu spa"/>
    <n v="-319119"/>
    <s v="Activo"/>
    <n v="-319119"/>
    <x v="9"/>
  </r>
  <r>
    <n v="2026"/>
    <n v="6"/>
    <s v="24-06-2026"/>
    <n v="12575"/>
    <s v="1104-01"/>
    <n v="0"/>
    <n v="2576607"/>
    <s v="0966893109 abn crd db tran transbank s"/>
    <n v="-2576607"/>
    <s v="Activo"/>
    <n v="-2576607"/>
    <x v="9"/>
  </r>
  <r>
    <n v="2026"/>
    <n v="6"/>
    <s v="25-06-2026"/>
    <n v="11951"/>
    <s v="1104-01"/>
    <n v="0"/>
    <n v="24990"/>
    <s v="Centralización recaudaciones junio 2026 #4657 - #4657"/>
    <n v="-24990"/>
    <s v="Activo"/>
    <n v="-24990"/>
    <x v="9"/>
  </r>
  <r>
    <n v="2026"/>
    <n v="6"/>
    <s v="25-06-2026"/>
    <n v="11973"/>
    <s v="1104-01"/>
    <n v="0"/>
    <n v="25990"/>
    <s v="Centralización recaudaciones junio 2026 #4678 - #4678"/>
    <n v="-25990"/>
    <s v="Activo"/>
    <n v="-25990"/>
    <x v="9"/>
  </r>
  <r>
    <n v="2026"/>
    <n v="6"/>
    <s v="25-06-2026"/>
    <n v="11975"/>
    <s v="1104-01"/>
    <n v="0"/>
    <n v="120000"/>
    <s v="Centralización recaudaciones junio 2026 #4680 - #4680"/>
    <n v="-120000"/>
    <s v="Activo"/>
    <n v="-120000"/>
    <x v="9"/>
  </r>
  <r>
    <n v="2026"/>
    <n v="6"/>
    <s v="25-06-2026"/>
    <n v="12000"/>
    <s v="1104-01"/>
    <n v="0"/>
    <n v="114385"/>
    <s v="Centralización recaudaciones junio 2026 #4705 - #4705"/>
    <n v="-114385"/>
    <s v="Activo"/>
    <n v="-114385"/>
    <x v="9"/>
  </r>
  <r>
    <n v="2026"/>
    <n v="6"/>
    <s v="25-06-2026"/>
    <n v="12023"/>
    <s v="1104-01"/>
    <n v="0"/>
    <n v="25990"/>
    <s v="Centralización recaudaciones junio 2026 #4728 - #4728"/>
    <n v="-25990"/>
    <s v="Activo"/>
    <n v="-25990"/>
    <x v="9"/>
  </r>
  <r>
    <n v="2026"/>
    <n v="6"/>
    <s v="25-06-2026"/>
    <n v="12061"/>
    <s v="1104-01"/>
    <n v="0"/>
    <n v="31990"/>
    <s v="Centralización recaudaciones junio 2026 #4766 - #4766"/>
    <n v="-31990"/>
    <s v="Activo"/>
    <n v="-31990"/>
    <x v="9"/>
  </r>
  <r>
    <n v="2026"/>
    <n v="6"/>
    <s v="25-06-2026"/>
    <n v="12076"/>
    <s v="1104-01"/>
    <n v="0"/>
    <n v="32300"/>
    <s v="Centralización recaudaciones junio 2026 #4779 - #4779"/>
    <n v="-32300"/>
    <s v="Activo"/>
    <n v="-32300"/>
    <x v="9"/>
  </r>
  <r>
    <n v="2026"/>
    <n v="6"/>
    <s v="25-06-2026"/>
    <n v="12080"/>
    <s v="1104-01"/>
    <n v="0"/>
    <n v="32000"/>
    <s v="Centralización recaudaciones junio 2026 #4783 - #4783"/>
    <n v="-32000"/>
    <s v="Activo"/>
    <n v="-32000"/>
    <x v="9"/>
  </r>
  <r>
    <n v="2026"/>
    <n v="6"/>
    <s v="25-06-2026"/>
    <n v="12101"/>
    <s v="1104-01"/>
    <n v="0"/>
    <n v="26392"/>
    <s v="Centralización recaudaciones junio 2026 #4804 - #4804"/>
    <n v="-26392"/>
    <s v="Activo"/>
    <n v="-26392"/>
    <x v="9"/>
  </r>
  <r>
    <n v="2026"/>
    <n v="6"/>
    <s v="25-06-2026"/>
    <n v="12110"/>
    <s v="1104-01"/>
    <n v="0"/>
    <n v="50000"/>
    <s v="Centralización recaudaciones junio 2026 #4813 - #4813"/>
    <n v="-50000"/>
    <s v="Activo"/>
    <n v="-50000"/>
    <x v="9"/>
  </r>
  <r>
    <n v="2026"/>
    <n v="6"/>
    <s v="25-06-2026"/>
    <n v="12115"/>
    <s v="1104-01"/>
    <n v="0"/>
    <n v="15990"/>
    <s v="Centralización recaudaciones junio 2026 #4818 - #4818"/>
    <n v="-15990"/>
    <s v="Activo"/>
    <n v="-15990"/>
    <x v="9"/>
  </r>
  <r>
    <n v="2026"/>
    <n v="6"/>
    <s v="25-06-2026"/>
    <n v="12167"/>
    <s v="1104-01"/>
    <n v="0"/>
    <n v="1990"/>
    <s v="Centralización recaudaciones junio 2026 #4870 - #4870"/>
    <n v="-1990"/>
    <s v="Activo"/>
    <n v="-1990"/>
    <x v="9"/>
  </r>
  <r>
    <n v="2026"/>
    <n v="6"/>
    <s v="25-06-2026"/>
    <n v="12174"/>
    <s v="1104-01"/>
    <n v="0"/>
    <n v="1990"/>
    <s v="Centralización recaudaciones junio 2026 #4877 - #4877"/>
    <n v="-1990"/>
    <s v="Activo"/>
    <n v="-1990"/>
    <x v="9"/>
  </r>
  <r>
    <n v="2026"/>
    <n v="6"/>
    <s v="25-06-2026"/>
    <n v="12177"/>
    <s v="1104-01"/>
    <n v="0"/>
    <n v="25990"/>
    <s v="Centralización recaudaciones junio 2026 #4880 - #4880"/>
    <n v="-25990"/>
    <s v="Activo"/>
    <n v="-25990"/>
    <x v="9"/>
  </r>
  <r>
    <n v="2026"/>
    <n v="6"/>
    <s v="25-06-2026"/>
    <n v="12218"/>
    <s v="1104-01"/>
    <n v="0"/>
    <n v="31990"/>
    <s v="Centralización recaudaciones junio 2026 #4921 - #4921"/>
    <n v="-31990"/>
    <s v="Activo"/>
    <n v="-31990"/>
    <x v="9"/>
  </r>
  <r>
    <n v="2026"/>
    <n v="6"/>
    <s v="25-06-2026"/>
    <n v="12220"/>
    <s v="1104-01"/>
    <n v="0"/>
    <n v="1990"/>
    <s v="Centralización recaudaciones junio 2026 #4923 - #4923"/>
    <n v="-1990"/>
    <s v="Activo"/>
    <n v="-1990"/>
    <x v="9"/>
  </r>
  <r>
    <n v="2026"/>
    <n v="6"/>
    <s v="25-06-2026"/>
    <n v="12222"/>
    <s v="1104-01"/>
    <n v="0"/>
    <n v="35981"/>
    <s v="Centralización recaudaciones junio 2026 #4925 - #4925"/>
    <n v="-35981"/>
    <s v="Activo"/>
    <n v="-35981"/>
    <x v="9"/>
  </r>
  <r>
    <n v="2026"/>
    <n v="6"/>
    <s v="25-06-2026"/>
    <n v="12224"/>
    <s v="1104-01"/>
    <n v="0"/>
    <n v="24990"/>
    <s v="Centralización recaudaciones junio 2026 #4927 - #4927"/>
    <n v="-24990"/>
    <s v="Activo"/>
    <n v="-24990"/>
    <x v="9"/>
  </r>
  <r>
    <n v="2026"/>
    <n v="6"/>
    <s v="25-06-2026"/>
    <n v="12242"/>
    <s v="1104-01"/>
    <n v="0"/>
    <n v="124990"/>
    <s v="Centralización recaudaciones junio 2026 #4945 - #4945"/>
    <n v="-124990"/>
    <s v="Activo"/>
    <n v="-124990"/>
    <x v="9"/>
  </r>
  <r>
    <n v="2026"/>
    <n v="6"/>
    <s v="25-06-2026"/>
    <n v="12284"/>
    <s v="1104-01"/>
    <n v="0"/>
    <n v="1990"/>
    <s v="Centralización recaudaciones junio 2026 #4987 - #4987"/>
    <n v="-1990"/>
    <s v="Activo"/>
    <n v="-1990"/>
    <x v="9"/>
  </r>
  <r>
    <n v="2026"/>
    <n v="6"/>
    <s v="25-06-2026"/>
    <n v="12288"/>
    <s v="1104-01"/>
    <n v="0"/>
    <n v="24990"/>
    <s v="Centralización recaudaciones junio 2026 #4991 - #4991"/>
    <n v="-24990"/>
    <s v="Activo"/>
    <n v="-24990"/>
    <x v="9"/>
  </r>
  <r>
    <n v="2026"/>
    <n v="6"/>
    <s v="25-06-2026"/>
    <n v="12341"/>
    <s v="1104-01"/>
    <n v="0"/>
    <n v="32980"/>
    <s v="Centralización recaudaciones junio 2026 #5044 - #5044"/>
    <n v="-32980"/>
    <s v="Activo"/>
    <n v="-32980"/>
    <x v="9"/>
  </r>
  <r>
    <n v="2026"/>
    <n v="6"/>
    <s v="25-06-2026"/>
    <n v="12367"/>
    <s v="1104-01"/>
    <n v="0"/>
    <n v="32990"/>
    <s v="Centralización recaudaciones junio 2026 #5070 - #5070"/>
    <n v="-32990"/>
    <s v="Activo"/>
    <n v="-32990"/>
    <x v="9"/>
  </r>
  <r>
    <n v="2026"/>
    <n v="6"/>
    <s v="25-06-2026"/>
    <n v="12372"/>
    <s v="1104-01"/>
    <n v="0"/>
    <n v="3538"/>
    <s v="Centralización recaudaciones junio 2026 #5075 - #5075"/>
    <n v="-3538"/>
    <s v="Activo"/>
    <n v="-3538"/>
    <x v="9"/>
  </r>
  <r>
    <n v="2026"/>
    <n v="6"/>
    <s v="25-06-2026"/>
    <n v="12399"/>
    <s v="1104-01"/>
    <n v="0"/>
    <n v="10000"/>
    <s v="Centralización recaudaciones junio 2026 #5102 - #5102"/>
    <n v="-10000"/>
    <s v="Activo"/>
    <n v="-10000"/>
    <x v="9"/>
  </r>
  <r>
    <n v="2026"/>
    <n v="6"/>
    <s v="25-06-2026"/>
    <n v="12420"/>
    <s v="1104-01"/>
    <n v="0"/>
    <n v="2203"/>
    <s v="Centralización recaudaciones junio 2026 #5123 - #5123"/>
    <n v="-2203"/>
    <s v="Activo"/>
    <n v="-2203"/>
    <x v="9"/>
  </r>
  <r>
    <n v="2026"/>
    <n v="6"/>
    <s v="25-06-2026"/>
    <n v="12435"/>
    <s v="1104-01"/>
    <n v="0"/>
    <n v="36980"/>
    <s v="Centralización recaudaciones junio 2026 #5138 - #5138"/>
    <n v="-36980"/>
    <s v="Activo"/>
    <n v="-36980"/>
    <x v="9"/>
  </r>
  <r>
    <n v="2026"/>
    <n v="6"/>
    <s v="25-06-2026"/>
    <n v="12443"/>
    <s v="1104-01"/>
    <n v="0"/>
    <n v="26170"/>
    <s v="Centralización recaudaciones junio 2026 #5146 - #5146"/>
    <n v="-26170"/>
    <s v="Activo"/>
    <n v="-26170"/>
    <x v="9"/>
  </r>
  <r>
    <n v="2026"/>
    <n v="6"/>
    <s v="25-06-2026"/>
    <n v="12462"/>
    <s v="1104-01"/>
    <n v="0"/>
    <n v="32980"/>
    <s v="Centralización recaudaciones junio 2026 #5164 - #5164"/>
    <n v="-32980"/>
    <s v="Activo"/>
    <n v="-32980"/>
    <x v="9"/>
  </r>
  <r>
    <n v="2026"/>
    <n v="6"/>
    <s v="25-06-2026"/>
    <n v="12480"/>
    <s v="1104-01"/>
    <n v="0"/>
    <n v="41650"/>
    <s v="Centralización recaudaciones junio 2026 #5182 - #5182"/>
    <n v="-41650"/>
    <s v="Activo"/>
    <n v="-41650"/>
    <x v="9"/>
  </r>
  <r>
    <n v="2026"/>
    <n v="6"/>
    <s v="25-06-2026"/>
    <n v="12483"/>
    <s v="1104-01"/>
    <n v="0"/>
    <n v="26500"/>
    <s v="Centralización recaudaciones junio 2026 #5185 - #5185"/>
    <n v="-26500"/>
    <s v="Activo"/>
    <n v="-26500"/>
    <x v="9"/>
  </r>
  <r>
    <n v="2026"/>
    <n v="6"/>
    <s v="25-06-2026"/>
    <n v="12488"/>
    <s v="1104-01"/>
    <n v="0"/>
    <n v="24990"/>
    <s v="Centralización recaudaciones junio 2026 #5190 - #5190"/>
    <n v="-24990"/>
    <s v="Activo"/>
    <n v="-24990"/>
    <x v="9"/>
  </r>
  <r>
    <n v="2026"/>
    <n v="6"/>
    <s v="25-06-2026"/>
    <n v="12506"/>
    <s v="1104-01"/>
    <n v="0"/>
    <n v="1930"/>
    <s v="Centralización recaudaciones junio 2026 #5208 - #5208"/>
    <n v="-1930"/>
    <s v="Activo"/>
    <n v="-1930"/>
    <x v="9"/>
  </r>
  <r>
    <n v="2026"/>
    <n v="6"/>
    <s v="25-06-2026"/>
    <n v="12518"/>
    <s v="1104-01"/>
    <n v="0"/>
    <n v="26000"/>
    <s v="Centralización recaudaciones junio 2026 #5220 - #5220"/>
    <n v="-26000"/>
    <s v="Activo"/>
    <n v="-26000"/>
    <x v="9"/>
  </r>
  <r>
    <n v="2026"/>
    <n v="6"/>
    <s v="25-06-2026"/>
    <n v="12572"/>
    <s v="1104-01"/>
    <n v="0"/>
    <n v="343743"/>
    <s v="0761872877 transf. khipu spa"/>
    <n v="-343743"/>
    <s v="Activo"/>
    <n v="-343743"/>
    <x v="9"/>
  </r>
  <r>
    <n v="2026"/>
    <n v="6"/>
    <s v="25-06-2026"/>
    <n v="12573"/>
    <s v="1104-01"/>
    <n v="0"/>
    <n v="2287018"/>
    <s v="0966893109 abn crd db tran transbank s"/>
    <n v="-2287018"/>
    <s v="Activo"/>
    <n v="-2287018"/>
    <x v="9"/>
  </r>
  <r>
    <n v="2026"/>
    <n v="6"/>
    <s v="26-06-2026"/>
    <n v="11953"/>
    <s v="1104-01"/>
    <n v="0"/>
    <n v="40000"/>
    <s v="Centralización recaudaciones junio 2026 #4659 - #4659"/>
    <n v="-40000"/>
    <s v="Activo"/>
    <n v="-40000"/>
    <x v="9"/>
  </r>
  <r>
    <n v="2026"/>
    <n v="6"/>
    <s v="26-06-2026"/>
    <n v="11974"/>
    <s v="1104-01"/>
    <n v="0"/>
    <n v="25990"/>
    <s v="Centralización recaudaciones junio 2026 #4679 - #4679"/>
    <n v="-25990"/>
    <s v="Activo"/>
    <n v="-25990"/>
    <x v="9"/>
  </r>
  <r>
    <n v="2026"/>
    <n v="6"/>
    <s v="26-06-2026"/>
    <n v="11994"/>
    <s v="1104-01"/>
    <n v="0"/>
    <n v="70052"/>
    <s v="Centralización recaudaciones junio 2026 #4699 - #4699"/>
    <n v="-70052"/>
    <s v="Activo"/>
    <n v="-70052"/>
    <x v="9"/>
  </r>
  <r>
    <n v="2026"/>
    <n v="6"/>
    <s v="26-06-2026"/>
    <n v="12002"/>
    <s v="1104-01"/>
    <n v="0"/>
    <n v="30000"/>
    <s v="Centralización recaudaciones junio 2026 #4707 - #4707"/>
    <n v="-30000"/>
    <s v="Activo"/>
    <n v="-30000"/>
    <x v="9"/>
  </r>
  <r>
    <n v="2026"/>
    <n v="6"/>
    <s v="26-06-2026"/>
    <n v="12045"/>
    <s v="1104-01"/>
    <n v="0"/>
    <n v="200000"/>
    <s v="Centralización recaudaciones junio 2026 #4750 - #4750"/>
    <n v="-200000"/>
    <s v="Activo"/>
    <n v="-200000"/>
    <x v="9"/>
  </r>
  <r>
    <n v="2026"/>
    <n v="6"/>
    <s v="26-06-2026"/>
    <n v="12054"/>
    <s v="1104-01"/>
    <n v="0"/>
    <n v="30000"/>
    <s v="Centralización recaudaciones junio 2026 #4759 - #4759"/>
    <n v="-30000"/>
    <s v="Activo"/>
    <n v="-30000"/>
    <x v="9"/>
  </r>
  <r>
    <n v="2026"/>
    <n v="6"/>
    <s v="26-06-2026"/>
    <n v="12066"/>
    <s v="1104-01"/>
    <n v="0"/>
    <n v="25605"/>
    <s v="Centralización recaudaciones junio 2026 #4771 - #4771"/>
    <n v="-25605"/>
    <s v="Activo"/>
    <n v="-25605"/>
    <x v="9"/>
  </r>
  <r>
    <n v="2026"/>
    <n v="6"/>
    <s v="26-06-2026"/>
    <n v="12131"/>
    <s v="1104-01"/>
    <n v="0"/>
    <n v="143000"/>
    <s v="Centralización recaudaciones junio 2026 #4834 - #4834"/>
    <n v="-143000"/>
    <s v="Activo"/>
    <n v="-143000"/>
    <x v="9"/>
  </r>
  <r>
    <n v="2026"/>
    <n v="6"/>
    <s v="26-06-2026"/>
    <n v="12138"/>
    <s v="1104-01"/>
    <n v="0"/>
    <n v="27990"/>
    <s v="Centralización recaudaciones junio 2026 #4841 - #4841"/>
    <n v="-27990"/>
    <s v="Activo"/>
    <n v="-27990"/>
    <x v="9"/>
  </r>
  <r>
    <n v="2026"/>
    <n v="6"/>
    <s v="26-06-2026"/>
    <n v="12144"/>
    <s v="1104-01"/>
    <n v="0"/>
    <n v="34990"/>
    <s v="Centralización recaudaciones junio 2026 #4847 - #4847"/>
    <n v="-34990"/>
    <s v="Activo"/>
    <n v="-34990"/>
    <x v="9"/>
  </r>
  <r>
    <n v="2026"/>
    <n v="6"/>
    <s v="26-06-2026"/>
    <n v="12185"/>
    <s v="1104-01"/>
    <n v="0"/>
    <n v="144137"/>
    <s v="Centralización recaudaciones junio 2026 #4888 - #4888"/>
    <n v="-144137"/>
    <s v="Activo"/>
    <n v="-144137"/>
    <x v="9"/>
  </r>
  <r>
    <n v="2026"/>
    <n v="6"/>
    <s v="26-06-2026"/>
    <n v="12198"/>
    <s v="1104-01"/>
    <n v="0"/>
    <n v="59980"/>
    <s v="Centralización recaudaciones junio 2026 #4901 - #4901"/>
    <n v="-59980"/>
    <s v="Activo"/>
    <n v="-59980"/>
    <x v="9"/>
  </r>
  <r>
    <n v="2026"/>
    <n v="6"/>
    <s v="26-06-2026"/>
    <n v="12232"/>
    <s v="1104-01"/>
    <n v="0"/>
    <n v="43980"/>
    <s v="Centralización recaudaciones junio 2026 #4935 - #4935"/>
    <n v="-43980"/>
    <s v="Activo"/>
    <n v="-43980"/>
    <x v="9"/>
  </r>
  <r>
    <n v="2026"/>
    <n v="6"/>
    <s v="26-06-2026"/>
    <n v="12241"/>
    <s v="1104-01"/>
    <n v="0"/>
    <n v="19990"/>
    <s v="Centralización recaudaciones junio 2026 #4944 - #4944"/>
    <n v="-19990"/>
    <s v="Activo"/>
    <n v="-19990"/>
    <x v="9"/>
  </r>
  <r>
    <n v="2026"/>
    <n v="6"/>
    <s v="26-06-2026"/>
    <n v="12261"/>
    <s v="1104-01"/>
    <n v="0"/>
    <n v="24990"/>
    <s v="Centralización recaudaciones junio 2026 #4964 - #4964"/>
    <n v="-24990"/>
    <s v="Activo"/>
    <n v="-24990"/>
    <x v="9"/>
  </r>
  <r>
    <n v="2026"/>
    <n v="6"/>
    <s v="26-06-2026"/>
    <n v="12286"/>
    <s v="1104-01"/>
    <n v="0"/>
    <n v="432411"/>
    <s v="Centralización recaudaciones junio 2026 #4989 - #4989"/>
    <n v="-432411"/>
    <s v="Activo"/>
    <n v="-432411"/>
    <x v="9"/>
  </r>
  <r>
    <n v="2026"/>
    <n v="6"/>
    <s v="26-06-2026"/>
    <n v="12322"/>
    <s v="1104-01"/>
    <n v="0"/>
    <n v="33990"/>
    <s v="Centralización recaudaciones junio 2026 #5025 - #5025"/>
    <n v="-33990"/>
    <s v="Activo"/>
    <n v="-33990"/>
    <x v="9"/>
  </r>
  <r>
    <n v="2026"/>
    <n v="6"/>
    <s v="26-06-2026"/>
    <n v="12342"/>
    <s v="1104-01"/>
    <n v="0"/>
    <n v="23598"/>
    <s v="Centralización recaudaciones junio 2026 #5045 - #5045"/>
    <n v="-23598"/>
    <s v="Activo"/>
    <n v="-23598"/>
    <x v="9"/>
  </r>
  <r>
    <n v="2026"/>
    <n v="6"/>
    <s v="26-06-2026"/>
    <n v="12346"/>
    <s v="1104-01"/>
    <n v="0"/>
    <n v="24990"/>
    <s v="Centralización recaudaciones junio 2026 #5049 - #5049"/>
    <n v="-24990"/>
    <s v="Activo"/>
    <n v="-24990"/>
    <x v="9"/>
  </r>
  <r>
    <n v="2026"/>
    <n v="6"/>
    <s v="26-06-2026"/>
    <n v="12364"/>
    <s v="1104-01"/>
    <n v="0"/>
    <n v="69980"/>
    <s v="Centralización recaudaciones junio 2026 #5067 - #5067"/>
    <n v="-69980"/>
    <s v="Activo"/>
    <n v="-69980"/>
    <x v="9"/>
  </r>
  <r>
    <n v="2026"/>
    <n v="6"/>
    <s v="26-06-2026"/>
    <n v="12379"/>
    <s v="1104-01"/>
    <n v="0"/>
    <n v="39990"/>
    <s v="Centralización recaudaciones junio 2026 #5082 - #5082"/>
    <n v="-39990"/>
    <s v="Activo"/>
    <n v="-39990"/>
    <x v="9"/>
  </r>
  <r>
    <n v="2026"/>
    <n v="6"/>
    <s v="26-06-2026"/>
    <n v="12392"/>
    <s v="1104-01"/>
    <n v="0"/>
    <n v="30000"/>
    <s v="Centralización recaudaciones junio 2026 #5095 - #5095"/>
    <n v="-30000"/>
    <s v="Activo"/>
    <n v="-30000"/>
    <x v="9"/>
  </r>
  <r>
    <n v="2026"/>
    <n v="6"/>
    <s v="26-06-2026"/>
    <n v="12400"/>
    <s v="1104-01"/>
    <n v="0"/>
    <n v="86052"/>
    <s v="Centralización recaudaciones junio 2026 #5103 - #5103"/>
    <n v="-86052"/>
    <s v="Activo"/>
    <n v="-86052"/>
    <x v="9"/>
  </r>
  <r>
    <n v="2026"/>
    <n v="6"/>
    <s v="26-06-2026"/>
    <n v="12415"/>
    <s v="1104-01"/>
    <n v="0"/>
    <n v="20980"/>
    <s v="Centralización recaudaciones junio 2026 #5118 - #5118"/>
    <n v="-20980"/>
    <s v="Activo"/>
    <n v="-20980"/>
    <x v="9"/>
  </r>
  <r>
    <n v="2026"/>
    <n v="6"/>
    <s v="26-06-2026"/>
    <n v="12417"/>
    <s v="1104-01"/>
    <n v="0"/>
    <n v="63980"/>
    <s v="Centralización recaudaciones junio 2026 #5120 - #5120"/>
    <n v="-63980"/>
    <s v="Activo"/>
    <n v="-63980"/>
    <x v="9"/>
  </r>
  <r>
    <n v="2026"/>
    <n v="6"/>
    <s v="26-06-2026"/>
    <n v="12421"/>
    <s v="1104-01"/>
    <n v="0"/>
    <n v="22787"/>
    <s v="Centralización recaudaciones junio 2026 #5124 - #5124"/>
    <n v="-22787"/>
    <s v="Activo"/>
    <n v="-22787"/>
    <x v="9"/>
  </r>
  <r>
    <n v="2026"/>
    <n v="6"/>
    <s v="26-06-2026"/>
    <n v="12428"/>
    <s v="1104-01"/>
    <n v="0"/>
    <n v="118974"/>
    <s v="Centralización recaudaciones junio 2026 #5131 - #5131"/>
    <n v="-118974"/>
    <s v="Activo"/>
    <n v="-118974"/>
    <x v="9"/>
  </r>
  <r>
    <n v="2026"/>
    <n v="6"/>
    <s v="26-06-2026"/>
    <n v="12452"/>
    <s v="1104-01"/>
    <n v="0"/>
    <n v="24990"/>
    <s v="Centralización recaudaciones junio 2026 #5155 - #5155"/>
    <n v="-24990"/>
    <s v="Activo"/>
    <n v="-24990"/>
    <x v="9"/>
  </r>
  <r>
    <n v="2026"/>
    <n v="6"/>
    <s v="26-06-2026"/>
    <n v="12465"/>
    <s v="1104-01"/>
    <n v="0"/>
    <n v="35990"/>
    <s v="Centralización recaudaciones junio 2026 #5167 - #5167"/>
    <n v="-35990"/>
    <s v="Activo"/>
    <n v="-35990"/>
    <x v="9"/>
  </r>
  <r>
    <n v="2026"/>
    <n v="6"/>
    <s v="26-06-2026"/>
    <n v="12466"/>
    <s v="1104-01"/>
    <n v="0"/>
    <n v="40000"/>
    <s v="Centralización recaudaciones junio 2026 #5168 - #5168"/>
    <n v="-40000"/>
    <s v="Activo"/>
    <n v="-40000"/>
    <x v="9"/>
  </r>
  <r>
    <n v="2026"/>
    <n v="6"/>
    <s v="26-06-2026"/>
    <n v="12499"/>
    <s v="1104-01"/>
    <n v="0"/>
    <n v="24990"/>
    <s v="Centralización recaudaciones junio 2026 #5201 - #5201"/>
    <n v="-24990"/>
    <s v="Activo"/>
    <n v="-24990"/>
    <x v="9"/>
  </r>
  <r>
    <n v="2026"/>
    <n v="6"/>
    <s v="26-06-2026"/>
    <n v="12510"/>
    <s v="1104-01"/>
    <n v="0"/>
    <n v="89250"/>
    <s v="Centralización recaudaciones junio 2026 #5212 - #5212"/>
    <n v="-89250"/>
    <s v="Activo"/>
    <n v="-89250"/>
    <x v="9"/>
  </r>
  <r>
    <n v="2026"/>
    <n v="6"/>
    <s v="26-06-2026"/>
    <n v="12519"/>
    <s v="1104-01"/>
    <n v="0"/>
    <n v="33990"/>
    <s v="Centralización recaudaciones junio 2026 #5221 - #5221"/>
    <n v="-33990"/>
    <s v="Activo"/>
    <n v="-33990"/>
    <x v="9"/>
  </r>
  <r>
    <n v="2026"/>
    <n v="6"/>
    <s v="26-06-2026"/>
    <n v="12553"/>
    <s v="1104-01"/>
    <n v="0"/>
    <n v="50000"/>
    <s v="Centralización recaudaciones junio 2026 #5255 - #5255"/>
    <n v="-50000"/>
    <s v="Activo"/>
    <n v="-50000"/>
    <x v="9"/>
  </r>
  <r>
    <n v="2026"/>
    <n v="6"/>
    <s v="26-06-2026"/>
    <n v="12563"/>
    <s v="1104-01"/>
    <n v="0"/>
    <n v="40000"/>
    <s v="Centralización recaudaciones junio 2026 #5265 - #5265"/>
    <n v="-40000"/>
    <s v="Activo"/>
    <n v="-40000"/>
    <x v="9"/>
  </r>
  <r>
    <n v="2026"/>
    <n v="6"/>
    <s v="26-06-2026"/>
    <n v="12570"/>
    <s v="1104-01"/>
    <n v="0"/>
    <n v="348203"/>
    <s v="0761872877 transf. khipu spa"/>
    <n v="-348203"/>
    <s v="Activo"/>
    <n v="-348203"/>
    <x v="9"/>
  </r>
  <r>
    <n v="2026"/>
    <n v="6"/>
    <s v="26-06-2026"/>
    <n v="12571"/>
    <s v="1104-01"/>
    <n v="0"/>
    <n v="6070416"/>
    <s v="0966893109 abn crd db tran transbank s"/>
    <n v="-6070416"/>
    <s v="Activo"/>
    <n v="-6070416"/>
    <x v="9"/>
  </r>
  <r>
    <n v="2026"/>
    <n v="6"/>
    <s v="30-06-2026"/>
    <n v="11956"/>
    <s v="1104-01"/>
    <n v="0"/>
    <n v="59990"/>
    <s v="Centralización recaudaciones junio 2026 #4662 - #4662"/>
    <n v="-59990"/>
    <s v="Activo"/>
    <n v="-59990"/>
    <x v="9"/>
  </r>
  <r>
    <n v="2026"/>
    <n v="6"/>
    <s v="30-06-2026"/>
    <n v="11958"/>
    <s v="1104-01"/>
    <n v="0"/>
    <n v="34990"/>
    <s v="Centralización recaudaciones junio 2026 #4664 - #4664"/>
    <n v="-34990"/>
    <s v="Activo"/>
    <n v="-34990"/>
    <x v="9"/>
  </r>
  <r>
    <n v="2026"/>
    <n v="6"/>
    <s v="30-06-2026"/>
    <n v="11959"/>
    <s v="1104-01"/>
    <n v="0"/>
    <n v="39990"/>
    <s v="Centralización recaudaciones junio 2026 #4665 - #4665"/>
    <n v="-39990"/>
    <s v="Activo"/>
    <n v="-39990"/>
    <x v="9"/>
  </r>
  <r>
    <n v="2026"/>
    <n v="6"/>
    <s v="30-06-2026"/>
    <n v="11962"/>
    <s v="1104-01"/>
    <n v="0"/>
    <n v="115310"/>
    <s v="Centralización recaudaciones junio 2026 #4668 - #4668"/>
    <n v="-115310"/>
    <s v="Activo"/>
    <n v="-115310"/>
    <x v="9"/>
  </r>
  <r>
    <n v="2026"/>
    <n v="6"/>
    <s v="30-06-2026"/>
    <n v="11967"/>
    <s v="1104-01"/>
    <n v="0"/>
    <n v="59990"/>
    <s v="Centralización recaudaciones junio 2026 #4672 - #4672"/>
    <n v="-59990"/>
    <s v="Activo"/>
    <n v="-59990"/>
    <x v="9"/>
  </r>
  <r>
    <n v="2026"/>
    <n v="6"/>
    <s v="30-06-2026"/>
    <n v="11970"/>
    <s v="1104-01"/>
    <n v="0"/>
    <n v="52980"/>
    <s v="Centralización recaudaciones junio 2026 #4675 - #4675"/>
    <n v="-52980"/>
    <s v="Activo"/>
    <n v="-52980"/>
    <x v="9"/>
  </r>
  <r>
    <n v="2026"/>
    <n v="6"/>
    <s v="30-06-2026"/>
    <n v="11978"/>
    <s v="1104-01"/>
    <n v="0"/>
    <n v="392325"/>
    <s v="Centralización recaudaciones junio 2026 #4683 - #4683"/>
    <n v="-392325"/>
    <s v="Activo"/>
    <n v="-392325"/>
    <x v="9"/>
  </r>
  <r>
    <n v="2026"/>
    <n v="6"/>
    <s v="30-06-2026"/>
    <n v="11980"/>
    <s v="1104-01"/>
    <n v="0"/>
    <n v="49990"/>
    <s v="Centralización recaudaciones junio 2026 #4685 - #4685"/>
    <n v="-49990"/>
    <s v="Activo"/>
    <n v="-49990"/>
    <x v="9"/>
  </r>
  <r>
    <n v="2026"/>
    <n v="6"/>
    <s v="30-06-2026"/>
    <n v="11999"/>
    <s v="1104-01"/>
    <n v="0"/>
    <n v="40000"/>
    <s v="Centralización recaudaciones junio 2026 #4704 - #4704"/>
    <n v="-40000"/>
    <s v="Activo"/>
    <n v="-40000"/>
    <x v="9"/>
  </r>
  <r>
    <n v="2026"/>
    <n v="6"/>
    <s v="30-06-2026"/>
    <n v="12018"/>
    <s v="1104-01"/>
    <n v="0"/>
    <n v="42990"/>
    <s v="Centralización recaudaciones junio 2026 #4723 - #4723"/>
    <n v="-42990"/>
    <s v="Activo"/>
    <n v="-42990"/>
    <x v="9"/>
  </r>
  <r>
    <n v="2026"/>
    <n v="6"/>
    <s v="30-06-2026"/>
    <n v="12025"/>
    <s v="1104-01"/>
    <n v="0"/>
    <n v="58000"/>
    <s v="Centralización recaudaciones junio 2026 #4730 - #4730"/>
    <n v="-58000"/>
    <s v="Activo"/>
    <n v="-58000"/>
    <x v="9"/>
  </r>
  <r>
    <n v="2026"/>
    <n v="6"/>
    <s v="30-06-2026"/>
    <n v="12036"/>
    <s v="1104-01"/>
    <n v="0"/>
    <n v="30000"/>
    <s v="Centralización recaudaciones junio 2026 #4741 - #4741"/>
    <n v="-30000"/>
    <s v="Activo"/>
    <n v="-30000"/>
    <x v="9"/>
  </r>
  <r>
    <n v="2026"/>
    <n v="6"/>
    <s v="30-06-2026"/>
    <n v="12041"/>
    <s v="1104-01"/>
    <n v="0"/>
    <n v="30000"/>
    <s v="Centralización recaudaciones junio 2026 #4746 - #4746"/>
    <n v="-30000"/>
    <s v="Activo"/>
    <n v="-30000"/>
    <x v="9"/>
  </r>
  <r>
    <n v="2026"/>
    <n v="6"/>
    <s v="30-06-2026"/>
    <n v="12056"/>
    <s v="1104-01"/>
    <n v="0"/>
    <n v="44990"/>
    <s v="Centralización recaudaciones junio 2026 #4761 - #4761"/>
    <n v="-44990"/>
    <s v="Activo"/>
    <n v="-44990"/>
    <x v="9"/>
  </r>
  <r>
    <n v="2026"/>
    <n v="6"/>
    <s v="30-06-2026"/>
    <n v="12064"/>
    <s v="1104-01"/>
    <n v="0"/>
    <n v="23341"/>
    <s v="Centralización recaudaciones junio 2026 #4769 - #4769"/>
    <n v="-23341"/>
    <s v="Activo"/>
    <n v="-23341"/>
    <x v="9"/>
  </r>
  <r>
    <n v="2026"/>
    <n v="6"/>
    <s v="30-06-2026"/>
    <n v="12067"/>
    <s v="1104-01"/>
    <n v="0"/>
    <n v="42524"/>
    <s v="Centralización recaudaciones junio 2026 #4772 - #4772"/>
    <n v="-42524"/>
    <s v="Activo"/>
    <n v="-42524"/>
    <x v="9"/>
  </r>
  <r>
    <n v="2026"/>
    <n v="6"/>
    <s v="30-06-2026"/>
    <n v="12073"/>
    <s v="1104-01"/>
    <n v="0"/>
    <n v="50000"/>
    <s v="Centralización recaudaciones junio 2026 #4778 - #4778"/>
    <n v="-50000"/>
    <s v="Activo"/>
    <n v="-50000"/>
    <x v="9"/>
  </r>
  <r>
    <n v="2026"/>
    <n v="6"/>
    <s v="30-06-2026"/>
    <n v="12086"/>
    <s v="1104-01"/>
    <n v="0"/>
    <n v="38068"/>
    <s v="Centralización recaudaciones junio 2026 #4789 - #4789"/>
    <n v="-38068"/>
    <s v="Activo"/>
    <n v="-38068"/>
    <x v="9"/>
  </r>
  <r>
    <n v="2026"/>
    <n v="6"/>
    <s v="30-06-2026"/>
    <n v="12093"/>
    <s v="1104-01"/>
    <n v="0"/>
    <n v="39990"/>
    <s v="Centralización recaudaciones junio 2026 #4796 - #4796"/>
    <n v="-39990"/>
    <s v="Activo"/>
    <n v="-39990"/>
    <x v="9"/>
  </r>
  <r>
    <n v="2026"/>
    <n v="6"/>
    <s v="30-06-2026"/>
    <n v="12095"/>
    <s v="1104-01"/>
    <n v="0"/>
    <n v="43980"/>
    <s v="Centralización recaudaciones junio 2026 #4798 - #4798"/>
    <n v="-43980"/>
    <s v="Activo"/>
    <n v="-43980"/>
    <x v="9"/>
  </r>
  <r>
    <n v="2026"/>
    <n v="6"/>
    <s v="30-06-2026"/>
    <n v="12097"/>
    <s v="1104-01"/>
    <n v="0"/>
    <n v="40000"/>
    <s v="Centralización recaudaciones junio 2026 #4800 - #4800"/>
    <n v="-40000"/>
    <s v="Activo"/>
    <n v="-40000"/>
    <x v="9"/>
  </r>
  <r>
    <n v="2026"/>
    <n v="6"/>
    <s v="30-06-2026"/>
    <n v="12105"/>
    <s v="1104-01"/>
    <n v="0"/>
    <n v="50000"/>
    <s v="Centralización recaudaciones junio 2026 #4808 - #4808"/>
    <n v="-50000"/>
    <s v="Activo"/>
    <n v="-50000"/>
    <x v="9"/>
  </r>
  <r>
    <n v="2026"/>
    <n v="6"/>
    <s v="30-06-2026"/>
    <n v="12114"/>
    <s v="1104-01"/>
    <n v="0"/>
    <n v="42982"/>
    <s v="Centralización recaudaciones junio 2026 #4817 - #4817"/>
    <n v="-42982"/>
    <s v="Activo"/>
    <n v="-42982"/>
    <x v="9"/>
  </r>
  <r>
    <n v="2026"/>
    <n v="6"/>
    <s v="30-06-2026"/>
    <n v="12133"/>
    <s v="1104-01"/>
    <n v="0"/>
    <n v="42000"/>
    <s v="Centralización recaudaciones junio 2026 #4836 - #4836"/>
    <n v="-42000"/>
    <s v="Activo"/>
    <n v="-42000"/>
    <x v="9"/>
  </r>
  <r>
    <n v="2026"/>
    <n v="6"/>
    <s v="30-06-2026"/>
    <n v="12162"/>
    <s v="1104-01"/>
    <n v="0"/>
    <n v="56980"/>
    <s v="Centralización recaudaciones junio 2026 #4865 - #4865"/>
    <n v="-56980"/>
    <s v="Activo"/>
    <n v="-56980"/>
    <x v="9"/>
  </r>
  <r>
    <n v="2026"/>
    <n v="6"/>
    <s v="30-06-2026"/>
    <n v="12175"/>
    <s v="1104-01"/>
    <n v="0"/>
    <n v="49970"/>
    <s v="Centralización recaudaciones junio 2026 #4878 - #4878"/>
    <n v="-49970"/>
    <s v="Activo"/>
    <n v="-49970"/>
    <x v="9"/>
  </r>
  <r>
    <n v="2026"/>
    <n v="6"/>
    <s v="30-06-2026"/>
    <n v="12176"/>
    <s v="1104-01"/>
    <n v="0"/>
    <n v="39990"/>
    <s v="Centralización recaudaciones junio 2026 #4879 - #4879"/>
    <n v="-39990"/>
    <s v="Activo"/>
    <n v="-39990"/>
    <x v="9"/>
  </r>
  <r>
    <n v="2026"/>
    <n v="6"/>
    <s v="30-06-2026"/>
    <n v="12179"/>
    <s v="1104-01"/>
    <n v="0"/>
    <n v="38990"/>
    <s v="Centralización recaudaciones junio 2026 #4882 - #4882"/>
    <n v="-38990"/>
    <s v="Activo"/>
    <n v="-38990"/>
    <x v="9"/>
  </r>
  <r>
    <n v="2026"/>
    <n v="6"/>
    <s v="30-06-2026"/>
    <n v="12181"/>
    <s v="1104-01"/>
    <n v="0"/>
    <n v="44719"/>
    <s v="Centralización recaudaciones junio 2026 #4884 - #4884"/>
    <n v="-44719"/>
    <s v="Activo"/>
    <n v="-44719"/>
    <x v="9"/>
  </r>
  <r>
    <n v="2026"/>
    <n v="6"/>
    <s v="30-06-2026"/>
    <n v="12182"/>
    <s v="1104-01"/>
    <n v="0"/>
    <n v="60980"/>
    <s v="Centralización recaudaciones junio 2026 #4885 - #4885"/>
    <n v="-60980"/>
    <s v="Activo"/>
    <n v="-60980"/>
    <x v="9"/>
  </r>
  <r>
    <n v="2026"/>
    <n v="6"/>
    <s v="30-06-2026"/>
    <n v="12196"/>
    <s v="1104-01"/>
    <n v="0"/>
    <n v="60980"/>
    <s v="Centralización recaudaciones junio 2026 #4899 - #4899"/>
    <n v="-60980"/>
    <s v="Activo"/>
    <n v="-60980"/>
    <x v="9"/>
  </r>
  <r>
    <n v="2026"/>
    <n v="6"/>
    <s v="30-06-2026"/>
    <n v="12209"/>
    <s v="1104-01"/>
    <n v="0"/>
    <n v="35990"/>
    <s v="Centralización recaudaciones junio 2026 #4912 - #4912"/>
    <n v="-35990"/>
    <s v="Activo"/>
    <n v="-35990"/>
    <x v="9"/>
  </r>
  <r>
    <n v="2026"/>
    <n v="6"/>
    <s v="30-06-2026"/>
    <n v="12217"/>
    <s v="1104-01"/>
    <n v="0"/>
    <n v="24990"/>
    <s v="Centralización recaudaciones junio 2026 #4920 - #4920"/>
    <n v="-24990"/>
    <s v="Activo"/>
    <n v="-24990"/>
    <x v="9"/>
  </r>
  <r>
    <n v="2026"/>
    <n v="6"/>
    <s v="30-06-2026"/>
    <n v="12229"/>
    <s v="1104-01"/>
    <n v="0"/>
    <n v="24990"/>
    <s v="Centralización recaudaciones junio 2026 #4932 - #4932"/>
    <n v="-24990"/>
    <s v="Activo"/>
    <n v="-24990"/>
    <x v="9"/>
  </r>
  <r>
    <n v="2026"/>
    <n v="6"/>
    <s v="30-06-2026"/>
    <n v="12230"/>
    <s v="1104-01"/>
    <n v="0"/>
    <n v="38990"/>
    <s v="Centralización recaudaciones junio 2026 #4933 - #4933"/>
    <n v="-38990"/>
    <s v="Activo"/>
    <n v="-38990"/>
    <x v="9"/>
  </r>
  <r>
    <n v="2026"/>
    <n v="6"/>
    <s v="30-06-2026"/>
    <n v="12233"/>
    <s v="1104-01"/>
    <n v="0"/>
    <n v="39990"/>
    <s v="Centralización recaudaciones junio 2026 #4936 - #4936"/>
    <n v="-39990"/>
    <s v="Activo"/>
    <n v="-39990"/>
    <x v="9"/>
  </r>
  <r>
    <n v="2026"/>
    <n v="6"/>
    <s v="30-06-2026"/>
    <n v="12271"/>
    <s v="1104-01"/>
    <n v="0"/>
    <n v="24990"/>
    <s v="Centralización recaudaciones junio 2026 #4974 - #4974"/>
    <n v="-24990"/>
    <s v="Activo"/>
    <n v="-24990"/>
    <x v="9"/>
  </r>
  <r>
    <n v="2026"/>
    <n v="6"/>
    <s v="30-06-2026"/>
    <n v="12274"/>
    <s v="1104-01"/>
    <n v="0"/>
    <n v="24990"/>
    <s v="Centralización recaudaciones junio 2026 #4977 - #4977"/>
    <n v="-24990"/>
    <s v="Activo"/>
    <n v="-24990"/>
    <x v="9"/>
  </r>
  <r>
    <n v="2026"/>
    <n v="6"/>
    <s v="30-06-2026"/>
    <n v="12282"/>
    <s v="1104-01"/>
    <n v="0"/>
    <n v="24990"/>
    <s v="Centralización recaudaciones junio 2026 #4985 - #4985"/>
    <n v="-24990"/>
    <s v="Activo"/>
    <n v="-24990"/>
    <x v="9"/>
  </r>
  <r>
    <n v="2026"/>
    <n v="6"/>
    <s v="30-06-2026"/>
    <n v="12289"/>
    <s v="1104-01"/>
    <n v="0"/>
    <n v="24990"/>
    <s v="Centralización recaudaciones junio 2026 #4992 - #4992"/>
    <n v="-24990"/>
    <s v="Activo"/>
    <n v="-24990"/>
    <x v="9"/>
  </r>
  <r>
    <n v="2026"/>
    <n v="6"/>
    <s v="30-06-2026"/>
    <n v="12291"/>
    <s v="1104-01"/>
    <n v="0"/>
    <n v="42990"/>
    <s v="Centralización recaudaciones junio 2026 #4994 - #4994"/>
    <n v="-42990"/>
    <s v="Activo"/>
    <n v="-42990"/>
    <x v="9"/>
  </r>
  <r>
    <n v="2026"/>
    <n v="6"/>
    <s v="30-06-2026"/>
    <n v="12298"/>
    <s v="1104-01"/>
    <n v="0"/>
    <n v="24990"/>
    <s v="Centralización recaudaciones junio 2026 #5001 - #5001"/>
    <n v="-24990"/>
    <s v="Activo"/>
    <n v="-24990"/>
    <x v="9"/>
  </r>
  <r>
    <n v="2026"/>
    <n v="6"/>
    <s v="30-06-2026"/>
    <n v="12301"/>
    <s v="1104-01"/>
    <n v="0"/>
    <n v="24990"/>
    <s v="Centralización recaudaciones junio 2026 #5004 - #5004"/>
    <n v="-24990"/>
    <s v="Activo"/>
    <n v="-24990"/>
    <x v="9"/>
  </r>
  <r>
    <n v="2026"/>
    <n v="6"/>
    <s v="30-06-2026"/>
    <n v="12305"/>
    <s v="1104-01"/>
    <n v="0"/>
    <n v="51990"/>
    <s v="Centralización recaudaciones junio 2026 #5008 - #5008"/>
    <n v="-51990"/>
    <s v="Activo"/>
    <n v="-51990"/>
    <x v="9"/>
  </r>
  <r>
    <n v="2026"/>
    <n v="6"/>
    <s v="30-06-2026"/>
    <n v="12306"/>
    <s v="1104-01"/>
    <n v="0"/>
    <n v="42990"/>
    <s v="Centralización recaudaciones junio 2026 #5009 - #5009"/>
    <n v="-42990"/>
    <s v="Activo"/>
    <n v="-42990"/>
    <x v="9"/>
  </r>
  <r>
    <n v="2026"/>
    <n v="6"/>
    <s v="30-06-2026"/>
    <n v="12309"/>
    <s v="1104-01"/>
    <n v="0"/>
    <n v="39990"/>
    <s v="Centralización recaudaciones junio 2026 #5012 - #5012"/>
    <n v="-39990"/>
    <s v="Activo"/>
    <n v="-39990"/>
    <x v="9"/>
  </r>
  <r>
    <n v="2026"/>
    <n v="6"/>
    <s v="30-06-2026"/>
    <n v="12323"/>
    <s v="1104-01"/>
    <n v="0"/>
    <n v="1000"/>
    <s v="Centralización recaudaciones junio 2026 #5026 - #5026"/>
    <n v="-1000"/>
    <s v="Activo"/>
    <n v="-1000"/>
    <x v="9"/>
  </r>
  <r>
    <n v="2026"/>
    <n v="6"/>
    <s v="30-06-2026"/>
    <n v="12324"/>
    <s v="1104-01"/>
    <n v="0"/>
    <n v="44990"/>
    <s v="Centralización recaudaciones junio 2026 #5027 - #5027"/>
    <n v="-44990"/>
    <s v="Activo"/>
    <n v="-44990"/>
    <x v="9"/>
  </r>
  <r>
    <n v="2026"/>
    <n v="6"/>
    <s v="30-06-2026"/>
    <n v="12331"/>
    <s v="1104-01"/>
    <n v="0"/>
    <n v="60940"/>
    <s v="Centralización recaudaciones junio 2026 #5034 - #5034"/>
    <n v="-60940"/>
    <s v="Activo"/>
    <n v="-60940"/>
    <x v="9"/>
  </r>
  <r>
    <n v="2026"/>
    <n v="6"/>
    <s v="30-06-2026"/>
    <n v="12336"/>
    <s v="1104-01"/>
    <n v="0"/>
    <n v="39990"/>
    <s v="Centralización recaudaciones junio 2026 #5039 - #5039"/>
    <n v="-39990"/>
    <s v="Activo"/>
    <n v="-39990"/>
    <x v="9"/>
  </r>
  <r>
    <n v="2026"/>
    <n v="6"/>
    <s v="30-06-2026"/>
    <n v="12343"/>
    <s v="1104-01"/>
    <n v="0"/>
    <n v="1392"/>
    <s v="Centralización recaudaciones junio 2026 #5046 - #5046"/>
    <n v="-1392"/>
    <s v="Activo"/>
    <n v="-1392"/>
    <x v="9"/>
  </r>
  <r>
    <n v="2026"/>
    <n v="6"/>
    <s v="30-06-2026"/>
    <n v="12351"/>
    <s v="1104-01"/>
    <n v="0"/>
    <n v="200789"/>
    <s v="Centralización recaudaciones junio 2026 #5054 - #5054"/>
    <n v="-200789"/>
    <s v="Activo"/>
    <n v="-200789"/>
    <x v="9"/>
  </r>
  <r>
    <n v="2026"/>
    <n v="6"/>
    <s v="30-06-2026"/>
    <n v="12365"/>
    <s v="1104-01"/>
    <n v="0"/>
    <n v="54990"/>
    <s v="Centralización recaudaciones junio 2026 #5068 - #5068"/>
    <n v="-54990"/>
    <s v="Activo"/>
    <n v="-54990"/>
    <x v="9"/>
  </r>
  <r>
    <n v="2026"/>
    <n v="6"/>
    <s v="30-06-2026"/>
    <n v="12366"/>
    <s v="1104-01"/>
    <n v="0"/>
    <n v="24990"/>
    <s v="Centralización recaudaciones junio 2026 #5069 - #5069"/>
    <n v="-24990"/>
    <s v="Activo"/>
    <n v="-24990"/>
    <x v="9"/>
  </r>
  <r>
    <n v="2026"/>
    <n v="6"/>
    <s v="30-06-2026"/>
    <n v="12369"/>
    <s v="1104-01"/>
    <n v="0"/>
    <n v="58047"/>
    <s v="Centralización recaudaciones junio 2026 #5072 - #5072"/>
    <n v="-58047"/>
    <s v="Activo"/>
    <n v="-58047"/>
    <x v="9"/>
  </r>
  <r>
    <n v="2026"/>
    <n v="6"/>
    <s v="30-06-2026"/>
    <n v="12373"/>
    <s v="1104-01"/>
    <n v="0"/>
    <n v="50000"/>
    <s v="Centralización recaudaciones junio 2026 #5076 - #5076"/>
    <n v="-50000"/>
    <s v="Activo"/>
    <n v="-50000"/>
    <x v="9"/>
  </r>
  <r>
    <n v="2026"/>
    <n v="6"/>
    <s v="30-06-2026"/>
    <n v="12378"/>
    <s v="1104-01"/>
    <n v="0"/>
    <n v="44990"/>
    <s v="Centralización recaudaciones junio 2026 #5081 - #5081"/>
    <n v="-44990"/>
    <s v="Activo"/>
    <n v="-44990"/>
    <x v="9"/>
  </r>
  <r>
    <n v="2026"/>
    <n v="6"/>
    <s v="30-06-2026"/>
    <n v="12383"/>
    <s v="1104-01"/>
    <n v="0"/>
    <n v="39990"/>
    <s v="Centralización recaudaciones junio 2026 #5086 - #5086"/>
    <n v="-39990"/>
    <s v="Activo"/>
    <n v="-39990"/>
    <x v="9"/>
  </r>
  <r>
    <n v="2026"/>
    <n v="6"/>
    <s v="30-06-2026"/>
    <n v="12393"/>
    <s v="1104-01"/>
    <n v="0"/>
    <n v="5000"/>
    <s v="Centralización recaudaciones junio 2026 #5096 - #5096"/>
    <n v="-5000"/>
    <s v="Activo"/>
    <n v="-5000"/>
    <x v="9"/>
  </r>
  <r>
    <n v="2026"/>
    <n v="6"/>
    <s v="30-06-2026"/>
    <n v="12395"/>
    <s v="1104-01"/>
    <n v="0"/>
    <n v="41638"/>
    <s v="Centralización recaudaciones junio 2026 #5098 - #5098"/>
    <n v="-41638"/>
    <s v="Activo"/>
    <n v="-41638"/>
    <x v="9"/>
  </r>
  <r>
    <n v="2026"/>
    <n v="6"/>
    <s v="30-06-2026"/>
    <n v="12402"/>
    <s v="1104-01"/>
    <n v="0"/>
    <n v="24990"/>
    <s v="Centralización recaudaciones junio 2026 #5105 - #5105"/>
    <n v="-24990"/>
    <s v="Activo"/>
    <n v="-24990"/>
    <x v="9"/>
  </r>
  <r>
    <n v="2026"/>
    <n v="6"/>
    <s v="30-06-2026"/>
    <n v="12413"/>
    <s v="1104-01"/>
    <n v="0"/>
    <n v="41638"/>
    <s v="Centralización recaudaciones junio 2026 #5116 - #5116"/>
    <n v="-41638"/>
    <s v="Activo"/>
    <n v="-41638"/>
    <x v="9"/>
  </r>
  <r>
    <n v="2026"/>
    <n v="6"/>
    <s v="30-06-2026"/>
    <n v="12416"/>
    <s v="1104-01"/>
    <n v="0"/>
    <n v="4010"/>
    <s v="Centralización recaudaciones junio 2026 #5119 - #5119"/>
    <n v="-4010"/>
    <s v="Activo"/>
    <n v="-4010"/>
    <x v="9"/>
  </r>
  <r>
    <n v="2026"/>
    <n v="6"/>
    <s v="30-06-2026"/>
    <n v="12418"/>
    <s v="1104-01"/>
    <n v="0"/>
    <n v="2660"/>
    <s v="Centralización recaudaciones junio 2026 #5121 - #5121"/>
    <n v="-2660"/>
    <s v="Activo"/>
    <n v="-2660"/>
    <x v="9"/>
  </r>
  <r>
    <n v="2026"/>
    <n v="6"/>
    <s v="30-06-2026"/>
    <n v="12429"/>
    <s v="1104-01"/>
    <n v="0"/>
    <n v="276"/>
    <s v="Centralización recaudaciones junio 2026 #5132 - #5132"/>
    <n v="-276"/>
    <s v="Activo"/>
    <n v="-276"/>
    <x v="9"/>
  </r>
  <r>
    <n v="2026"/>
    <n v="6"/>
    <s v="30-06-2026"/>
    <n v="12442"/>
    <s v="1104-01"/>
    <n v="0"/>
    <n v="24990"/>
    <s v="Centralización recaudaciones junio 2026 #5145 - #5145"/>
    <n v="-24990"/>
    <s v="Activo"/>
    <n v="-24990"/>
    <x v="9"/>
  </r>
  <r>
    <n v="2026"/>
    <n v="6"/>
    <s v="30-06-2026"/>
    <n v="12446"/>
    <s v="1104-01"/>
    <n v="0"/>
    <n v="39990"/>
    <s v="Centralización recaudaciones junio 2026 #5149 - #5149"/>
    <n v="-39990"/>
    <s v="Activo"/>
    <n v="-39990"/>
    <x v="9"/>
  </r>
  <r>
    <n v="2026"/>
    <n v="6"/>
    <s v="30-06-2026"/>
    <n v="12454"/>
    <s v="1104-01"/>
    <n v="0"/>
    <n v="44990"/>
    <s v="Centralización recaudaciones junio 2026 #5157 - #5157"/>
    <n v="-44990"/>
    <s v="Activo"/>
    <n v="-44990"/>
    <x v="9"/>
  </r>
  <r>
    <n v="2026"/>
    <n v="6"/>
    <s v="30-06-2026"/>
    <n v="12455"/>
    <s v="1104-01"/>
    <n v="0"/>
    <n v="49980"/>
    <s v="Centralización recaudaciones junio 2026 #5158 - #5158"/>
    <n v="-49980"/>
    <s v="Activo"/>
    <n v="-49980"/>
    <x v="9"/>
  </r>
  <r>
    <n v="2026"/>
    <n v="6"/>
    <s v="30-06-2026"/>
    <n v="12481"/>
    <s v="1104-01"/>
    <n v="0"/>
    <n v="54990"/>
    <s v="Centralización recaudaciones junio 2026 #5183 - #5183"/>
    <n v="-54990"/>
    <s v="Activo"/>
    <n v="-54990"/>
    <x v="9"/>
  </r>
  <r>
    <n v="2026"/>
    <n v="6"/>
    <s v="30-06-2026"/>
    <n v="12492"/>
    <s v="1104-01"/>
    <n v="0"/>
    <n v="18000"/>
    <s v="Centralización recaudaciones junio 2026 #5194 - #5194"/>
    <n v="-18000"/>
    <s v="Activo"/>
    <n v="-18000"/>
    <x v="9"/>
  </r>
  <r>
    <n v="2026"/>
    <n v="6"/>
    <s v="30-06-2026"/>
    <n v="12496"/>
    <s v="1104-01"/>
    <n v="0"/>
    <n v="33000"/>
    <s v="Centralización recaudaciones junio 2026 #5198 - #5198"/>
    <n v="-33000"/>
    <s v="Activo"/>
    <n v="-33000"/>
    <x v="9"/>
  </r>
  <r>
    <n v="2026"/>
    <n v="6"/>
    <s v="30-06-2026"/>
    <n v="12512"/>
    <s v="1104-01"/>
    <n v="0"/>
    <n v="44000"/>
    <s v="Centralización recaudaciones junio 2026 #5214 - #5214"/>
    <n v="-44000"/>
    <s v="Activo"/>
    <n v="-44000"/>
    <x v="9"/>
  </r>
  <r>
    <n v="2026"/>
    <n v="6"/>
    <s v="30-06-2026"/>
    <n v="12515"/>
    <s v="1104-01"/>
    <n v="0"/>
    <n v="54990"/>
    <s v="Centralización recaudaciones junio 2026 #5217 - #5217"/>
    <n v="-54990"/>
    <s v="Activo"/>
    <n v="-54990"/>
    <x v="9"/>
  </r>
  <r>
    <n v="2026"/>
    <n v="6"/>
    <s v="30-06-2026"/>
    <n v="12520"/>
    <s v="1104-01"/>
    <n v="0"/>
    <n v="1710"/>
    <s v="Centralización recaudaciones junio 2026 #5222 - #5222"/>
    <n v="-1710"/>
    <s v="Activo"/>
    <n v="-1710"/>
    <x v="9"/>
  </r>
  <r>
    <n v="2026"/>
    <n v="6"/>
    <s v="30-06-2026"/>
    <n v="12534"/>
    <s v="1104-01"/>
    <n v="0"/>
    <n v="24990"/>
    <s v="Centralización recaudaciones junio 2026 #5236 - #5236"/>
    <n v="-24990"/>
    <s v="Activo"/>
    <n v="-24990"/>
    <x v="9"/>
  </r>
  <r>
    <n v="2026"/>
    <n v="6"/>
    <s v="30-06-2026"/>
    <n v="12564"/>
    <s v="1104-01"/>
    <n v="0"/>
    <n v="24990"/>
    <s v="Centralización recaudaciones junio 2026 #5266 - #5266"/>
    <n v="-24990"/>
    <s v="Activo"/>
    <n v="-24990"/>
    <x v="9"/>
  </r>
  <r>
    <n v="2026"/>
    <n v="6"/>
    <s v="30-06-2026"/>
    <n v="12568"/>
    <s v="1104-01"/>
    <n v="0"/>
    <n v="2563562"/>
    <s v="0761872877 transf. khipu spa"/>
    <n v="-2563562"/>
    <s v="Activo"/>
    <n v="-2563562"/>
    <x v="9"/>
  </r>
  <r>
    <n v="2026"/>
    <n v="6"/>
    <s v="30-06-2026"/>
    <n v="12569"/>
    <s v="1104-01"/>
    <n v="0"/>
    <n v="7142672"/>
    <s v="0966893109 abn crd db tran transbank s"/>
    <n v="-7142672"/>
    <s v="Activo"/>
    <n v="-7142672"/>
    <x v="9"/>
  </r>
  <r>
    <n v="2026"/>
    <n v="6"/>
    <s v="30-06-2026"/>
    <n v="12610"/>
    <s v="1104-01"/>
    <n v="0"/>
    <n v="1415770"/>
    <s v="Centralización recaudaciones junio 2026"/>
    <n v="-1415770"/>
    <s v="Activo"/>
    <n v="-1415770"/>
    <x v="9"/>
  </r>
  <r>
    <n v="2026"/>
    <n v="6"/>
    <s v="30-06-2026"/>
    <n v="10797"/>
    <s v="1104-01"/>
    <n v="243830268"/>
    <n v="0"/>
    <s v="Centralización ventas junio 2026  - valor total"/>
    <n v="243830268"/>
    <s v="Activo"/>
    <n v="243830268"/>
    <x v="9"/>
  </r>
  <r>
    <n v="2026"/>
    <n v="6"/>
    <s v="30-06-2026"/>
    <n v="10797"/>
    <s v="1104-01"/>
    <n v="0"/>
    <n v="6481421"/>
    <s v="Centralización ventas junio 2026  - valor total"/>
    <n v="-6481421"/>
    <s v="Activo"/>
    <n v="-6481421"/>
    <x v="9"/>
  </r>
  <r>
    <n v="2026"/>
    <n v="7"/>
    <s v="01-07-2026"/>
    <n v="12611"/>
    <s v="1104-01"/>
    <n v="0"/>
    <n v="18670972"/>
    <s v="Abono clientes boleta"/>
    <n v="-18670972"/>
    <s v="Activo"/>
    <n v="-18670972"/>
    <x v="9"/>
  </r>
  <r>
    <n v="2026"/>
    <n v="7"/>
    <s v="01-07-2026"/>
    <n v="12612"/>
    <s v="1104-01"/>
    <n v="0"/>
    <n v="936853"/>
    <s v="Abono clientes boleta"/>
    <n v="-936853"/>
    <s v="Activo"/>
    <n v="-936853"/>
    <x v="9"/>
  </r>
  <r>
    <n v="2026"/>
    <n v="7"/>
    <s v="01-07-2026"/>
    <n v="12656"/>
    <s v="1104-01"/>
    <n v="0"/>
    <n v="24990"/>
    <s v="Centralización recaudaciones julio 2026 #5285 - #5285"/>
    <n v="-24990"/>
    <s v="Activo"/>
    <n v="-24990"/>
    <x v="9"/>
  </r>
  <r>
    <n v="2026"/>
    <n v="7"/>
    <s v="01-07-2026"/>
    <n v="12657"/>
    <s v="1104-01"/>
    <n v="0"/>
    <n v="29990"/>
    <s v="Centralización recaudaciones julio 2026 #5286 - #5286"/>
    <n v="-29990"/>
    <s v="Activo"/>
    <n v="-29990"/>
    <x v="9"/>
  </r>
  <r>
    <n v="2026"/>
    <n v="7"/>
    <s v="01-07-2026"/>
    <n v="12668"/>
    <s v="1104-01"/>
    <n v="0"/>
    <n v="24900"/>
    <s v="Centralización recaudaciones julio 2026 #5297 - #5297"/>
    <n v="-24900"/>
    <s v="Activo"/>
    <n v="-24900"/>
    <x v="9"/>
  </r>
  <r>
    <n v="2026"/>
    <n v="7"/>
    <s v="01-07-2026"/>
    <n v="12671"/>
    <s v="1104-01"/>
    <n v="0"/>
    <n v="70000"/>
    <s v="Centralización recaudaciones julio 2026 #5300 - #5300"/>
    <n v="-70000"/>
    <s v="Activo"/>
    <n v="-70000"/>
    <x v="9"/>
  </r>
  <r>
    <n v="2026"/>
    <n v="7"/>
    <s v="01-07-2026"/>
    <n v="12674"/>
    <s v="1104-01"/>
    <n v="0"/>
    <n v="30000"/>
    <s v="Centralización recaudaciones julio 2026 #5303 - #5303"/>
    <n v="-30000"/>
    <s v="Activo"/>
    <n v="-30000"/>
    <x v="9"/>
  </r>
  <r>
    <n v="2026"/>
    <n v="7"/>
    <s v="01-07-2026"/>
    <n v="12678"/>
    <s v="1104-01"/>
    <n v="0"/>
    <n v="30000"/>
    <s v="Centralización recaudaciones julio 2026 #5307 - #5307"/>
    <n v="-30000"/>
    <s v="Activo"/>
    <n v="-30000"/>
    <x v="9"/>
  </r>
  <r>
    <n v="2026"/>
    <n v="7"/>
    <s v="01-07-2026"/>
    <n v="12679"/>
    <s v="1104-01"/>
    <n v="0"/>
    <n v="52980"/>
    <s v="Centralización recaudaciones julio 2026 #5308 - #5308"/>
    <n v="-52980"/>
    <s v="Activo"/>
    <n v="-52980"/>
    <x v="9"/>
  </r>
  <r>
    <n v="2026"/>
    <n v="7"/>
    <s v="01-07-2026"/>
    <n v="12685"/>
    <s v="1104-01"/>
    <n v="0"/>
    <n v="30000"/>
    <s v="Centralización recaudaciones julio 2026 #5314 - #5314"/>
    <n v="-30000"/>
    <s v="Activo"/>
    <n v="-30000"/>
    <x v="9"/>
  </r>
  <r>
    <n v="2026"/>
    <n v="7"/>
    <s v="01-07-2026"/>
    <n v="12689"/>
    <s v="1104-01"/>
    <n v="0"/>
    <n v="60000"/>
    <s v="Centralización recaudaciones julio 2026 #5318 - #5318"/>
    <n v="-60000"/>
    <s v="Activo"/>
    <n v="-60000"/>
    <x v="9"/>
  </r>
  <r>
    <n v="2026"/>
    <n v="7"/>
    <s v="01-07-2026"/>
    <n v="12690"/>
    <s v="1104-01"/>
    <n v="0"/>
    <n v="130100"/>
    <s v="Centralización recaudaciones julio 2026 #5319 - #5319"/>
    <n v="-130100"/>
    <s v="Activo"/>
    <n v="-130100"/>
    <x v="9"/>
  </r>
  <r>
    <n v="2026"/>
    <n v="7"/>
    <s v="01-07-2026"/>
    <n v="12693"/>
    <s v="1104-01"/>
    <n v="0"/>
    <n v="30000"/>
    <s v="Centralización recaudaciones julio 2026 #5322 - #5322"/>
    <n v="-30000"/>
    <s v="Activo"/>
    <n v="-30000"/>
    <x v="9"/>
  </r>
  <r>
    <n v="2026"/>
    <n v="7"/>
    <s v="01-07-2026"/>
    <n v="12694"/>
    <s v="1104-01"/>
    <n v="0"/>
    <n v="30000"/>
    <s v="Centralización recaudaciones julio 2026 #5323 - #5323"/>
    <n v="-30000"/>
    <s v="Activo"/>
    <n v="-30000"/>
    <x v="9"/>
  </r>
  <r>
    <n v="2026"/>
    <n v="7"/>
    <s v="01-07-2026"/>
    <n v="12696"/>
    <s v="1104-01"/>
    <n v="0"/>
    <n v="30000"/>
    <s v="Centralización recaudaciones julio 2026 #5325 - #5325"/>
    <n v="-30000"/>
    <s v="Activo"/>
    <n v="-30000"/>
    <x v="9"/>
  </r>
  <r>
    <n v="2026"/>
    <n v="7"/>
    <s v="01-07-2026"/>
    <n v="12703"/>
    <s v="1104-01"/>
    <n v="0"/>
    <n v="30000"/>
    <s v="Centralización recaudaciones julio 2026 #5332 - #5332"/>
    <n v="-30000"/>
    <s v="Activo"/>
    <n v="-30000"/>
    <x v="9"/>
  </r>
  <r>
    <n v="2026"/>
    <n v="7"/>
    <s v="01-07-2026"/>
    <n v="12704"/>
    <s v="1104-01"/>
    <n v="0"/>
    <n v="30000"/>
    <s v="Centralización recaudaciones julio 2026 #5333 - #5333"/>
    <n v="-30000"/>
    <s v="Activo"/>
    <n v="-30000"/>
    <x v="9"/>
  </r>
  <r>
    <n v="2026"/>
    <n v="7"/>
    <s v="01-07-2026"/>
    <n v="12707"/>
    <s v="1104-01"/>
    <n v="0"/>
    <n v="30000"/>
    <s v="Centralización recaudaciones julio 2026 #5336 - #5336"/>
    <n v="-30000"/>
    <s v="Activo"/>
    <n v="-30000"/>
    <x v="9"/>
  </r>
  <r>
    <n v="2026"/>
    <n v="7"/>
    <s v="01-07-2026"/>
    <n v="12708"/>
    <s v="1104-01"/>
    <n v="0"/>
    <n v="30000"/>
    <s v="Centralización recaudaciones julio 2026 #5337 - #5337"/>
    <n v="-30000"/>
    <s v="Activo"/>
    <n v="-30000"/>
    <x v="9"/>
  </r>
  <r>
    <n v="2026"/>
    <n v="7"/>
    <s v="01-07-2026"/>
    <n v="12711"/>
    <s v="1104-01"/>
    <n v="0"/>
    <n v="40000"/>
    <s v="Centralización recaudaciones julio 2026 #5340 - #5340"/>
    <n v="-40000"/>
    <s v="Activo"/>
    <n v="-40000"/>
    <x v="9"/>
  </r>
  <r>
    <n v="2026"/>
    <n v="7"/>
    <s v="01-07-2026"/>
    <n v="12713"/>
    <s v="1104-01"/>
    <n v="0"/>
    <n v="32990"/>
    <s v="Centralización recaudaciones julio 2026 #5342 - #5342"/>
    <n v="-32990"/>
    <s v="Activo"/>
    <n v="-32990"/>
    <x v="9"/>
  </r>
  <r>
    <n v="2026"/>
    <n v="7"/>
    <s v="01-07-2026"/>
    <n v="12714"/>
    <s v="1104-01"/>
    <n v="0"/>
    <n v="40000"/>
    <s v="Centralización recaudaciones julio 2026 #5343 - #5343"/>
    <n v="-40000"/>
    <s v="Activo"/>
    <n v="-40000"/>
    <x v="9"/>
  </r>
  <r>
    <n v="2026"/>
    <n v="7"/>
    <s v="01-07-2026"/>
    <n v="12716"/>
    <s v="1104-01"/>
    <n v="0"/>
    <n v="25990"/>
    <s v="Centralización recaudaciones julio 2026 #5275 - #5275"/>
    <n v="-25990"/>
    <s v="Activo"/>
    <n v="-25990"/>
    <x v="9"/>
  </r>
  <r>
    <n v="2026"/>
    <n v="7"/>
    <s v="01-07-2026"/>
    <n v="12717"/>
    <s v="1104-01"/>
    <n v="0"/>
    <n v="10649"/>
    <s v="Centralización recaudaciones julio 2026 #5277 - #5277"/>
    <n v="-10649"/>
    <s v="Activo"/>
    <n v="-10649"/>
    <x v="9"/>
  </r>
  <r>
    <n v="2026"/>
    <n v="7"/>
    <s v="01-07-2026"/>
    <n v="12723"/>
    <s v="1104-01"/>
    <n v="0"/>
    <n v="30000"/>
    <s v="Centralización recaudaciones julio 2026 #5349 - #5349"/>
    <n v="-30000"/>
    <s v="Activo"/>
    <n v="-30000"/>
    <x v="9"/>
  </r>
  <r>
    <n v="2026"/>
    <n v="7"/>
    <s v="01-07-2026"/>
    <n v="12724"/>
    <s v="1104-01"/>
    <n v="0"/>
    <n v="101990"/>
    <s v="Centralización recaudaciones julio 2026 #5350 - #5350"/>
    <n v="-101990"/>
    <s v="Activo"/>
    <n v="-101990"/>
    <x v="9"/>
  </r>
  <r>
    <n v="2026"/>
    <n v="7"/>
    <s v="01-07-2026"/>
    <n v="12726"/>
    <s v="1104-01"/>
    <n v="0"/>
    <n v="40000"/>
    <s v="Centralización recaudaciones julio 2026 #5352 - #5352"/>
    <n v="-40000"/>
    <s v="Activo"/>
    <n v="-40000"/>
    <x v="9"/>
  </r>
  <r>
    <n v="2026"/>
    <n v="7"/>
    <s v="01-07-2026"/>
    <n v="12729"/>
    <s v="1104-01"/>
    <n v="0"/>
    <n v="34990"/>
    <s v="Centralización recaudaciones julio 2026 #5355 - #5355"/>
    <n v="-34990"/>
    <s v="Activo"/>
    <n v="-34990"/>
    <x v="9"/>
  </r>
  <r>
    <n v="2026"/>
    <n v="7"/>
    <s v="01-07-2026"/>
    <n v="12743"/>
    <s v="1104-01"/>
    <n v="0"/>
    <n v="30000"/>
    <s v="Centralización recaudaciones julio 2026 #5369 - #5369"/>
    <n v="-30000"/>
    <s v="Activo"/>
    <n v="-30000"/>
    <x v="9"/>
  </r>
  <r>
    <n v="2026"/>
    <n v="7"/>
    <s v="01-07-2026"/>
    <n v="12749"/>
    <s v="1104-01"/>
    <n v="0"/>
    <n v="30000"/>
    <s v="Centralización recaudaciones julio 2026 #5375 - #5375"/>
    <n v="-30000"/>
    <s v="Activo"/>
    <n v="-30000"/>
    <x v="9"/>
  </r>
  <r>
    <n v="2026"/>
    <n v="7"/>
    <s v="01-07-2026"/>
    <n v="12759"/>
    <s v="1104-01"/>
    <n v="0"/>
    <n v="33990"/>
    <s v="Centralización recaudaciones julio 2026 #5385 - #5385"/>
    <n v="-33990"/>
    <s v="Activo"/>
    <n v="-33990"/>
    <x v="9"/>
  </r>
  <r>
    <n v="2026"/>
    <n v="7"/>
    <s v="01-07-2026"/>
    <n v="12761"/>
    <s v="1104-01"/>
    <n v="0"/>
    <n v="30000"/>
    <s v="Centralización recaudaciones julio 2026 #5387 - #5387"/>
    <n v="-30000"/>
    <s v="Activo"/>
    <n v="-30000"/>
    <x v="9"/>
  </r>
  <r>
    <n v="2026"/>
    <n v="7"/>
    <s v="01-07-2026"/>
    <n v="12763"/>
    <s v="1104-01"/>
    <n v="0"/>
    <n v="60000"/>
    <s v="Centralización recaudaciones julio 2026 #5389 - #5389"/>
    <n v="-60000"/>
    <s v="Activo"/>
    <n v="-60000"/>
    <x v="9"/>
  </r>
  <r>
    <n v="2026"/>
    <n v="7"/>
    <s v="01-07-2026"/>
    <n v="12769"/>
    <s v="1104-01"/>
    <n v="0"/>
    <n v="21990"/>
    <s v="Centralización recaudaciones julio 2026 #5395 - #5395"/>
    <n v="-21990"/>
    <s v="Activo"/>
    <n v="-21990"/>
    <x v="9"/>
  </r>
  <r>
    <n v="2026"/>
    <n v="7"/>
    <s v="01-07-2026"/>
    <n v="12775"/>
    <s v="1104-01"/>
    <n v="0"/>
    <n v="53980"/>
    <s v="Centralización recaudaciones julio 2026 #5401 - #5401"/>
    <n v="-53980"/>
    <s v="Activo"/>
    <n v="-53980"/>
    <x v="9"/>
  </r>
  <r>
    <n v="2026"/>
    <n v="7"/>
    <s v="01-07-2026"/>
    <n v="12780"/>
    <s v="1104-01"/>
    <n v="0"/>
    <n v="14990"/>
    <s v="Centralización recaudaciones julio 2026 #5278 - #5278"/>
    <n v="-14990"/>
    <s v="Activo"/>
    <n v="-14990"/>
    <x v="9"/>
  </r>
  <r>
    <n v="2026"/>
    <n v="7"/>
    <s v="01-07-2026"/>
    <n v="12802"/>
    <s v="1104-01"/>
    <n v="0"/>
    <n v="60000"/>
    <s v="Centralización recaudaciones julio 2026 #5425 - #5425"/>
    <n v="-60000"/>
    <s v="Activo"/>
    <n v="-60000"/>
    <x v="9"/>
  </r>
  <r>
    <n v="2026"/>
    <n v="7"/>
    <s v="01-07-2026"/>
    <n v="12803"/>
    <s v="1104-01"/>
    <n v="0"/>
    <n v="23990"/>
    <s v="Centralización recaudaciones julio 2026 #5426 - #5426"/>
    <n v="-23990"/>
    <s v="Activo"/>
    <n v="-23990"/>
    <x v="9"/>
  </r>
  <r>
    <n v="2026"/>
    <n v="7"/>
    <s v="01-07-2026"/>
    <n v="12807"/>
    <s v="1104-01"/>
    <n v="0"/>
    <n v="130400"/>
    <s v="Centralización recaudaciones julio 2026 #5430 - #5430"/>
    <n v="-130400"/>
    <s v="Activo"/>
    <n v="-130400"/>
    <x v="9"/>
  </r>
  <r>
    <n v="2026"/>
    <n v="7"/>
    <s v="01-07-2026"/>
    <n v="12820"/>
    <s v="1104-01"/>
    <n v="0"/>
    <n v="33990"/>
    <s v="Centralización recaudaciones julio 2026 #5443 - #5443"/>
    <n v="-33990"/>
    <s v="Activo"/>
    <n v="-33990"/>
    <x v="9"/>
  </r>
  <r>
    <n v="2026"/>
    <n v="7"/>
    <s v="01-07-2026"/>
    <n v="12824"/>
    <s v="1104-01"/>
    <n v="0"/>
    <n v="50000"/>
    <s v="Centralización recaudaciones julio 2026 #5447 - #5447"/>
    <n v="-50000"/>
    <s v="Activo"/>
    <n v="-50000"/>
    <x v="9"/>
  </r>
  <r>
    <n v="2026"/>
    <n v="7"/>
    <s v="01-07-2026"/>
    <n v="12829"/>
    <s v="1104-01"/>
    <n v="0"/>
    <n v="30000"/>
    <s v="Centralización recaudaciones julio 2026 #5452 - #5452"/>
    <n v="-30000"/>
    <s v="Activo"/>
    <n v="-30000"/>
    <x v="9"/>
  </r>
  <r>
    <n v="2026"/>
    <n v="7"/>
    <s v="01-07-2026"/>
    <n v="12837"/>
    <s v="1104-01"/>
    <n v="0"/>
    <n v="21990"/>
    <s v="Centralización recaudaciones julio 2026 #5460 - #5460"/>
    <n v="-21990"/>
    <s v="Activo"/>
    <n v="-21990"/>
    <x v="9"/>
  </r>
  <r>
    <n v="2026"/>
    <n v="7"/>
    <s v="01-07-2026"/>
    <n v="12841"/>
    <s v="1104-01"/>
    <n v="0"/>
    <n v="5000"/>
    <s v="Centralización recaudaciones julio 2026 #5464 - #5464"/>
    <n v="-5000"/>
    <s v="Activo"/>
    <n v="-5000"/>
    <x v="9"/>
  </r>
  <r>
    <n v="2026"/>
    <n v="7"/>
    <s v="01-07-2026"/>
    <n v="12842"/>
    <s v="1104-01"/>
    <n v="0"/>
    <n v="38000"/>
    <s v="Centralización recaudaciones julio 2026 #5465 - #5465"/>
    <n v="-38000"/>
    <s v="Activo"/>
    <n v="-38000"/>
    <x v="9"/>
  </r>
  <r>
    <n v="2026"/>
    <n v="7"/>
    <s v="01-07-2026"/>
    <n v="12849"/>
    <s v="1104-01"/>
    <n v="0"/>
    <n v="20000"/>
    <s v="Centralización recaudaciones julio 2026 #5472 - #5472"/>
    <n v="-20000"/>
    <s v="Activo"/>
    <n v="-20000"/>
    <x v="9"/>
  </r>
  <r>
    <n v="2026"/>
    <n v="7"/>
    <s v="01-07-2026"/>
    <n v="12850"/>
    <s v="1104-01"/>
    <n v="0"/>
    <n v="14990"/>
    <s v="Centralización recaudaciones julio 2026 #5473 - #5473"/>
    <n v="-14990"/>
    <s v="Activo"/>
    <n v="-14990"/>
    <x v="9"/>
  </r>
  <r>
    <n v="2026"/>
    <n v="7"/>
    <s v="01-07-2026"/>
    <n v="12854"/>
    <s v="1104-01"/>
    <n v="0"/>
    <n v="33990"/>
    <s v="Centralización recaudaciones julio 2026 #5477 - #5477"/>
    <n v="-33990"/>
    <s v="Activo"/>
    <n v="-33990"/>
    <x v="9"/>
  </r>
  <r>
    <n v="2026"/>
    <n v="7"/>
    <s v="01-07-2026"/>
    <n v="12871"/>
    <s v="1104-01"/>
    <n v="0"/>
    <n v="30000"/>
    <s v="Centralización recaudaciones julio 2026 #5494 - #5494"/>
    <n v="-30000"/>
    <s v="Activo"/>
    <n v="-30000"/>
    <x v="9"/>
  </r>
  <r>
    <n v="2026"/>
    <n v="7"/>
    <s v="01-07-2026"/>
    <n v="12872"/>
    <s v="1104-01"/>
    <n v="0"/>
    <n v="30000"/>
    <s v="Centralización recaudaciones julio 2026 #5495 - #5495"/>
    <n v="-30000"/>
    <s v="Activo"/>
    <n v="-30000"/>
    <x v="9"/>
  </r>
  <r>
    <n v="2026"/>
    <n v="7"/>
    <s v="01-07-2026"/>
    <n v="12885"/>
    <s v="1104-01"/>
    <n v="0"/>
    <n v="36990"/>
    <s v="Centralización recaudaciones julio 2026 #5508 - #5508"/>
    <n v="-36990"/>
    <s v="Activo"/>
    <n v="-36990"/>
    <x v="9"/>
  </r>
  <r>
    <n v="2026"/>
    <n v="7"/>
    <s v="01-07-2026"/>
    <n v="12887"/>
    <s v="1104-01"/>
    <n v="0"/>
    <n v="30990"/>
    <s v="Centralización recaudaciones julio 2026 #5510 - #5510"/>
    <n v="-30990"/>
    <s v="Activo"/>
    <n v="-30990"/>
    <x v="9"/>
  </r>
  <r>
    <n v="2026"/>
    <n v="7"/>
    <s v="01-07-2026"/>
    <n v="12892"/>
    <s v="1104-01"/>
    <n v="0"/>
    <n v="36990"/>
    <s v="Centralización recaudaciones julio 2026 #5515 - #5515"/>
    <n v="-36990"/>
    <s v="Activo"/>
    <n v="-36990"/>
    <x v="9"/>
  </r>
  <r>
    <n v="2026"/>
    <n v="7"/>
    <s v="01-07-2026"/>
    <n v="12908"/>
    <s v="1104-01"/>
    <n v="0"/>
    <n v="1441"/>
    <s v="Centralización recaudaciones julio 2026 #5276 - #5276"/>
    <n v="-1441"/>
    <s v="Activo"/>
    <n v="-1441"/>
    <x v="9"/>
  </r>
  <r>
    <n v="2026"/>
    <n v="7"/>
    <s v="01-07-2026"/>
    <n v="12919"/>
    <s v="1104-01"/>
    <n v="0"/>
    <n v="14990"/>
    <s v="Centralización recaudaciones julio 2026 #5540 - #5540"/>
    <n v="-14990"/>
    <s v="Activo"/>
    <n v="-14990"/>
    <x v="9"/>
  </r>
  <r>
    <n v="2026"/>
    <n v="7"/>
    <s v="01-07-2026"/>
    <n v="12923"/>
    <s v="1104-01"/>
    <n v="0"/>
    <n v="172160"/>
    <s v="Centralización recaudaciones julio 2026 #5544 - #5544"/>
    <n v="-172160"/>
    <s v="Activo"/>
    <n v="-172160"/>
    <x v="9"/>
  </r>
  <r>
    <n v="2026"/>
    <n v="7"/>
    <s v="01-07-2026"/>
    <n v="12927"/>
    <s v="1104-01"/>
    <n v="0"/>
    <n v="22990"/>
    <s v="Centralización recaudaciones julio 2026 #5548 - #5548"/>
    <n v="-22990"/>
    <s v="Activo"/>
    <n v="-22990"/>
    <x v="9"/>
  </r>
  <r>
    <n v="2026"/>
    <n v="7"/>
    <s v="01-07-2026"/>
    <n v="12958"/>
    <s v="1104-01"/>
    <n v="0"/>
    <n v="14990"/>
    <s v="Centralización recaudaciones julio 2026 #5579 - #5579"/>
    <n v="-14990"/>
    <s v="Activo"/>
    <n v="-14990"/>
    <x v="9"/>
  </r>
  <r>
    <n v="2026"/>
    <n v="7"/>
    <s v="01-07-2026"/>
    <n v="12999"/>
    <s v="1104-01"/>
    <n v="0"/>
    <n v="278"/>
    <s v="Centralización recaudaciones julio 2026 #5620 - #5620"/>
    <n v="-278"/>
    <s v="Activo"/>
    <n v="-278"/>
    <x v="9"/>
  </r>
  <r>
    <n v="2026"/>
    <n v="7"/>
    <s v="01-07-2026"/>
    <n v="13008"/>
    <s v="1104-01"/>
    <n v="0"/>
    <n v="22990"/>
    <s v="Centralización recaudaciones julio 2026 #5629 - #5629"/>
    <n v="-22990"/>
    <s v="Activo"/>
    <n v="-22990"/>
    <x v="9"/>
  </r>
  <r>
    <n v="2026"/>
    <n v="7"/>
    <s v="01-07-2026"/>
    <n v="13012"/>
    <s v="1104-01"/>
    <n v="0"/>
    <n v="43970"/>
    <s v="Centralización recaudaciones julio 2026 #5633 - #5633"/>
    <n v="-43970"/>
    <s v="Activo"/>
    <n v="-43970"/>
    <x v="9"/>
  </r>
  <r>
    <n v="2026"/>
    <n v="7"/>
    <s v="01-07-2026"/>
    <n v="13016"/>
    <s v="1104-01"/>
    <n v="0"/>
    <n v="14990"/>
    <s v="Centralización recaudaciones julio 2026 #5637 - #5637"/>
    <n v="-14990"/>
    <s v="Activo"/>
    <n v="-14990"/>
    <x v="9"/>
  </r>
  <r>
    <n v="2026"/>
    <n v="7"/>
    <s v="01-07-2026"/>
    <n v="13054"/>
    <s v="1104-01"/>
    <n v="0"/>
    <n v="480456"/>
    <s v="Centralización recaudaciones julio 2026 #5675 - #5675"/>
    <n v="-480456"/>
    <s v="Activo"/>
    <n v="-480456"/>
    <x v="9"/>
  </r>
  <r>
    <n v="2026"/>
    <n v="7"/>
    <s v="01-07-2026"/>
    <n v="13056"/>
    <s v="1104-01"/>
    <n v="0"/>
    <n v="14990"/>
    <s v="Centralización recaudaciones julio 2026 #5677 - #5677"/>
    <n v="-14990"/>
    <s v="Activo"/>
    <n v="-14990"/>
    <x v="9"/>
  </r>
  <r>
    <n v="2026"/>
    <n v="7"/>
    <s v="01-07-2026"/>
    <n v="13071"/>
    <s v="1104-01"/>
    <n v="0"/>
    <n v="33980"/>
    <s v="Centralización recaudaciones julio 2026 #5692 - #5692"/>
    <n v="-33980"/>
    <s v="Activo"/>
    <n v="-33980"/>
    <x v="9"/>
  </r>
  <r>
    <n v="2026"/>
    <n v="7"/>
    <s v="01-07-2026"/>
    <n v="13135"/>
    <s v="1104-01"/>
    <n v="0"/>
    <n v="60000"/>
    <s v="Centralización recaudaciones julio 2026 #5756 - #5756"/>
    <n v="-60000"/>
    <s v="Activo"/>
    <n v="-60000"/>
    <x v="9"/>
  </r>
  <r>
    <n v="2026"/>
    <n v="7"/>
    <s v="01-07-2026"/>
    <n v="13146"/>
    <s v="1104-01"/>
    <n v="0"/>
    <n v="46990"/>
    <s v="Centralización recaudaciones julio 2026 #5767 - #5767"/>
    <n v="-46990"/>
    <s v="Activo"/>
    <n v="-46990"/>
    <x v="9"/>
  </r>
  <r>
    <n v="2026"/>
    <n v="7"/>
    <s v="01-07-2026"/>
    <n v="13148"/>
    <s v="1104-01"/>
    <n v="0"/>
    <n v="53538"/>
    <s v="Centralización recaudaciones julio 2026 #5769 - #5769"/>
    <n v="-53538"/>
    <s v="Activo"/>
    <n v="-53538"/>
    <x v="9"/>
  </r>
  <r>
    <n v="2026"/>
    <n v="7"/>
    <s v="01-07-2026"/>
    <n v="13160"/>
    <s v="1104-01"/>
    <n v="0"/>
    <n v="14990"/>
    <s v="Centralización recaudaciones julio 2026 #5781 - #5781"/>
    <n v="-14990"/>
    <s v="Activo"/>
    <n v="-14990"/>
    <x v="9"/>
  </r>
  <r>
    <n v="2026"/>
    <n v="7"/>
    <s v="01-07-2026"/>
    <n v="13181"/>
    <s v="1104-01"/>
    <n v="0"/>
    <n v="33990"/>
    <s v="Centralización recaudaciones julio 2026 #5802 - #5802"/>
    <n v="-33990"/>
    <s v="Activo"/>
    <n v="-33990"/>
    <x v="9"/>
  </r>
  <r>
    <n v="2026"/>
    <n v="7"/>
    <s v="01-07-2026"/>
    <n v="13199"/>
    <s v="1104-01"/>
    <n v="0"/>
    <n v="33990"/>
    <s v="Centralización recaudaciones julio 2026 #5820 - #5820"/>
    <n v="-33990"/>
    <s v="Activo"/>
    <n v="-33990"/>
    <x v="9"/>
  </r>
  <r>
    <n v="2026"/>
    <n v="7"/>
    <s v="01-07-2026"/>
    <n v="13209"/>
    <s v="1104-01"/>
    <n v="0"/>
    <n v="232730"/>
    <s v="Centralización recaudaciones julio 2026 #5830 - #5830"/>
    <n v="-232730"/>
    <s v="Activo"/>
    <n v="-232730"/>
    <x v="9"/>
  </r>
  <r>
    <n v="2026"/>
    <n v="7"/>
    <s v="01-07-2026"/>
    <n v="13225"/>
    <s v="1104-01"/>
    <n v="0"/>
    <n v="60000"/>
    <s v="Centralización recaudaciones julio 2026 #5846 - #5846"/>
    <n v="-60000"/>
    <s v="Activo"/>
    <n v="-60000"/>
    <x v="9"/>
  </r>
  <r>
    <n v="2026"/>
    <n v="7"/>
    <s v="01-07-2026"/>
    <n v="13233"/>
    <s v="1104-01"/>
    <n v="0"/>
    <n v="24990"/>
    <s v="Centralización recaudaciones julio 2026 #5854 - #5854"/>
    <n v="-24990"/>
    <s v="Activo"/>
    <n v="-24990"/>
    <x v="9"/>
  </r>
  <r>
    <n v="2026"/>
    <n v="7"/>
    <s v="01-07-2026"/>
    <n v="13257"/>
    <s v="1104-01"/>
    <n v="0"/>
    <n v="54000"/>
    <s v="Centralización recaudaciones julio 2026 #5878 - #5878"/>
    <n v="-54000"/>
    <s v="Activo"/>
    <n v="-54000"/>
    <x v="9"/>
  </r>
  <r>
    <n v="2026"/>
    <n v="7"/>
    <s v="01-07-2026"/>
    <n v="13274"/>
    <s v="1104-01"/>
    <n v="0"/>
    <n v="40000"/>
    <s v="Centralización recaudaciones julio 2026 #5895 - #5895"/>
    <n v="-40000"/>
    <s v="Activo"/>
    <n v="-40000"/>
    <x v="9"/>
  </r>
  <r>
    <n v="2026"/>
    <n v="7"/>
    <s v="01-07-2026"/>
    <n v="13278"/>
    <s v="1104-01"/>
    <n v="0"/>
    <n v="236618"/>
    <s v="Centralización recaudaciones julio 2026 #5899 - #5899"/>
    <n v="-236618"/>
    <s v="Activo"/>
    <n v="-236618"/>
    <x v="9"/>
  </r>
  <r>
    <n v="2026"/>
    <n v="7"/>
    <s v="01-07-2026"/>
    <n v="13291"/>
    <s v="1104-01"/>
    <n v="0"/>
    <n v="30000"/>
    <s v="Centralización recaudaciones julio 2026 #5912 - #5912"/>
    <n v="-30000"/>
    <s v="Activo"/>
    <n v="-30000"/>
    <x v="9"/>
  </r>
  <r>
    <n v="2026"/>
    <n v="7"/>
    <s v="01-07-2026"/>
    <n v="13301"/>
    <s v="1104-01"/>
    <n v="0"/>
    <n v="30000"/>
    <s v="Centralización recaudaciones julio 2026 #5922 - #5922"/>
    <n v="-30000"/>
    <s v="Activo"/>
    <n v="-30000"/>
    <x v="9"/>
  </r>
  <r>
    <n v="2026"/>
    <n v="7"/>
    <s v="01-07-2026"/>
    <n v="13310"/>
    <s v="1104-01"/>
    <n v="0"/>
    <n v="50870"/>
    <s v="Centralización recaudaciones julio 2026 #5931 - #5931"/>
    <n v="-50870"/>
    <s v="Activo"/>
    <n v="-50870"/>
    <x v="9"/>
  </r>
  <r>
    <n v="2026"/>
    <n v="7"/>
    <s v="02-07-2026"/>
    <n v="12613"/>
    <s v="1104-01"/>
    <n v="0"/>
    <n v="16574313"/>
    <s v="Abono clientes boleta"/>
    <n v="-16574313"/>
    <s v="Activo"/>
    <n v="-16574313"/>
    <x v="9"/>
  </r>
  <r>
    <n v="2026"/>
    <n v="7"/>
    <s v="02-07-2026"/>
    <n v="12614"/>
    <s v="1104-01"/>
    <n v="0"/>
    <n v="1127115"/>
    <s v="Abono clientes boleta"/>
    <n v="-1127115"/>
    <s v="Activo"/>
    <n v="-1127115"/>
    <x v="9"/>
  </r>
  <r>
    <n v="2026"/>
    <n v="7"/>
    <s v="02-07-2026"/>
    <n v="12655"/>
    <s v="1104-01"/>
    <n v="0"/>
    <n v="40000"/>
    <s v="Centralización recaudaciones julio 2026 #5284 - #5284"/>
    <n v="-40000"/>
    <s v="Activo"/>
    <n v="-40000"/>
    <x v="9"/>
  </r>
  <r>
    <n v="2026"/>
    <n v="7"/>
    <s v="02-07-2026"/>
    <n v="12670"/>
    <s v="1104-01"/>
    <n v="0"/>
    <n v="39990"/>
    <s v="Centralización recaudaciones julio 2026 #5299 - #5299"/>
    <n v="-39990"/>
    <s v="Activo"/>
    <n v="-39990"/>
    <x v="9"/>
  </r>
  <r>
    <n v="2026"/>
    <n v="7"/>
    <s v="02-07-2026"/>
    <n v="12673"/>
    <s v="1104-01"/>
    <n v="0"/>
    <n v="56980"/>
    <s v="Centralización recaudaciones julio 2026 #5302 - #5302"/>
    <n v="-56980"/>
    <s v="Activo"/>
    <n v="-56980"/>
    <x v="9"/>
  </r>
  <r>
    <n v="2026"/>
    <n v="7"/>
    <s v="02-07-2026"/>
    <n v="12676"/>
    <s v="1104-01"/>
    <n v="0"/>
    <n v="30000"/>
    <s v="Centralización recaudaciones julio 2026 #5305 - #5305"/>
    <n v="-30000"/>
    <s v="Activo"/>
    <n v="-30000"/>
    <x v="9"/>
  </r>
  <r>
    <n v="2026"/>
    <n v="7"/>
    <s v="02-07-2026"/>
    <n v="12682"/>
    <s v="1104-01"/>
    <n v="0"/>
    <n v="50000"/>
    <s v="Centralización recaudaciones julio 2026 #5311 - #5311"/>
    <n v="-50000"/>
    <s v="Activo"/>
    <n v="-50000"/>
    <x v="9"/>
  </r>
  <r>
    <n v="2026"/>
    <n v="7"/>
    <s v="02-07-2026"/>
    <n v="12684"/>
    <s v="1104-01"/>
    <n v="0"/>
    <n v="30000"/>
    <s v="Centralización recaudaciones julio 2026 #5313 - #5313"/>
    <n v="-30000"/>
    <s v="Activo"/>
    <n v="-30000"/>
    <x v="9"/>
  </r>
  <r>
    <n v="2026"/>
    <n v="7"/>
    <s v="02-07-2026"/>
    <n v="12687"/>
    <s v="1104-01"/>
    <n v="0"/>
    <n v="59990"/>
    <s v="Centralización recaudaciones julio 2026 #5316 - #5316"/>
    <n v="-59990"/>
    <s v="Activo"/>
    <n v="-59990"/>
    <x v="9"/>
  </r>
  <r>
    <n v="2026"/>
    <n v="7"/>
    <s v="02-07-2026"/>
    <n v="12692"/>
    <s v="1104-01"/>
    <n v="0"/>
    <n v="40000"/>
    <s v="Centralización recaudaciones julio 2026 #5321 - #5321"/>
    <n v="-40000"/>
    <s v="Activo"/>
    <n v="-40000"/>
    <x v="9"/>
  </r>
  <r>
    <n v="2026"/>
    <n v="7"/>
    <s v="02-07-2026"/>
    <n v="12695"/>
    <s v="1104-01"/>
    <n v="0"/>
    <n v="30000"/>
    <s v="Centralización recaudaciones julio 2026 #5324 - #5324"/>
    <n v="-30000"/>
    <s v="Activo"/>
    <n v="-30000"/>
    <x v="9"/>
  </r>
  <r>
    <n v="2026"/>
    <n v="7"/>
    <s v="02-07-2026"/>
    <n v="12698"/>
    <s v="1104-01"/>
    <n v="0"/>
    <n v="90980"/>
    <s v="Centralización recaudaciones julio 2026 #5327 - #5327"/>
    <n v="-90980"/>
    <s v="Activo"/>
    <n v="-90980"/>
    <x v="9"/>
  </r>
  <r>
    <n v="2026"/>
    <n v="7"/>
    <s v="02-07-2026"/>
    <n v="12700"/>
    <s v="1104-01"/>
    <n v="0"/>
    <n v="30000"/>
    <s v="Centralización recaudaciones julio 2026 #5329 - #5329"/>
    <n v="-30000"/>
    <s v="Activo"/>
    <n v="-30000"/>
    <x v="9"/>
  </r>
  <r>
    <n v="2026"/>
    <n v="7"/>
    <s v="02-07-2026"/>
    <n v="12702"/>
    <s v="1104-01"/>
    <n v="0"/>
    <n v="40000"/>
    <s v="Centralización recaudaciones julio 2026 #5331 - #5331"/>
    <n v="-40000"/>
    <s v="Activo"/>
    <n v="-40000"/>
    <x v="9"/>
  </r>
  <r>
    <n v="2026"/>
    <n v="7"/>
    <s v="02-07-2026"/>
    <n v="12709"/>
    <s v="1104-01"/>
    <n v="0"/>
    <n v="70000"/>
    <s v="Centralización recaudaciones julio 2026 #5338 - #5338"/>
    <n v="-70000"/>
    <s v="Activo"/>
    <n v="-70000"/>
    <x v="9"/>
  </r>
  <r>
    <n v="2026"/>
    <n v="7"/>
    <s v="02-07-2026"/>
    <n v="12710"/>
    <s v="1104-01"/>
    <n v="0"/>
    <n v="123000"/>
    <s v="Centralización recaudaciones julio 2026 #5339 - #5339"/>
    <n v="-123000"/>
    <s v="Activo"/>
    <n v="-123000"/>
    <x v="9"/>
  </r>
  <r>
    <n v="2026"/>
    <n v="7"/>
    <s v="02-07-2026"/>
    <n v="12712"/>
    <s v="1104-01"/>
    <n v="0"/>
    <n v="28990"/>
    <s v="Centralización recaudaciones julio 2026 #5341 - #5341"/>
    <n v="-28990"/>
    <s v="Activo"/>
    <n v="-28990"/>
    <x v="9"/>
  </r>
  <r>
    <n v="2026"/>
    <n v="7"/>
    <s v="02-07-2026"/>
    <n v="12715"/>
    <s v="1104-01"/>
    <n v="0"/>
    <n v="30000"/>
    <s v="Centralización recaudaciones julio 2026 #5344 - #5344"/>
    <n v="-30000"/>
    <s v="Activo"/>
    <n v="-30000"/>
    <x v="9"/>
  </r>
  <r>
    <n v="2026"/>
    <n v="7"/>
    <s v="02-07-2026"/>
    <n v="12719"/>
    <s v="1104-01"/>
    <n v="0"/>
    <n v="30000"/>
    <s v="Centralización recaudaciones julio 2026 #5345 - #5345"/>
    <n v="-30000"/>
    <s v="Activo"/>
    <n v="-30000"/>
    <x v="9"/>
  </r>
  <r>
    <n v="2026"/>
    <n v="7"/>
    <s v="02-07-2026"/>
    <n v="12721"/>
    <s v="1104-01"/>
    <n v="0"/>
    <n v="30000"/>
    <s v="Centralización recaudaciones julio 2026 #5347 - #5347"/>
    <n v="-30000"/>
    <s v="Activo"/>
    <n v="-30000"/>
    <x v="9"/>
  </r>
  <r>
    <n v="2026"/>
    <n v="7"/>
    <s v="02-07-2026"/>
    <n v="12727"/>
    <s v="1104-01"/>
    <n v="0"/>
    <n v="28990"/>
    <s v="Centralización recaudaciones julio 2026 #5353 - #5353"/>
    <n v="-28990"/>
    <s v="Activo"/>
    <n v="-28990"/>
    <x v="9"/>
  </r>
  <r>
    <n v="2026"/>
    <n v="7"/>
    <s v="02-07-2026"/>
    <n v="12736"/>
    <s v="1104-01"/>
    <n v="0"/>
    <n v="34990"/>
    <s v="Centralización recaudaciones julio 2026 #5362 - #5362"/>
    <n v="-34990"/>
    <s v="Activo"/>
    <n v="-34990"/>
    <x v="9"/>
  </r>
  <r>
    <n v="2026"/>
    <n v="7"/>
    <s v="02-07-2026"/>
    <n v="12738"/>
    <s v="1104-01"/>
    <n v="0"/>
    <n v="43990"/>
    <s v="Centralización recaudaciones julio 2026 #5364 - #5364"/>
    <n v="-43990"/>
    <s v="Activo"/>
    <n v="-43990"/>
    <x v="9"/>
  </r>
  <r>
    <n v="2026"/>
    <n v="7"/>
    <s v="02-07-2026"/>
    <n v="12741"/>
    <s v="1104-01"/>
    <n v="0"/>
    <n v="30000"/>
    <s v="Centralización recaudaciones julio 2026 #5367 - #5367"/>
    <n v="-30000"/>
    <s v="Activo"/>
    <n v="-30000"/>
    <x v="9"/>
  </r>
  <r>
    <n v="2026"/>
    <n v="7"/>
    <s v="02-07-2026"/>
    <n v="12742"/>
    <s v="1104-01"/>
    <n v="0"/>
    <n v="296114"/>
    <s v="Centralización recaudaciones julio 2026 #5368 - #5368"/>
    <n v="-296114"/>
    <s v="Activo"/>
    <n v="-296114"/>
    <x v="9"/>
  </r>
  <r>
    <n v="2026"/>
    <n v="7"/>
    <s v="02-07-2026"/>
    <n v="12744"/>
    <s v="1104-01"/>
    <n v="0"/>
    <n v="37990"/>
    <s v="Centralización recaudaciones julio 2026 #5370 - #5370"/>
    <n v="-37990"/>
    <s v="Activo"/>
    <n v="-37990"/>
    <x v="9"/>
  </r>
  <r>
    <n v="2026"/>
    <n v="7"/>
    <s v="02-07-2026"/>
    <n v="12745"/>
    <s v="1104-01"/>
    <n v="0"/>
    <n v="30000"/>
    <s v="Centralización recaudaciones julio 2026 #5371 - #5371"/>
    <n v="-30000"/>
    <s v="Activo"/>
    <n v="-30000"/>
    <x v="9"/>
  </r>
  <r>
    <n v="2026"/>
    <n v="7"/>
    <s v="02-07-2026"/>
    <n v="12746"/>
    <s v="1104-01"/>
    <n v="0"/>
    <n v="30000"/>
    <s v="Centralización recaudaciones julio 2026 #5372 - #5372"/>
    <n v="-30000"/>
    <s v="Activo"/>
    <n v="-30000"/>
    <x v="9"/>
  </r>
  <r>
    <n v="2026"/>
    <n v="7"/>
    <s v="02-07-2026"/>
    <n v="12747"/>
    <s v="1104-01"/>
    <n v="0"/>
    <n v="30000"/>
    <s v="Centralización recaudaciones julio 2026 #5373 - #5373"/>
    <n v="-30000"/>
    <s v="Activo"/>
    <n v="-30000"/>
    <x v="9"/>
  </r>
  <r>
    <n v="2026"/>
    <n v="7"/>
    <s v="02-07-2026"/>
    <n v="12750"/>
    <s v="1104-01"/>
    <n v="0"/>
    <n v="29990"/>
    <s v="Centralización recaudaciones julio 2026 #5376 - #5376"/>
    <n v="-29990"/>
    <s v="Activo"/>
    <n v="-29990"/>
    <x v="9"/>
  </r>
  <r>
    <n v="2026"/>
    <n v="7"/>
    <s v="02-07-2026"/>
    <n v="12753"/>
    <s v="1104-01"/>
    <n v="0"/>
    <n v="43980"/>
    <s v="Centralización recaudaciones julio 2026 #5379 - #5379"/>
    <n v="-43980"/>
    <s v="Activo"/>
    <n v="-43980"/>
    <x v="9"/>
  </r>
  <r>
    <n v="2026"/>
    <n v="7"/>
    <s v="02-07-2026"/>
    <n v="12754"/>
    <s v="1104-01"/>
    <n v="0"/>
    <n v="34990"/>
    <s v="Centralización recaudaciones julio 2026 #5380 - #5380"/>
    <n v="-34990"/>
    <s v="Activo"/>
    <n v="-34990"/>
    <x v="9"/>
  </r>
  <r>
    <n v="2026"/>
    <n v="7"/>
    <s v="02-07-2026"/>
    <n v="12764"/>
    <s v="1104-01"/>
    <n v="0"/>
    <n v="30000"/>
    <s v="Centralización recaudaciones julio 2026 #5390 - #5390"/>
    <n v="-30000"/>
    <s v="Activo"/>
    <n v="-30000"/>
    <x v="9"/>
  </r>
  <r>
    <n v="2026"/>
    <n v="7"/>
    <s v="02-07-2026"/>
    <n v="12765"/>
    <s v="1104-01"/>
    <n v="0"/>
    <n v="30000"/>
    <s v="Centralización recaudaciones julio 2026 #5391 - #5391"/>
    <n v="-30000"/>
    <s v="Activo"/>
    <n v="-30000"/>
    <x v="9"/>
  </r>
  <r>
    <n v="2026"/>
    <n v="7"/>
    <s v="02-07-2026"/>
    <n v="12767"/>
    <s v="1104-01"/>
    <n v="0"/>
    <n v="30000"/>
    <s v="Centralización recaudaciones julio 2026 #5393 - #5393"/>
    <n v="-30000"/>
    <s v="Activo"/>
    <n v="-30000"/>
    <x v="9"/>
  </r>
  <r>
    <n v="2026"/>
    <n v="7"/>
    <s v="02-07-2026"/>
    <n v="12774"/>
    <s v="1104-01"/>
    <n v="0"/>
    <n v="21990"/>
    <s v="Centralización recaudaciones julio 2026 #5400 - #5400"/>
    <n v="-21990"/>
    <s v="Activo"/>
    <n v="-21990"/>
    <x v="9"/>
  </r>
  <r>
    <n v="2026"/>
    <n v="7"/>
    <s v="02-07-2026"/>
    <n v="12778"/>
    <s v="1104-01"/>
    <n v="0"/>
    <n v="42000"/>
    <s v="Centralización recaudaciones julio 2026 #5404 - #5404"/>
    <n v="-42000"/>
    <s v="Activo"/>
    <n v="-42000"/>
    <x v="9"/>
  </r>
  <r>
    <n v="2026"/>
    <n v="7"/>
    <s v="02-07-2026"/>
    <n v="12779"/>
    <s v="1104-01"/>
    <n v="0"/>
    <n v="582525"/>
    <s v="Centralización recaudaciones julio 2026 #5405 - #5405"/>
    <n v="-582525"/>
    <s v="Activo"/>
    <n v="-582525"/>
    <x v="9"/>
  </r>
  <r>
    <n v="2026"/>
    <n v="7"/>
    <s v="02-07-2026"/>
    <n v="12784"/>
    <s v="1104-01"/>
    <n v="0"/>
    <n v="43990"/>
    <s v="Centralización recaudaciones julio 2026 #5407 - #5407"/>
    <n v="-43990"/>
    <s v="Activo"/>
    <n v="-43990"/>
    <x v="9"/>
  </r>
  <r>
    <n v="2026"/>
    <n v="7"/>
    <s v="02-07-2026"/>
    <n v="12787"/>
    <s v="1104-01"/>
    <n v="0"/>
    <n v="28990"/>
    <s v="Centralización recaudaciones julio 2026 #5410 - #5410"/>
    <n v="-28990"/>
    <s v="Activo"/>
    <n v="-28990"/>
    <x v="9"/>
  </r>
  <r>
    <n v="2026"/>
    <n v="7"/>
    <s v="02-07-2026"/>
    <n v="12788"/>
    <s v="1104-01"/>
    <n v="0"/>
    <n v="21990"/>
    <s v="Centralización recaudaciones julio 2026 #5411 - #5411"/>
    <n v="-21990"/>
    <s v="Activo"/>
    <n v="-21990"/>
    <x v="9"/>
  </r>
  <r>
    <n v="2026"/>
    <n v="7"/>
    <s v="02-07-2026"/>
    <n v="12800"/>
    <s v="1104-01"/>
    <n v="0"/>
    <n v="30000"/>
    <s v="Centralización recaudaciones julio 2026 #5423 - #5423"/>
    <n v="-30000"/>
    <s v="Activo"/>
    <n v="-30000"/>
    <x v="9"/>
  </r>
  <r>
    <n v="2026"/>
    <n v="7"/>
    <s v="02-07-2026"/>
    <n v="12806"/>
    <s v="1104-01"/>
    <n v="0"/>
    <n v="30000"/>
    <s v="Centralización recaudaciones julio 2026 #5429 - #5429"/>
    <n v="-30000"/>
    <s v="Activo"/>
    <n v="-30000"/>
    <x v="9"/>
  </r>
  <r>
    <n v="2026"/>
    <n v="7"/>
    <s v="02-07-2026"/>
    <n v="12809"/>
    <s v="1104-01"/>
    <n v="0"/>
    <n v="30000"/>
    <s v="Centralización recaudaciones julio 2026 #5432 - #5432"/>
    <n v="-30000"/>
    <s v="Activo"/>
    <n v="-30000"/>
    <x v="9"/>
  </r>
  <r>
    <n v="2026"/>
    <n v="7"/>
    <s v="02-07-2026"/>
    <n v="12810"/>
    <s v="1104-01"/>
    <n v="0"/>
    <n v="30000"/>
    <s v="Centralización recaudaciones julio 2026 #5433 - #5433"/>
    <n v="-30000"/>
    <s v="Activo"/>
    <n v="-30000"/>
    <x v="9"/>
  </r>
  <r>
    <n v="2026"/>
    <n v="7"/>
    <s v="02-07-2026"/>
    <n v="12819"/>
    <s v="1104-01"/>
    <n v="0"/>
    <n v="30000"/>
    <s v="Centralización recaudaciones julio 2026 #5442 - #5442"/>
    <n v="-30000"/>
    <s v="Activo"/>
    <n v="-30000"/>
    <x v="9"/>
  </r>
  <r>
    <n v="2026"/>
    <n v="7"/>
    <s v="02-07-2026"/>
    <n v="12826"/>
    <s v="1104-01"/>
    <n v="0"/>
    <n v="21990"/>
    <s v="Centralización recaudaciones julio 2026 #5449 - #5449"/>
    <n v="-21990"/>
    <s v="Activo"/>
    <n v="-21990"/>
    <x v="9"/>
  </r>
  <r>
    <n v="2026"/>
    <n v="7"/>
    <s v="02-07-2026"/>
    <n v="12827"/>
    <s v="1104-01"/>
    <n v="0"/>
    <n v="43990"/>
    <s v="Centralización recaudaciones julio 2026 #5450 - #5450"/>
    <n v="-43990"/>
    <s v="Activo"/>
    <n v="-43990"/>
    <x v="9"/>
  </r>
  <r>
    <n v="2026"/>
    <n v="7"/>
    <s v="02-07-2026"/>
    <n v="12828"/>
    <s v="1104-01"/>
    <n v="0"/>
    <n v="30000"/>
    <s v="Centralización recaudaciones julio 2026 #5451 - #5451"/>
    <n v="-30000"/>
    <s v="Activo"/>
    <n v="-30000"/>
    <x v="9"/>
  </r>
  <r>
    <n v="2026"/>
    <n v="7"/>
    <s v="02-07-2026"/>
    <n v="12833"/>
    <s v="1104-01"/>
    <n v="0"/>
    <n v="30000"/>
    <s v="Centralización recaudaciones julio 2026 #5456 - #5456"/>
    <n v="-30000"/>
    <s v="Activo"/>
    <n v="-30000"/>
    <x v="9"/>
  </r>
  <r>
    <n v="2026"/>
    <n v="7"/>
    <s v="02-07-2026"/>
    <n v="12839"/>
    <s v="1104-01"/>
    <n v="0"/>
    <n v="47960"/>
    <s v="Centralización recaudaciones julio 2026 #5462 - #5462"/>
    <n v="-47960"/>
    <s v="Activo"/>
    <n v="-47960"/>
    <x v="9"/>
  </r>
  <r>
    <n v="2026"/>
    <n v="7"/>
    <s v="02-07-2026"/>
    <n v="12840"/>
    <s v="1104-01"/>
    <n v="0"/>
    <n v="28990"/>
    <s v="Centralización recaudaciones julio 2026 #5463 - #5463"/>
    <n v="-28990"/>
    <s v="Activo"/>
    <n v="-28990"/>
    <x v="9"/>
  </r>
  <r>
    <n v="2026"/>
    <n v="7"/>
    <s v="02-07-2026"/>
    <n v="12846"/>
    <s v="1104-01"/>
    <n v="0"/>
    <n v="64000"/>
    <s v="Centralización recaudaciones julio 2026 #5469 - #5469"/>
    <n v="-64000"/>
    <s v="Activo"/>
    <n v="-64000"/>
    <x v="9"/>
  </r>
  <r>
    <n v="2026"/>
    <n v="7"/>
    <s v="02-07-2026"/>
    <n v="12847"/>
    <s v="1104-01"/>
    <n v="0"/>
    <n v="30000"/>
    <s v="Centralización recaudaciones julio 2026 #5470 - #5470"/>
    <n v="-30000"/>
    <s v="Activo"/>
    <n v="-30000"/>
    <x v="9"/>
  </r>
  <r>
    <n v="2026"/>
    <n v="7"/>
    <s v="02-07-2026"/>
    <n v="12848"/>
    <s v="1104-01"/>
    <n v="0"/>
    <n v="30000"/>
    <s v="Centralización recaudaciones julio 2026 #5471 - #5471"/>
    <n v="-30000"/>
    <s v="Activo"/>
    <n v="-30000"/>
    <x v="9"/>
  </r>
  <r>
    <n v="2026"/>
    <n v="7"/>
    <s v="02-07-2026"/>
    <n v="12851"/>
    <s v="1104-01"/>
    <n v="0"/>
    <n v="510"/>
    <s v="Centralización recaudaciones julio 2026 #5474 - #5474"/>
    <n v="-510"/>
    <s v="Activo"/>
    <n v="-510"/>
    <x v="9"/>
  </r>
  <r>
    <n v="2026"/>
    <n v="7"/>
    <s v="02-07-2026"/>
    <n v="12861"/>
    <s v="1104-01"/>
    <n v="0"/>
    <n v="374863"/>
    <s v="Centralización recaudaciones julio 2026 #5484 - #5484"/>
    <n v="-374863"/>
    <s v="Activo"/>
    <n v="-374863"/>
    <x v="9"/>
  </r>
  <r>
    <n v="2026"/>
    <n v="7"/>
    <s v="02-07-2026"/>
    <n v="12862"/>
    <s v="1104-01"/>
    <n v="0"/>
    <n v="100000"/>
    <s v="Centralización recaudaciones julio 2026 #5485 - #5485"/>
    <n v="-100000"/>
    <s v="Activo"/>
    <n v="-100000"/>
    <x v="9"/>
  </r>
  <r>
    <n v="2026"/>
    <n v="7"/>
    <s v="02-07-2026"/>
    <n v="12880"/>
    <s v="1104-01"/>
    <n v="0"/>
    <n v="21990"/>
    <s v="Centralización recaudaciones julio 2026 #5503 - #5503"/>
    <n v="-21990"/>
    <s v="Activo"/>
    <n v="-21990"/>
    <x v="9"/>
  </r>
  <r>
    <n v="2026"/>
    <n v="7"/>
    <s v="02-07-2026"/>
    <n v="12882"/>
    <s v="1104-01"/>
    <n v="0"/>
    <n v="28990"/>
    <s v="Centralización recaudaciones julio 2026 #5505 - #5505"/>
    <n v="-28990"/>
    <s v="Activo"/>
    <n v="-28990"/>
    <x v="9"/>
  </r>
  <r>
    <n v="2026"/>
    <n v="7"/>
    <s v="02-07-2026"/>
    <n v="12886"/>
    <s v="1104-01"/>
    <n v="0"/>
    <n v="21990"/>
    <s v="Centralización recaudaciones julio 2026 #5509 - #5509"/>
    <n v="-21990"/>
    <s v="Activo"/>
    <n v="-21990"/>
    <x v="9"/>
  </r>
  <r>
    <n v="2026"/>
    <n v="7"/>
    <s v="02-07-2026"/>
    <n v="12894"/>
    <s v="1104-01"/>
    <n v="0"/>
    <n v="30000"/>
    <s v="Centralización recaudaciones julio 2026 #5517 - #5517"/>
    <n v="-30000"/>
    <s v="Activo"/>
    <n v="-30000"/>
    <x v="9"/>
  </r>
  <r>
    <n v="2026"/>
    <n v="7"/>
    <s v="02-07-2026"/>
    <n v="12904"/>
    <s v="1104-01"/>
    <n v="0"/>
    <n v="25990"/>
    <s v="Centralización recaudaciones julio 2026 #5527 - #5527"/>
    <n v="-25990"/>
    <s v="Activo"/>
    <n v="-25990"/>
    <x v="9"/>
  </r>
  <r>
    <n v="2026"/>
    <n v="7"/>
    <s v="02-07-2026"/>
    <n v="12918"/>
    <s v="1104-01"/>
    <n v="0"/>
    <n v="28990"/>
    <s v="Centralización recaudaciones julio 2026 #5539 - #5539"/>
    <n v="-28990"/>
    <s v="Activo"/>
    <n v="-28990"/>
    <x v="9"/>
  </r>
  <r>
    <n v="2026"/>
    <n v="7"/>
    <s v="02-07-2026"/>
    <n v="12944"/>
    <s v="1104-01"/>
    <n v="0"/>
    <n v="21990"/>
    <s v="Centralización recaudaciones julio 2026 #5565 - #5565"/>
    <n v="-21990"/>
    <s v="Activo"/>
    <n v="-21990"/>
    <x v="9"/>
  </r>
  <r>
    <n v="2026"/>
    <n v="7"/>
    <s v="02-07-2026"/>
    <n v="12965"/>
    <s v="1104-01"/>
    <n v="0"/>
    <n v="43980"/>
    <s v="Centralización recaudaciones julio 2026 #5586 - #5586"/>
    <n v="-43980"/>
    <s v="Activo"/>
    <n v="-43980"/>
    <x v="9"/>
  </r>
  <r>
    <n v="2026"/>
    <n v="7"/>
    <s v="02-07-2026"/>
    <n v="12968"/>
    <s v="1104-01"/>
    <n v="0"/>
    <n v="54000"/>
    <s v="Centralización recaudaciones julio 2026 #5589 - #5589"/>
    <n v="-54000"/>
    <s v="Activo"/>
    <n v="-54000"/>
    <x v="9"/>
  </r>
  <r>
    <n v="2026"/>
    <n v="7"/>
    <s v="02-07-2026"/>
    <n v="12992"/>
    <s v="1104-01"/>
    <n v="0"/>
    <n v="60000"/>
    <s v="Centralización recaudaciones julio 2026 #5613 - #5613"/>
    <n v="-60000"/>
    <s v="Activo"/>
    <n v="-60000"/>
    <x v="9"/>
  </r>
  <r>
    <n v="2026"/>
    <n v="7"/>
    <s v="02-07-2026"/>
    <n v="12997"/>
    <s v="1104-01"/>
    <n v="0"/>
    <n v="73980"/>
    <s v="Centralización recaudaciones julio 2026 #5618 - #5618"/>
    <n v="-73980"/>
    <s v="Activo"/>
    <n v="-73980"/>
    <x v="9"/>
  </r>
  <r>
    <n v="2026"/>
    <n v="7"/>
    <s v="02-07-2026"/>
    <n v="13000"/>
    <s v="1104-01"/>
    <n v="0"/>
    <n v="14380"/>
    <s v="Centralización recaudaciones julio 2026 #5621 - #5621"/>
    <n v="-14380"/>
    <s v="Activo"/>
    <n v="-14380"/>
    <x v="9"/>
  </r>
  <r>
    <n v="2026"/>
    <n v="7"/>
    <s v="02-07-2026"/>
    <n v="13035"/>
    <s v="1104-01"/>
    <n v="0"/>
    <n v="14990"/>
    <s v="Centralización recaudaciones julio 2026 #5656 - #5656"/>
    <n v="-14990"/>
    <s v="Activo"/>
    <n v="-14990"/>
    <x v="9"/>
  </r>
  <r>
    <n v="2026"/>
    <n v="7"/>
    <s v="02-07-2026"/>
    <n v="13047"/>
    <s v="1104-01"/>
    <n v="0"/>
    <n v="48970"/>
    <s v="Centralización recaudaciones julio 2026 #5668 - #5668"/>
    <n v="-48970"/>
    <s v="Activo"/>
    <n v="-48970"/>
    <x v="9"/>
  </r>
  <r>
    <n v="2026"/>
    <n v="7"/>
    <s v="02-07-2026"/>
    <n v="13066"/>
    <s v="1104-01"/>
    <n v="0"/>
    <n v="53990"/>
    <s v="Centralización recaudaciones julio 2026 #5687 - #5687"/>
    <n v="-53990"/>
    <s v="Activo"/>
    <n v="-53990"/>
    <x v="9"/>
  </r>
  <r>
    <n v="2026"/>
    <n v="7"/>
    <s v="02-07-2026"/>
    <n v="13082"/>
    <s v="1104-01"/>
    <n v="0"/>
    <n v="60000"/>
    <s v="Centralización recaudaciones julio 2026 #5703 - #5703"/>
    <n v="-60000"/>
    <s v="Activo"/>
    <n v="-60000"/>
    <x v="9"/>
  </r>
  <r>
    <n v="2026"/>
    <n v="7"/>
    <s v="02-07-2026"/>
    <n v="13083"/>
    <s v="1104-01"/>
    <n v="0"/>
    <n v="33490"/>
    <s v="Centralización recaudaciones julio 2026 #5704 - #5704"/>
    <n v="-33490"/>
    <s v="Activo"/>
    <n v="-33490"/>
    <x v="9"/>
  </r>
  <r>
    <n v="2026"/>
    <n v="7"/>
    <s v="02-07-2026"/>
    <n v="13089"/>
    <s v="1104-01"/>
    <n v="0"/>
    <n v="84000"/>
    <s v="Centralización recaudaciones julio 2026 #5710 - #5710"/>
    <n v="-84000"/>
    <s v="Activo"/>
    <n v="-84000"/>
    <x v="9"/>
  </r>
  <r>
    <n v="2026"/>
    <n v="7"/>
    <s v="02-07-2026"/>
    <n v="13092"/>
    <s v="1104-01"/>
    <n v="0"/>
    <n v="60000"/>
    <s v="Centralización recaudaciones julio 2026 #5713 - #5713"/>
    <n v="-60000"/>
    <s v="Activo"/>
    <n v="-60000"/>
    <x v="9"/>
  </r>
  <r>
    <n v="2026"/>
    <n v="7"/>
    <s v="02-07-2026"/>
    <n v="13154"/>
    <s v="1104-01"/>
    <n v="0"/>
    <n v="14990"/>
    <s v="Centralización recaudaciones julio 2026 #5775 - #5775"/>
    <n v="-14990"/>
    <s v="Activo"/>
    <n v="-14990"/>
    <x v="9"/>
  </r>
  <r>
    <n v="2026"/>
    <n v="7"/>
    <s v="02-07-2026"/>
    <n v="13162"/>
    <s v="1104-01"/>
    <n v="0"/>
    <n v="32990"/>
    <s v="Centralización recaudaciones julio 2026 #5783 - #5783"/>
    <n v="-32990"/>
    <s v="Activo"/>
    <n v="-32990"/>
    <x v="9"/>
  </r>
  <r>
    <n v="2026"/>
    <n v="7"/>
    <s v="02-07-2026"/>
    <n v="13176"/>
    <s v="1104-01"/>
    <n v="0"/>
    <n v="30000"/>
    <s v="Centralización recaudaciones julio 2026 #5797 - #5797"/>
    <n v="-30000"/>
    <s v="Activo"/>
    <n v="-30000"/>
    <x v="9"/>
  </r>
  <r>
    <n v="2026"/>
    <n v="7"/>
    <s v="02-07-2026"/>
    <n v="13205"/>
    <s v="1104-01"/>
    <n v="0"/>
    <n v="34980"/>
    <s v="Centralización recaudaciones julio 2026 #5826 - #5826"/>
    <n v="-34980"/>
    <s v="Activo"/>
    <n v="-34980"/>
    <x v="9"/>
  </r>
  <r>
    <n v="2026"/>
    <n v="7"/>
    <s v="02-07-2026"/>
    <n v="13206"/>
    <s v="1104-01"/>
    <n v="0"/>
    <n v="14990"/>
    <s v="Centralización recaudaciones julio 2026 #5827 - #5827"/>
    <n v="-14990"/>
    <s v="Activo"/>
    <n v="-14990"/>
    <x v="9"/>
  </r>
  <r>
    <n v="2026"/>
    <n v="7"/>
    <s v="02-07-2026"/>
    <n v="13212"/>
    <s v="1104-01"/>
    <n v="0"/>
    <n v="51980"/>
    <s v="Centralización recaudaciones julio 2026 #5833 - #5833"/>
    <n v="-51980"/>
    <s v="Activo"/>
    <n v="-51980"/>
    <x v="9"/>
  </r>
  <r>
    <n v="2026"/>
    <n v="7"/>
    <s v="02-07-2026"/>
    <n v="13213"/>
    <s v="1104-01"/>
    <n v="0"/>
    <n v="14990"/>
    <s v="Centralización recaudaciones julio 2026 #5834 - #5834"/>
    <n v="-14990"/>
    <s v="Activo"/>
    <n v="-14990"/>
    <x v="9"/>
  </r>
  <r>
    <n v="2026"/>
    <n v="7"/>
    <s v="02-07-2026"/>
    <n v="13227"/>
    <s v="1104-01"/>
    <n v="0"/>
    <n v="14990"/>
    <s v="Centralización recaudaciones julio 2026 #5848 - #5848"/>
    <n v="-14990"/>
    <s v="Activo"/>
    <n v="-14990"/>
    <x v="9"/>
  </r>
  <r>
    <n v="2026"/>
    <n v="7"/>
    <s v="02-07-2026"/>
    <n v="13234"/>
    <s v="1104-01"/>
    <n v="0"/>
    <n v="30000"/>
    <s v="Centralización recaudaciones julio 2026 #5855 - #5855"/>
    <n v="-30000"/>
    <s v="Activo"/>
    <n v="-30000"/>
    <x v="9"/>
  </r>
  <r>
    <n v="2026"/>
    <n v="7"/>
    <s v="02-07-2026"/>
    <n v="13245"/>
    <s v="1104-01"/>
    <n v="0"/>
    <n v="60000"/>
    <s v="Centralización recaudaciones julio 2026 #5866 - #5866"/>
    <n v="-60000"/>
    <s v="Activo"/>
    <n v="-60000"/>
    <x v="9"/>
  </r>
  <r>
    <n v="2026"/>
    <n v="7"/>
    <s v="02-07-2026"/>
    <n v="13248"/>
    <s v="1104-01"/>
    <n v="0"/>
    <n v="21990"/>
    <s v="Centralización recaudaciones julio 2026 #5869 - #5869"/>
    <n v="-21990"/>
    <s v="Activo"/>
    <n v="-21990"/>
    <x v="9"/>
  </r>
  <r>
    <n v="2026"/>
    <n v="7"/>
    <s v="02-07-2026"/>
    <n v="13269"/>
    <s v="1104-01"/>
    <n v="0"/>
    <n v="14990"/>
    <s v="Centralización recaudaciones julio 2026 #5890 - #5890"/>
    <n v="-14990"/>
    <s v="Activo"/>
    <n v="-14990"/>
    <x v="9"/>
  </r>
  <r>
    <n v="2026"/>
    <n v="7"/>
    <s v="02-07-2026"/>
    <n v="13270"/>
    <s v="1104-01"/>
    <n v="0"/>
    <n v="14990"/>
    <s v="Centralización recaudaciones julio 2026 #5891 - #5891"/>
    <n v="-14990"/>
    <s v="Activo"/>
    <n v="-14990"/>
    <x v="9"/>
  </r>
  <r>
    <n v="2026"/>
    <n v="7"/>
    <s v="02-07-2026"/>
    <n v="13271"/>
    <s v="1104-01"/>
    <n v="0"/>
    <n v="14990"/>
    <s v="Centralización recaudaciones julio 2026 #5892 - #5892"/>
    <n v="-14990"/>
    <s v="Activo"/>
    <n v="-14990"/>
    <x v="9"/>
  </r>
  <r>
    <n v="2026"/>
    <n v="7"/>
    <s v="02-07-2026"/>
    <n v="13286"/>
    <s v="1104-01"/>
    <n v="0"/>
    <n v="14990"/>
    <s v="Centralización recaudaciones julio 2026 #5907 - #5907"/>
    <n v="-14990"/>
    <s v="Activo"/>
    <n v="-14990"/>
    <x v="9"/>
  </r>
  <r>
    <n v="2026"/>
    <n v="7"/>
    <s v="02-07-2026"/>
    <n v="13305"/>
    <s v="1104-01"/>
    <n v="0"/>
    <n v="33990"/>
    <s v="Centralización recaudaciones julio 2026 #5926 - #5926"/>
    <n v="-33990"/>
    <s v="Activo"/>
    <n v="-33990"/>
    <x v="9"/>
  </r>
  <r>
    <n v="2026"/>
    <n v="7"/>
    <s v="02-07-2026"/>
    <n v="13306"/>
    <s v="1104-01"/>
    <n v="0"/>
    <n v="19990"/>
    <s v="Centralización recaudaciones julio 2026 #5927 - #5927"/>
    <n v="-19990"/>
    <s v="Activo"/>
    <n v="-19990"/>
    <x v="9"/>
  </r>
  <r>
    <n v="2026"/>
    <n v="7"/>
    <s v="02-07-2026"/>
    <n v="13311"/>
    <s v="1104-01"/>
    <n v="0"/>
    <n v="900000"/>
    <s v="Centralización recaudaciones julio 2026 #5932 - #5932"/>
    <n v="-900000"/>
    <s v="Activo"/>
    <n v="-900000"/>
    <x v="9"/>
  </r>
  <r>
    <n v="2026"/>
    <n v="7"/>
    <s v="02-07-2026"/>
    <n v="13312"/>
    <s v="1104-01"/>
    <n v="0"/>
    <n v="24990"/>
    <s v="Centralización recaudaciones julio 2026 #5933 - #5933"/>
    <n v="-24990"/>
    <s v="Activo"/>
    <n v="-24990"/>
    <x v="9"/>
  </r>
  <r>
    <n v="2026"/>
    <n v="7"/>
    <s v="02-07-2026"/>
    <n v="13314"/>
    <s v="1104-01"/>
    <n v="0"/>
    <n v="149318"/>
    <s v="Centralización recaudaciones julio 2026 #5935 - #5935"/>
    <n v="-149318"/>
    <s v="Activo"/>
    <n v="-149318"/>
    <x v="9"/>
  </r>
  <r>
    <n v="2026"/>
    <n v="7"/>
    <s v="02-07-2026"/>
    <n v="13324"/>
    <s v="1104-01"/>
    <n v="0"/>
    <n v="10990"/>
    <s v="Centralización recaudaciones julio 2026 #5945 - #5945"/>
    <n v="-10990"/>
    <s v="Activo"/>
    <n v="-10990"/>
    <x v="9"/>
  </r>
  <r>
    <n v="2026"/>
    <n v="7"/>
    <s v="03-07-2026"/>
    <n v="12615"/>
    <s v="1104-01"/>
    <n v="0"/>
    <n v="20797984"/>
    <s v="Abono clientes boleta"/>
    <n v="-20797984"/>
    <s v="Activo"/>
    <n v="-20797984"/>
    <x v="9"/>
  </r>
  <r>
    <n v="2026"/>
    <n v="7"/>
    <s v="03-07-2026"/>
    <n v="12616"/>
    <s v="1104-01"/>
    <n v="0"/>
    <n v="2283853"/>
    <s v="Abono clientes boleta"/>
    <n v="-2283853"/>
    <s v="Activo"/>
    <n v="-2283853"/>
    <x v="9"/>
  </r>
  <r>
    <n v="2026"/>
    <n v="7"/>
    <s v="03-07-2026"/>
    <n v="12659"/>
    <s v="1104-01"/>
    <n v="0"/>
    <n v="63980"/>
    <s v="Centralización recaudaciones julio 2026 #5288 - #5288"/>
    <n v="-63980"/>
    <s v="Activo"/>
    <n v="-63980"/>
    <x v="9"/>
  </r>
  <r>
    <n v="2026"/>
    <n v="7"/>
    <s v="03-07-2026"/>
    <n v="12666"/>
    <s v="1104-01"/>
    <n v="0"/>
    <n v="153747"/>
    <s v="Centralización recaudaciones julio 2026 #5295 - #5295"/>
    <n v="-153747"/>
    <s v="Activo"/>
    <n v="-153747"/>
    <x v="9"/>
  </r>
  <r>
    <n v="2026"/>
    <n v="7"/>
    <s v="03-07-2026"/>
    <n v="12697"/>
    <s v="1104-01"/>
    <n v="0"/>
    <n v="35000"/>
    <s v="Centralización recaudaciones julio 2026 #5326 - #5326"/>
    <n v="-35000"/>
    <s v="Activo"/>
    <n v="-35000"/>
    <x v="9"/>
  </r>
  <r>
    <n v="2026"/>
    <n v="7"/>
    <s v="03-07-2026"/>
    <n v="12701"/>
    <s v="1104-01"/>
    <n v="0"/>
    <n v="40000"/>
    <s v="Centralización recaudaciones julio 2026 #5330 - #5330"/>
    <n v="-40000"/>
    <s v="Activo"/>
    <n v="-40000"/>
    <x v="9"/>
  </r>
  <r>
    <n v="2026"/>
    <n v="7"/>
    <s v="03-07-2026"/>
    <n v="12706"/>
    <s v="1104-01"/>
    <n v="0"/>
    <n v="30000"/>
    <s v="Centralización recaudaciones julio 2026 #5335 - #5335"/>
    <n v="-30000"/>
    <s v="Activo"/>
    <n v="-30000"/>
    <x v="9"/>
  </r>
  <r>
    <n v="2026"/>
    <n v="7"/>
    <s v="03-07-2026"/>
    <n v="12720"/>
    <s v="1104-01"/>
    <n v="0"/>
    <n v="38990"/>
    <s v="Centralización recaudaciones julio 2026 #5346 - #5346"/>
    <n v="-38990"/>
    <s v="Activo"/>
    <n v="-38990"/>
    <x v="9"/>
  </r>
  <r>
    <n v="2026"/>
    <n v="7"/>
    <s v="03-07-2026"/>
    <n v="12722"/>
    <s v="1104-01"/>
    <n v="0"/>
    <n v="30000"/>
    <s v="Centralización recaudaciones julio 2026 #5348 - #5348"/>
    <n v="-30000"/>
    <s v="Activo"/>
    <n v="-30000"/>
    <x v="9"/>
  </r>
  <r>
    <n v="2026"/>
    <n v="7"/>
    <s v="03-07-2026"/>
    <n v="12728"/>
    <s v="1104-01"/>
    <n v="0"/>
    <n v="32990"/>
    <s v="Centralización recaudaciones julio 2026 #5354 - #5354"/>
    <n v="-32990"/>
    <s v="Activo"/>
    <n v="-32990"/>
    <x v="9"/>
  </r>
  <r>
    <n v="2026"/>
    <n v="7"/>
    <s v="03-07-2026"/>
    <n v="12732"/>
    <s v="1104-01"/>
    <n v="0"/>
    <n v="50000"/>
    <s v="Centralización recaudaciones julio 2026 #5358 - #5358"/>
    <n v="-50000"/>
    <s v="Activo"/>
    <n v="-50000"/>
    <x v="9"/>
  </r>
  <r>
    <n v="2026"/>
    <n v="7"/>
    <s v="03-07-2026"/>
    <n v="12739"/>
    <s v="1104-01"/>
    <n v="0"/>
    <n v="58000"/>
    <s v="Centralización recaudaciones julio 2026 #5365 - #5365"/>
    <n v="-58000"/>
    <s v="Activo"/>
    <n v="-58000"/>
    <x v="9"/>
  </r>
  <r>
    <n v="2026"/>
    <n v="7"/>
    <s v="03-07-2026"/>
    <n v="12751"/>
    <s v="1104-01"/>
    <n v="0"/>
    <n v="30000"/>
    <s v="Centralización recaudaciones julio 2026 #5377 - #5377"/>
    <n v="-30000"/>
    <s v="Activo"/>
    <n v="-30000"/>
    <x v="9"/>
  </r>
  <r>
    <n v="2026"/>
    <n v="7"/>
    <s v="03-07-2026"/>
    <n v="12762"/>
    <s v="1104-01"/>
    <n v="0"/>
    <n v="497196"/>
    <s v="Centralización recaudaciones julio 2026 #5388 - #5388"/>
    <n v="-497196"/>
    <s v="Activo"/>
    <n v="-497196"/>
    <x v="9"/>
  </r>
  <r>
    <n v="2026"/>
    <n v="7"/>
    <s v="03-07-2026"/>
    <n v="12771"/>
    <s v="1104-01"/>
    <n v="0"/>
    <n v="59990"/>
    <s v="Centralización recaudaciones julio 2026 #5397 - #5397"/>
    <n v="-59990"/>
    <s v="Activo"/>
    <n v="-59990"/>
    <x v="9"/>
  </r>
  <r>
    <n v="2026"/>
    <n v="7"/>
    <s v="03-07-2026"/>
    <n v="12781"/>
    <s v="1104-01"/>
    <n v="0"/>
    <n v="2055856"/>
    <s v="Centralización recaudaciones julio 2026 #5279 - #5279"/>
    <n v="-2055856"/>
    <s v="Activo"/>
    <n v="-2055856"/>
    <x v="9"/>
  </r>
  <r>
    <n v="2026"/>
    <n v="7"/>
    <s v="03-07-2026"/>
    <n v="12782"/>
    <s v="1104-01"/>
    <n v="0"/>
    <n v="122374"/>
    <s v="Centralización recaudaciones julio 2026 #5280 - #5280"/>
    <n v="-122374"/>
    <s v="Activo"/>
    <n v="-122374"/>
    <x v="9"/>
  </r>
  <r>
    <n v="2026"/>
    <n v="7"/>
    <s v="03-07-2026"/>
    <n v="12794"/>
    <s v="1104-01"/>
    <n v="0"/>
    <n v="38990"/>
    <s v="Centralización recaudaciones julio 2026 #5417 - #5417"/>
    <n v="-38990"/>
    <s v="Activo"/>
    <n v="-38990"/>
    <x v="9"/>
  </r>
  <r>
    <n v="2026"/>
    <n v="7"/>
    <s v="03-07-2026"/>
    <n v="12832"/>
    <s v="1104-01"/>
    <n v="0"/>
    <n v="31000"/>
    <s v="Centralización recaudaciones julio 2026 #5455 - #5455"/>
    <n v="-31000"/>
    <s v="Activo"/>
    <n v="-31000"/>
    <x v="9"/>
  </r>
  <r>
    <n v="2026"/>
    <n v="7"/>
    <s v="03-07-2026"/>
    <n v="12852"/>
    <s v="1104-01"/>
    <n v="0"/>
    <n v="14480"/>
    <s v="Centralización recaudaciones julio 2026 #5475 - #5475"/>
    <n v="-14480"/>
    <s v="Activo"/>
    <n v="-14480"/>
    <x v="9"/>
  </r>
  <r>
    <n v="2026"/>
    <n v="7"/>
    <s v="03-07-2026"/>
    <n v="12859"/>
    <s v="1104-01"/>
    <n v="0"/>
    <n v="30000"/>
    <s v="Centralización recaudaciones julio 2026 #5482 - #5482"/>
    <n v="-30000"/>
    <s v="Activo"/>
    <n v="-30000"/>
    <x v="9"/>
  </r>
  <r>
    <n v="2026"/>
    <n v="7"/>
    <s v="03-07-2026"/>
    <n v="12860"/>
    <s v="1104-01"/>
    <n v="0"/>
    <n v="30000"/>
    <s v="Centralización recaudaciones julio 2026 #5483 - #5483"/>
    <n v="-30000"/>
    <s v="Activo"/>
    <n v="-30000"/>
    <x v="9"/>
  </r>
  <r>
    <n v="2026"/>
    <n v="7"/>
    <s v="03-07-2026"/>
    <n v="12865"/>
    <s v="1104-01"/>
    <n v="0"/>
    <n v="34990"/>
    <s v="Centralización recaudaciones julio 2026 #5488 - #5488"/>
    <n v="-34990"/>
    <s v="Activo"/>
    <n v="-34990"/>
    <x v="9"/>
  </r>
  <r>
    <n v="2026"/>
    <n v="7"/>
    <s v="03-07-2026"/>
    <n v="12866"/>
    <s v="1104-01"/>
    <n v="0"/>
    <n v="30000"/>
    <s v="Centralización recaudaciones julio 2026 #5489 - #5489"/>
    <n v="-30000"/>
    <s v="Activo"/>
    <n v="-30000"/>
    <x v="9"/>
  </r>
  <r>
    <n v="2026"/>
    <n v="7"/>
    <s v="03-07-2026"/>
    <n v="12877"/>
    <s v="1104-01"/>
    <n v="0"/>
    <n v="40000"/>
    <s v="Centralización recaudaciones julio 2026 #5500 - #5500"/>
    <n v="-40000"/>
    <s v="Activo"/>
    <n v="-40000"/>
    <x v="9"/>
  </r>
  <r>
    <n v="2026"/>
    <n v="7"/>
    <s v="03-07-2026"/>
    <n v="12883"/>
    <s v="1104-01"/>
    <n v="0"/>
    <n v="34608"/>
    <s v="Centralización recaudaciones julio 2026 #5506 - #5506"/>
    <n v="-34608"/>
    <s v="Activo"/>
    <n v="-34608"/>
    <x v="9"/>
  </r>
  <r>
    <n v="2026"/>
    <n v="7"/>
    <s v="03-07-2026"/>
    <n v="12889"/>
    <s v="1104-01"/>
    <n v="0"/>
    <n v="33490"/>
    <s v="Centralización recaudaciones julio 2026 #5512 - #5512"/>
    <n v="-33490"/>
    <s v="Activo"/>
    <n v="-33490"/>
    <x v="9"/>
  </r>
  <r>
    <n v="2026"/>
    <n v="7"/>
    <s v="03-07-2026"/>
    <n v="12891"/>
    <s v="1104-01"/>
    <n v="0"/>
    <n v="21990"/>
    <s v="Centralización recaudaciones julio 2026 #5514 - #5514"/>
    <n v="-21990"/>
    <s v="Activo"/>
    <n v="-21990"/>
    <x v="9"/>
  </r>
  <r>
    <n v="2026"/>
    <n v="7"/>
    <s v="03-07-2026"/>
    <n v="12895"/>
    <s v="1104-01"/>
    <n v="0"/>
    <n v="28990"/>
    <s v="Centralización recaudaciones julio 2026 #5518 - #5518"/>
    <n v="-28990"/>
    <s v="Activo"/>
    <n v="-28990"/>
    <x v="9"/>
  </r>
  <r>
    <n v="2026"/>
    <n v="7"/>
    <s v="03-07-2026"/>
    <n v="12936"/>
    <s v="1104-01"/>
    <n v="0"/>
    <n v="150519"/>
    <s v="Centralización recaudaciones julio 2026 #5557 - #5557"/>
    <n v="-150519"/>
    <s v="Activo"/>
    <n v="-150519"/>
    <x v="9"/>
  </r>
  <r>
    <n v="2026"/>
    <n v="7"/>
    <s v="03-07-2026"/>
    <n v="12959"/>
    <s v="1104-01"/>
    <n v="0"/>
    <n v="34000"/>
    <s v="Centralización recaudaciones julio 2026 #5580 - #5580"/>
    <n v="-34000"/>
    <s v="Activo"/>
    <n v="-34000"/>
    <x v="9"/>
  </r>
  <r>
    <n v="2026"/>
    <n v="7"/>
    <s v="03-07-2026"/>
    <n v="12971"/>
    <s v="1104-01"/>
    <n v="0"/>
    <n v="1575496"/>
    <s v="Centralización recaudaciones julio 2026 #5592 - #5592"/>
    <n v="-1575496"/>
    <s v="Activo"/>
    <n v="-1575496"/>
    <x v="9"/>
  </r>
  <r>
    <n v="2026"/>
    <n v="7"/>
    <s v="03-07-2026"/>
    <n v="12979"/>
    <s v="1104-01"/>
    <n v="0"/>
    <n v="33490"/>
    <s v="Centralización recaudaciones julio 2026 #5600 - #5600"/>
    <n v="-33490"/>
    <s v="Activo"/>
    <n v="-33490"/>
    <x v="9"/>
  </r>
  <r>
    <n v="2026"/>
    <n v="7"/>
    <s v="03-07-2026"/>
    <n v="12986"/>
    <s v="1104-01"/>
    <n v="0"/>
    <n v="174821"/>
    <s v="Centralización recaudaciones julio 2026 #5607 - #5607"/>
    <n v="-174821"/>
    <s v="Activo"/>
    <n v="-174821"/>
    <x v="9"/>
  </r>
  <r>
    <n v="2026"/>
    <n v="7"/>
    <s v="03-07-2026"/>
    <n v="12990"/>
    <s v="1104-01"/>
    <n v="0"/>
    <n v="30000"/>
    <s v="Centralización recaudaciones julio 2026 #5611 - #5611"/>
    <n v="-30000"/>
    <s v="Activo"/>
    <n v="-30000"/>
    <x v="9"/>
  </r>
  <r>
    <n v="2026"/>
    <n v="7"/>
    <s v="03-07-2026"/>
    <n v="12993"/>
    <s v="1104-01"/>
    <n v="0"/>
    <n v="35980"/>
    <s v="Centralización recaudaciones julio 2026 #5614 - #5614"/>
    <n v="-35980"/>
    <s v="Activo"/>
    <n v="-35980"/>
    <x v="9"/>
  </r>
  <r>
    <n v="2026"/>
    <n v="7"/>
    <s v="03-07-2026"/>
    <n v="13019"/>
    <s v="1104-01"/>
    <n v="0"/>
    <n v="2478886"/>
    <s v="Centralización recaudaciones julio 2026 #5640 - #5640"/>
    <n v="-2478886"/>
    <s v="Activo"/>
    <n v="-2478886"/>
    <x v="9"/>
  </r>
  <r>
    <n v="2026"/>
    <n v="7"/>
    <s v="03-07-2026"/>
    <n v="13027"/>
    <s v="1104-01"/>
    <n v="0"/>
    <n v="17990"/>
    <s v="Centralización recaudaciones julio 2026 #5648 - #5648"/>
    <n v="-17990"/>
    <s v="Activo"/>
    <n v="-17990"/>
    <x v="9"/>
  </r>
  <r>
    <n v="2026"/>
    <n v="7"/>
    <s v="03-07-2026"/>
    <n v="13053"/>
    <s v="1104-01"/>
    <n v="0"/>
    <n v="36990"/>
    <s v="Centralización recaudaciones julio 2026 #5674 - #5674"/>
    <n v="-36990"/>
    <s v="Activo"/>
    <n v="-36990"/>
    <x v="9"/>
  </r>
  <r>
    <n v="2026"/>
    <n v="7"/>
    <s v="03-07-2026"/>
    <n v="13060"/>
    <s v="1104-01"/>
    <n v="0"/>
    <n v="34990"/>
    <s v="Centralización recaudaciones julio 2026 #5681 - #5681"/>
    <n v="-34990"/>
    <s v="Activo"/>
    <n v="-34990"/>
    <x v="9"/>
  </r>
  <r>
    <n v="2026"/>
    <n v="7"/>
    <s v="03-07-2026"/>
    <n v="13086"/>
    <s v="1104-01"/>
    <n v="0"/>
    <n v="430276"/>
    <s v="Centralización recaudaciones julio 2026 #5707 - #5707"/>
    <n v="-430276"/>
    <s v="Activo"/>
    <n v="-430276"/>
    <x v="9"/>
  </r>
  <r>
    <n v="2026"/>
    <n v="7"/>
    <s v="03-07-2026"/>
    <n v="13090"/>
    <s v="1104-01"/>
    <n v="0"/>
    <n v="1554071"/>
    <s v="Centralización recaudaciones julio 2026 #5711 - #5711"/>
    <n v="-1554071"/>
    <s v="Activo"/>
    <n v="-1554071"/>
    <x v="9"/>
  </r>
  <r>
    <n v="2026"/>
    <n v="7"/>
    <s v="03-07-2026"/>
    <n v="13108"/>
    <s v="1104-01"/>
    <n v="0"/>
    <n v="29990"/>
    <s v="Centralización recaudaciones julio 2026 #5729 - #5729"/>
    <n v="-29990"/>
    <s v="Activo"/>
    <n v="-29990"/>
    <x v="9"/>
  </r>
  <r>
    <n v="2026"/>
    <n v="7"/>
    <s v="03-07-2026"/>
    <n v="13117"/>
    <s v="1104-01"/>
    <n v="0"/>
    <n v="65438"/>
    <s v="Centralización recaudaciones julio 2026 #5738 - #5738"/>
    <n v="-65438"/>
    <s v="Activo"/>
    <n v="-65438"/>
    <x v="9"/>
  </r>
  <r>
    <n v="2026"/>
    <n v="7"/>
    <s v="03-07-2026"/>
    <n v="13121"/>
    <s v="1104-01"/>
    <n v="0"/>
    <n v="30000"/>
    <s v="Centralización recaudaciones julio 2026 #5742 - #5742"/>
    <n v="-30000"/>
    <s v="Activo"/>
    <n v="-30000"/>
    <x v="9"/>
  </r>
  <r>
    <n v="2026"/>
    <n v="7"/>
    <s v="03-07-2026"/>
    <n v="13123"/>
    <s v="1104-01"/>
    <n v="0"/>
    <n v="14990"/>
    <s v="Centralización recaudaciones julio 2026 #5744 - #5744"/>
    <n v="-14990"/>
    <s v="Activo"/>
    <n v="-14990"/>
    <x v="9"/>
  </r>
  <r>
    <n v="2026"/>
    <n v="7"/>
    <s v="03-07-2026"/>
    <n v="13151"/>
    <s v="1104-01"/>
    <n v="0"/>
    <n v="320462"/>
    <s v="Centralización recaudaciones julio 2026 #5772 - #5772"/>
    <n v="-320462"/>
    <s v="Activo"/>
    <n v="-320462"/>
    <x v="9"/>
  </r>
  <r>
    <n v="2026"/>
    <n v="7"/>
    <s v="03-07-2026"/>
    <n v="13158"/>
    <s v="1104-01"/>
    <n v="0"/>
    <n v="30000"/>
    <s v="Centralización recaudaciones julio 2026 #5779 - #5779"/>
    <n v="-30000"/>
    <s v="Activo"/>
    <n v="-30000"/>
    <x v="9"/>
  </r>
  <r>
    <n v="2026"/>
    <n v="7"/>
    <s v="03-07-2026"/>
    <n v="13159"/>
    <s v="1104-01"/>
    <n v="0"/>
    <n v="16990"/>
    <s v="Centralización recaudaciones julio 2026 #5780 - #5780"/>
    <n v="-16990"/>
    <s v="Activo"/>
    <n v="-16990"/>
    <x v="9"/>
  </r>
  <r>
    <n v="2026"/>
    <n v="7"/>
    <s v="03-07-2026"/>
    <n v="13161"/>
    <s v="1104-01"/>
    <n v="0"/>
    <n v="24990"/>
    <s v="Centralización recaudaciones julio 2026 #5782 - #5782"/>
    <n v="-24990"/>
    <s v="Activo"/>
    <n v="-24990"/>
    <x v="9"/>
  </r>
  <r>
    <n v="2026"/>
    <n v="7"/>
    <s v="03-07-2026"/>
    <n v="13174"/>
    <s v="1104-01"/>
    <n v="0"/>
    <n v="624593"/>
    <s v="Centralización recaudaciones julio 2026 #5795 - #5795"/>
    <n v="-624593"/>
    <s v="Activo"/>
    <n v="-624593"/>
    <x v="9"/>
  </r>
  <r>
    <n v="2026"/>
    <n v="7"/>
    <s v="03-07-2026"/>
    <n v="13177"/>
    <s v="1104-01"/>
    <n v="0"/>
    <n v="38980"/>
    <s v="Centralización recaudaciones julio 2026 #5798 - #5798"/>
    <n v="-38980"/>
    <s v="Activo"/>
    <n v="-38980"/>
    <x v="9"/>
  </r>
  <r>
    <n v="2026"/>
    <n v="7"/>
    <s v="03-07-2026"/>
    <n v="13180"/>
    <s v="1104-01"/>
    <n v="0"/>
    <n v="30000"/>
    <s v="Centralización recaudaciones julio 2026 #5801 - #5801"/>
    <n v="-30000"/>
    <s v="Activo"/>
    <n v="-30000"/>
    <x v="9"/>
  </r>
  <r>
    <n v="2026"/>
    <n v="7"/>
    <s v="03-07-2026"/>
    <n v="13198"/>
    <s v="1104-01"/>
    <n v="0"/>
    <n v="40000"/>
    <s v="Centralización recaudaciones julio 2026 #5819 - #5819"/>
    <n v="-40000"/>
    <s v="Activo"/>
    <n v="-40000"/>
    <x v="9"/>
  </r>
  <r>
    <n v="2026"/>
    <n v="7"/>
    <s v="03-07-2026"/>
    <n v="13210"/>
    <s v="1104-01"/>
    <n v="0"/>
    <n v="163404"/>
    <s v="Centralización recaudaciones julio 2026 #5831 - #5831"/>
    <n v="-163404"/>
    <s v="Activo"/>
    <n v="-163404"/>
    <x v="9"/>
  </r>
  <r>
    <n v="2026"/>
    <n v="7"/>
    <s v="03-07-2026"/>
    <n v="13220"/>
    <s v="1104-01"/>
    <n v="0"/>
    <n v="520000"/>
    <s v="Centralización recaudaciones julio 2026 #5841 - #5841"/>
    <n v="-520000"/>
    <s v="Activo"/>
    <n v="-520000"/>
    <x v="9"/>
  </r>
  <r>
    <n v="2026"/>
    <n v="7"/>
    <s v="03-07-2026"/>
    <n v="13228"/>
    <s v="1104-01"/>
    <n v="0"/>
    <n v="520000"/>
    <s v="Centralización recaudaciones julio 2026 #5849 - #5849"/>
    <n v="-520000"/>
    <s v="Activo"/>
    <n v="-520000"/>
    <x v="9"/>
  </r>
  <r>
    <n v="2026"/>
    <n v="7"/>
    <s v="03-07-2026"/>
    <n v="13242"/>
    <s v="1104-01"/>
    <n v="0"/>
    <n v="2478886"/>
    <s v="Centralización recaudaciones julio 2026 #5863 - #5863"/>
    <n v="-2478886"/>
    <s v="Activo"/>
    <n v="-2478886"/>
    <x v="9"/>
  </r>
  <r>
    <n v="2026"/>
    <n v="7"/>
    <s v="03-07-2026"/>
    <n v="13244"/>
    <s v="1104-01"/>
    <n v="0"/>
    <n v="30000"/>
    <s v="Centralización recaudaciones julio 2026 #5865 - #5865"/>
    <n v="-30000"/>
    <s v="Activo"/>
    <n v="-30000"/>
    <x v="9"/>
  </r>
  <r>
    <n v="2026"/>
    <n v="7"/>
    <s v="03-07-2026"/>
    <n v="13272"/>
    <s v="1104-01"/>
    <n v="0"/>
    <n v="30000"/>
    <s v="Centralización recaudaciones julio 2026 #5893 - #5893"/>
    <n v="-30000"/>
    <s v="Activo"/>
    <n v="-30000"/>
    <x v="9"/>
  </r>
  <r>
    <n v="2026"/>
    <n v="7"/>
    <s v="03-07-2026"/>
    <n v="13273"/>
    <s v="1104-01"/>
    <n v="0"/>
    <n v="30000"/>
    <s v="Centralización recaudaciones julio 2026 #5894 - #5894"/>
    <n v="-30000"/>
    <s v="Activo"/>
    <n v="-30000"/>
    <x v="9"/>
  </r>
  <r>
    <n v="2026"/>
    <n v="7"/>
    <s v="03-07-2026"/>
    <n v="13280"/>
    <s v="1104-01"/>
    <n v="0"/>
    <n v="15000"/>
    <s v="Centralización recaudaciones julio 2026 #5901 - #5901"/>
    <n v="-15000"/>
    <s v="Activo"/>
    <n v="-15000"/>
    <x v="9"/>
  </r>
  <r>
    <n v="2026"/>
    <n v="7"/>
    <s v="03-07-2026"/>
    <n v="13283"/>
    <s v="1104-01"/>
    <n v="0"/>
    <n v="30000"/>
    <s v="Centralización recaudaciones julio 2026 #5904 - #5904"/>
    <n v="-30000"/>
    <s v="Activo"/>
    <n v="-30000"/>
    <x v="9"/>
  </r>
  <r>
    <n v="2026"/>
    <n v="7"/>
    <s v="03-07-2026"/>
    <n v="13288"/>
    <s v="1104-01"/>
    <n v="0"/>
    <n v="14990"/>
    <s v="Centralización recaudaciones julio 2026 #5909 - #5909"/>
    <n v="-14990"/>
    <s v="Activo"/>
    <n v="-14990"/>
    <x v="9"/>
  </r>
  <r>
    <n v="2026"/>
    <n v="7"/>
    <s v="03-07-2026"/>
    <n v="13296"/>
    <s v="1104-01"/>
    <n v="0"/>
    <n v="378420"/>
    <s v="Centralización recaudaciones julio 2026 #5917 - #5917"/>
    <n v="-378420"/>
    <s v="Activo"/>
    <n v="-378420"/>
    <x v="9"/>
  </r>
  <r>
    <n v="2026"/>
    <n v="7"/>
    <s v="03-07-2026"/>
    <n v="13308"/>
    <s v="1104-01"/>
    <n v="0"/>
    <n v="878613"/>
    <s v="Centralización recaudaciones julio 2026 #5929 - #5929"/>
    <n v="-878613"/>
    <s v="Activo"/>
    <n v="-878613"/>
    <x v="9"/>
  </r>
  <r>
    <n v="2026"/>
    <n v="7"/>
    <s v="03-07-2026"/>
    <n v="13317"/>
    <s v="1104-01"/>
    <n v="0"/>
    <n v="710827"/>
    <s v="Centralización recaudaciones julio 2026 #5938 - #5938"/>
    <n v="-710827"/>
    <s v="Activo"/>
    <n v="-710827"/>
    <x v="9"/>
  </r>
  <r>
    <n v="2026"/>
    <n v="7"/>
    <s v="03-07-2026"/>
    <n v="13318"/>
    <s v="1104-01"/>
    <n v="0"/>
    <n v="1332800"/>
    <s v="Centralización recaudaciones julio 2026 #5939 - #5939"/>
    <n v="-1332800"/>
    <s v="Activo"/>
    <n v="-1332800"/>
    <x v="9"/>
  </r>
  <r>
    <n v="2026"/>
    <n v="7"/>
    <s v="03-07-2026"/>
    <n v="13326"/>
    <s v="1104-01"/>
    <n v="0"/>
    <n v="34660"/>
    <s v="Centralización recaudaciones julio 2026 #5947 - #5947"/>
    <n v="-34660"/>
    <s v="Activo"/>
    <n v="-34660"/>
    <x v="9"/>
  </r>
  <r>
    <n v="2026"/>
    <n v="7"/>
    <s v="06-07-2026"/>
    <n v="12617"/>
    <s v="1104-01"/>
    <n v="0"/>
    <n v="16604059"/>
    <s v="Abono clientes boleta"/>
    <n v="-16604059"/>
    <s v="Activo"/>
    <n v="-16604059"/>
    <x v="9"/>
  </r>
  <r>
    <n v="2026"/>
    <n v="7"/>
    <s v="06-07-2026"/>
    <n v="12618"/>
    <s v="1104-01"/>
    <n v="0"/>
    <n v="1777996"/>
    <s v="Abono clientes boleta"/>
    <n v="-1777996"/>
    <s v="Activo"/>
    <n v="-1777996"/>
    <x v="9"/>
  </r>
  <r>
    <n v="2026"/>
    <n v="7"/>
    <s v="06-07-2026"/>
    <n v="12660"/>
    <s v="1104-01"/>
    <n v="0"/>
    <n v="1000"/>
    <s v="Centralización recaudaciones julio 2026 #5289 - #5289"/>
    <n v="-1000"/>
    <s v="Activo"/>
    <n v="-1000"/>
    <x v="9"/>
  </r>
  <r>
    <n v="2026"/>
    <n v="7"/>
    <s v="06-07-2026"/>
    <n v="12663"/>
    <s v="1104-01"/>
    <n v="0"/>
    <n v="74990"/>
    <s v="Centralización recaudaciones julio 2026 #5292 - #5292"/>
    <n v="-74990"/>
    <s v="Activo"/>
    <n v="-74990"/>
    <x v="9"/>
  </r>
  <r>
    <n v="2026"/>
    <n v="7"/>
    <s v="06-07-2026"/>
    <n v="12681"/>
    <s v="1104-01"/>
    <n v="0"/>
    <n v="29990"/>
    <s v="Centralización recaudaciones julio 2026 #5310 - #5310"/>
    <n v="-29990"/>
    <s v="Activo"/>
    <n v="-29990"/>
    <x v="9"/>
  </r>
  <r>
    <n v="2026"/>
    <n v="7"/>
    <s v="06-07-2026"/>
    <n v="12725"/>
    <s v="1104-01"/>
    <n v="0"/>
    <n v="19990"/>
    <s v="Centralización recaudaciones julio 2026 #5351 - #5351"/>
    <n v="-19990"/>
    <s v="Activo"/>
    <n v="-19990"/>
    <x v="9"/>
  </r>
  <r>
    <n v="2026"/>
    <n v="7"/>
    <s v="06-07-2026"/>
    <n v="12730"/>
    <s v="1104-01"/>
    <n v="0"/>
    <n v="40000"/>
    <s v="Centralización recaudaciones julio 2026 #5356 - #5356"/>
    <n v="-40000"/>
    <s v="Activo"/>
    <n v="-40000"/>
    <x v="9"/>
  </r>
  <r>
    <n v="2026"/>
    <n v="7"/>
    <s v="06-07-2026"/>
    <n v="12755"/>
    <s v="1104-01"/>
    <n v="0"/>
    <n v="40000"/>
    <s v="Centralización recaudaciones julio 2026 #5381 - #5381"/>
    <n v="-40000"/>
    <s v="Activo"/>
    <n v="-40000"/>
    <x v="9"/>
  </r>
  <r>
    <n v="2026"/>
    <n v="7"/>
    <s v="06-07-2026"/>
    <n v="12757"/>
    <s v="1104-01"/>
    <n v="0"/>
    <n v="29990"/>
    <s v="Centralización recaudaciones julio 2026 #5383 - #5383"/>
    <n v="-29990"/>
    <s v="Activo"/>
    <n v="-29990"/>
    <x v="9"/>
  </r>
  <r>
    <n v="2026"/>
    <n v="7"/>
    <s v="06-07-2026"/>
    <n v="12760"/>
    <s v="1104-01"/>
    <n v="0"/>
    <n v="29990"/>
    <s v="Centralización recaudaciones julio 2026 #5386 - #5386"/>
    <n v="-29990"/>
    <s v="Activo"/>
    <n v="-29990"/>
    <x v="9"/>
  </r>
  <r>
    <n v="2026"/>
    <n v="7"/>
    <s v="06-07-2026"/>
    <n v="12785"/>
    <s v="1104-01"/>
    <n v="0"/>
    <n v="35000"/>
    <s v="Centralización recaudaciones julio 2026 #5408 - #5408"/>
    <n v="-35000"/>
    <s v="Activo"/>
    <n v="-35000"/>
    <x v="9"/>
  </r>
  <r>
    <n v="2026"/>
    <n v="7"/>
    <s v="06-07-2026"/>
    <n v="12792"/>
    <s v="1104-01"/>
    <n v="0"/>
    <n v="15000"/>
    <s v="Centralización recaudaciones julio 2026 #5415 - #5415"/>
    <n v="-15000"/>
    <s v="Activo"/>
    <n v="-15000"/>
    <x v="9"/>
  </r>
  <r>
    <n v="2026"/>
    <n v="7"/>
    <s v="06-07-2026"/>
    <n v="12798"/>
    <s v="1104-01"/>
    <n v="0"/>
    <n v="50000"/>
    <s v="Centralización recaudaciones julio 2026 #5421 - #5421"/>
    <n v="-50000"/>
    <s v="Activo"/>
    <n v="-50000"/>
    <x v="9"/>
  </r>
  <r>
    <n v="2026"/>
    <n v="7"/>
    <s v="06-07-2026"/>
    <n v="12805"/>
    <s v="1104-01"/>
    <n v="0"/>
    <n v="29990"/>
    <s v="Centralización recaudaciones julio 2026 #5428 - #5428"/>
    <n v="-29990"/>
    <s v="Activo"/>
    <n v="-29990"/>
    <x v="9"/>
  </r>
  <r>
    <n v="2026"/>
    <n v="7"/>
    <s v="06-07-2026"/>
    <n v="12822"/>
    <s v="1104-01"/>
    <n v="0"/>
    <n v="29990"/>
    <s v="Centralización recaudaciones julio 2026 #5445 - #5445"/>
    <n v="-29990"/>
    <s v="Activo"/>
    <n v="-29990"/>
    <x v="9"/>
  </r>
  <r>
    <n v="2026"/>
    <n v="7"/>
    <s v="06-07-2026"/>
    <n v="12823"/>
    <s v="1104-01"/>
    <n v="0"/>
    <n v="59990"/>
    <s v="Centralización recaudaciones julio 2026 #5446 - #5446"/>
    <n v="-59990"/>
    <s v="Activo"/>
    <n v="-59990"/>
    <x v="9"/>
  </r>
  <r>
    <n v="2026"/>
    <n v="7"/>
    <s v="06-07-2026"/>
    <n v="12831"/>
    <s v="1104-01"/>
    <n v="0"/>
    <n v="59990"/>
    <s v="Centralización recaudaciones julio 2026 #5454 - #5454"/>
    <n v="-59990"/>
    <s v="Activo"/>
    <n v="-59990"/>
    <x v="9"/>
  </r>
  <r>
    <n v="2026"/>
    <n v="7"/>
    <s v="06-07-2026"/>
    <n v="12884"/>
    <s v="1104-01"/>
    <n v="0"/>
    <n v="382"/>
    <s v="Centralización recaudaciones julio 2026 #5507 - #5507"/>
    <n v="-382"/>
    <s v="Activo"/>
    <n v="-382"/>
    <x v="9"/>
  </r>
  <r>
    <n v="2026"/>
    <n v="7"/>
    <s v="06-07-2026"/>
    <n v="12896"/>
    <s v="1104-01"/>
    <n v="0"/>
    <n v="29990"/>
    <s v="Centralización recaudaciones julio 2026 #5519 - #5519"/>
    <n v="-29990"/>
    <s v="Activo"/>
    <n v="-29990"/>
    <x v="9"/>
  </r>
  <r>
    <n v="2026"/>
    <n v="7"/>
    <s v="06-07-2026"/>
    <n v="12897"/>
    <s v="1104-01"/>
    <n v="0"/>
    <n v="21990"/>
    <s v="Centralización recaudaciones julio 2026 #5520 - #5520"/>
    <n v="-21990"/>
    <s v="Activo"/>
    <n v="-21990"/>
    <x v="9"/>
  </r>
  <r>
    <n v="2026"/>
    <n v="7"/>
    <s v="06-07-2026"/>
    <n v="12903"/>
    <s v="1104-01"/>
    <n v="0"/>
    <n v="25990"/>
    <s v="Centralización recaudaciones julio 2026 #5526 - #5526"/>
    <n v="-25990"/>
    <s v="Activo"/>
    <n v="-25990"/>
    <x v="9"/>
  </r>
  <r>
    <n v="2026"/>
    <n v="7"/>
    <s v="06-07-2026"/>
    <n v="12905"/>
    <s v="1104-01"/>
    <n v="0"/>
    <n v="38990"/>
    <s v="Centralización recaudaciones julio 2026 #5528 - #5528"/>
    <n v="-38990"/>
    <s v="Activo"/>
    <n v="-38990"/>
    <x v="9"/>
  </r>
  <r>
    <n v="2026"/>
    <n v="7"/>
    <s v="06-07-2026"/>
    <n v="12906"/>
    <s v="1104-01"/>
    <n v="0"/>
    <n v="40000"/>
    <s v="Centralización recaudaciones julio 2026 #5529 - #5529"/>
    <n v="-40000"/>
    <s v="Activo"/>
    <n v="-40000"/>
    <x v="9"/>
  </r>
  <r>
    <n v="2026"/>
    <n v="7"/>
    <s v="06-07-2026"/>
    <n v="12915"/>
    <s v="1104-01"/>
    <n v="0"/>
    <n v="29990"/>
    <s v="Centralización recaudaciones julio 2026 #5536 - #5536"/>
    <n v="-29990"/>
    <s v="Activo"/>
    <n v="-29990"/>
    <x v="9"/>
  </r>
  <r>
    <n v="2026"/>
    <n v="7"/>
    <s v="06-07-2026"/>
    <n v="12921"/>
    <s v="1104-01"/>
    <n v="0"/>
    <n v="32990"/>
    <s v="Centralización recaudaciones julio 2026 #5542 - #5542"/>
    <n v="-32990"/>
    <s v="Activo"/>
    <n v="-32990"/>
    <x v="9"/>
  </r>
  <r>
    <n v="2026"/>
    <n v="7"/>
    <s v="06-07-2026"/>
    <n v="12922"/>
    <s v="1104-01"/>
    <n v="0"/>
    <n v="29990"/>
    <s v="Centralización recaudaciones julio 2026 #5543 - #5543"/>
    <n v="-29990"/>
    <s v="Activo"/>
    <n v="-29990"/>
    <x v="9"/>
  </r>
  <r>
    <n v="2026"/>
    <n v="7"/>
    <s v="06-07-2026"/>
    <n v="12929"/>
    <s v="1104-01"/>
    <n v="0"/>
    <n v="15000"/>
    <s v="Centralización recaudaciones julio 2026 #5550 - #5550"/>
    <n v="-15000"/>
    <s v="Activo"/>
    <n v="-15000"/>
    <x v="9"/>
  </r>
  <r>
    <n v="2026"/>
    <n v="7"/>
    <s v="06-07-2026"/>
    <n v="12931"/>
    <s v="1104-01"/>
    <n v="0"/>
    <n v="14990"/>
    <s v="Centralización recaudaciones julio 2026 #5552 - #5552"/>
    <n v="-14990"/>
    <s v="Activo"/>
    <n v="-14990"/>
    <x v="9"/>
  </r>
  <r>
    <n v="2026"/>
    <n v="7"/>
    <s v="06-07-2026"/>
    <n v="12933"/>
    <s v="1104-01"/>
    <n v="0"/>
    <n v="28990"/>
    <s v="Centralización recaudaciones julio 2026 #5554 - #5554"/>
    <n v="-28990"/>
    <s v="Activo"/>
    <n v="-28990"/>
    <x v="9"/>
  </r>
  <r>
    <n v="2026"/>
    <n v="7"/>
    <s v="06-07-2026"/>
    <n v="12934"/>
    <s v="1104-01"/>
    <n v="0"/>
    <n v="15000"/>
    <s v="Centralización recaudaciones julio 2026 #5555 - #5555"/>
    <n v="-15000"/>
    <s v="Activo"/>
    <n v="-15000"/>
    <x v="9"/>
  </r>
  <r>
    <n v="2026"/>
    <n v="7"/>
    <s v="06-07-2026"/>
    <n v="12937"/>
    <s v="1104-01"/>
    <n v="0"/>
    <n v="10411"/>
    <s v="Centralización recaudaciones julio 2026 #5558 - #5558"/>
    <n v="-10411"/>
    <s v="Activo"/>
    <n v="-10411"/>
    <x v="9"/>
  </r>
  <r>
    <n v="2026"/>
    <n v="7"/>
    <s v="06-07-2026"/>
    <n v="12948"/>
    <s v="1104-01"/>
    <n v="0"/>
    <n v="29990"/>
    <s v="Centralización recaudaciones julio 2026 #5569 - #5569"/>
    <n v="-29990"/>
    <s v="Activo"/>
    <n v="-29990"/>
    <x v="9"/>
  </r>
  <r>
    <n v="2026"/>
    <n v="7"/>
    <s v="06-07-2026"/>
    <n v="12952"/>
    <s v="1104-01"/>
    <n v="0"/>
    <n v="29990"/>
    <s v="Centralización recaudaciones julio 2026 #5573 - #5573"/>
    <n v="-29990"/>
    <s v="Activo"/>
    <n v="-29990"/>
    <x v="9"/>
  </r>
  <r>
    <n v="2026"/>
    <n v="7"/>
    <s v="06-07-2026"/>
    <n v="12960"/>
    <s v="1104-01"/>
    <n v="0"/>
    <n v="389"/>
    <s v="Centralización recaudaciones julio 2026 #5581 - #5581"/>
    <n v="-389"/>
    <s v="Activo"/>
    <n v="-389"/>
    <x v="9"/>
  </r>
  <r>
    <n v="2026"/>
    <n v="7"/>
    <s v="06-07-2026"/>
    <n v="12964"/>
    <s v="1104-01"/>
    <n v="0"/>
    <n v="29990"/>
    <s v="Centralización recaudaciones julio 2026 #5585 - #5585"/>
    <n v="-29990"/>
    <s v="Activo"/>
    <n v="-29990"/>
    <x v="9"/>
  </r>
  <r>
    <n v="2026"/>
    <n v="7"/>
    <s v="06-07-2026"/>
    <n v="12972"/>
    <s v="1104-01"/>
    <n v="0"/>
    <n v="29990"/>
    <s v="Centralización recaudaciones julio 2026 #5593 - #5593"/>
    <n v="-29990"/>
    <s v="Activo"/>
    <n v="-29990"/>
    <x v="9"/>
  </r>
  <r>
    <n v="2026"/>
    <n v="7"/>
    <s v="06-07-2026"/>
    <n v="12973"/>
    <s v="1104-01"/>
    <n v="0"/>
    <n v="33990"/>
    <s v="Centralización recaudaciones julio 2026 #5594 - #5594"/>
    <n v="-33990"/>
    <s v="Activo"/>
    <n v="-33990"/>
    <x v="9"/>
  </r>
  <r>
    <n v="2026"/>
    <n v="7"/>
    <s v="06-07-2026"/>
    <n v="12975"/>
    <s v="1104-01"/>
    <n v="0"/>
    <n v="37990"/>
    <s v="Centralización recaudaciones julio 2026 #5596 - #5596"/>
    <n v="-37990"/>
    <s v="Activo"/>
    <n v="-37990"/>
    <x v="9"/>
  </r>
  <r>
    <n v="2026"/>
    <n v="7"/>
    <s v="06-07-2026"/>
    <n v="12980"/>
    <s v="1104-01"/>
    <n v="0"/>
    <n v="40960"/>
    <s v="Centralización recaudaciones julio 2026 #5601 - #5601"/>
    <n v="-40960"/>
    <s v="Activo"/>
    <n v="-40960"/>
    <x v="9"/>
  </r>
  <r>
    <n v="2026"/>
    <n v="7"/>
    <s v="06-07-2026"/>
    <n v="12991"/>
    <s v="1104-01"/>
    <n v="0"/>
    <n v="29990"/>
    <s v="Centralización recaudaciones julio 2026 #5612 - #5612"/>
    <n v="-29990"/>
    <s v="Activo"/>
    <n v="-29990"/>
    <x v="9"/>
  </r>
  <r>
    <n v="2026"/>
    <n v="7"/>
    <s v="06-07-2026"/>
    <n v="12995"/>
    <s v="1104-01"/>
    <n v="0"/>
    <n v="15000"/>
    <s v="Centralización recaudaciones julio 2026 #5616 - #5616"/>
    <n v="-15000"/>
    <s v="Activo"/>
    <n v="-15000"/>
    <x v="9"/>
  </r>
  <r>
    <n v="2026"/>
    <n v="7"/>
    <s v="06-07-2026"/>
    <n v="13004"/>
    <s v="1104-01"/>
    <n v="0"/>
    <n v="34000"/>
    <s v="Centralización recaudaciones julio 2026 #5625 - #5625"/>
    <n v="-34000"/>
    <s v="Activo"/>
    <n v="-34000"/>
    <x v="9"/>
  </r>
  <r>
    <n v="2026"/>
    <n v="7"/>
    <s v="06-07-2026"/>
    <n v="13088"/>
    <s v="1104-01"/>
    <n v="0"/>
    <n v="816776"/>
    <s v="Centralización recaudaciones julio 2026 #5709 - #5709"/>
    <n v="-816776"/>
    <s v="Activo"/>
    <n v="-816776"/>
    <x v="9"/>
  </r>
  <r>
    <n v="2026"/>
    <n v="7"/>
    <s v="06-07-2026"/>
    <n v="13100"/>
    <s v="1104-01"/>
    <n v="0"/>
    <n v="53224"/>
    <s v="Centralización recaudaciones julio 2026 #5721 - #5721"/>
    <n v="-53224"/>
    <s v="Activo"/>
    <n v="-53224"/>
    <x v="9"/>
  </r>
  <r>
    <n v="2026"/>
    <n v="7"/>
    <s v="06-07-2026"/>
    <n v="13114"/>
    <s v="1104-01"/>
    <n v="0"/>
    <n v="64000"/>
    <s v="Centralización recaudaciones julio 2026 #5735 - #5735"/>
    <n v="-64000"/>
    <s v="Activo"/>
    <n v="-64000"/>
    <x v="9"/>
  </r>
  <r>
    <n v="2026"/>
    <n v="7"/>
    <s v="06-07-2026"/>
    <n v="13143"/>
    <s v="1104-01"/>
    <n v="0"/>
    <n v="14990"/>
    <s v="Centralización recaudaciones julio 2026 #5764 - #5764"/>
    <n v="-14990"/>
    <s v="Activo"/>
    <n v="-14990"/>
    <x v="9"/>
  </r>
  <r>
    <n v="2026"/>
    <n v="7"/>
    <s v="06-07-2026"/>
    <n v="13156"/>
    <s v="1104-01"/>
    <n v="0"/>
    <n v="17990"/>
    <s v="Centralización recaudaciones julio 2026 #5777 - #5777"/>
    <n v="-17990"/>
    <s v="Activo"/>
    <n v="-17990"/>
    <x v="9"/>
  </r>
  <r>
    <n v="2026"/>
    <n v="7"/>
    <s v="06-07-2026"/>
    <n v="13197"/>
    <s v="1104-01"/>
    <n v="0"/>
    <n v="59980"/>
    <s v="Centralización recaudaciones julio 2026 #5818 - #5818"/>
    <n v="-59980"/>
    <s v="Activo"/>
    <n v="-59980"/>
    <x v="9"/>
  </r>
  <r>
    <n v="2026"/>
    <n v="7"/>
    <s v="06-07-2026"/>
    <n v="13221"/>
    <s v="1104-01"/>
    <n v="0"/>
    <n v="520000"/>
    <s v="Centralización recaudaciones julio 2026 #5842 - #5842"/>
    <n v="-520000"/>
    <s v="Activo"/>
    <n v="-520000"/>
    <x v="9"/>
  </r>
  <r>
    <n v="2026"/>
    <n v="7"/>
    <s v="06-07-2026"/>
    <n v="13246"/>
    <s v="1104-01"/>
    <n v="0"/>
    <n v="17990"/>
    <s v="Centralización recaudaciones julio 2026 #5867 - #5867"/>
    <n v="-17990"/>
    <s v="Activo"/>
    <n v="-17990"/>
    <x v="9"/>
  </r>
  <r>
    <n v="2026"/>
    <n v="7"/>
    <s v="06-07-2026"/>
    <n v="13249"/>
    <s v="1104-01"/>
    <n v="0"/>
    <n v="799186"/>
    <s v="Centralización recaudaciones julio 2026 #5870 - #5870"/>
    <n v="-799186"/>
    <s v="Activo"/>
    <n v="-799186"/>
    <x v="9"/>
  </r>
  <r>
    <n v="2026"/>
    <n v="7"/>
    <s v="06-07-2026"/>
    <n v="13252"/>
    <s v="1104-01"/>
    <n v="0"/>
    <n v="40000"/>
    <s v="Centralización recaudaciones julio 2026 #5873 - #5873"/>
    <n v="-40000"/>
    <s v="Activo"/>
    <n v="-40000"/>
    <x v="9"/>
  </r>
  <r>
    <n v="2026"/>
    <n v="7"/>
    <s v="06-07-2026"/>
    <n v="13289"/>
    <s v="1104-01"/>
    <n v="0"/>
    <n v="19000"/>
    <s v="Centralización recaudaciones julio 2026 #5910 - #5910"/>
    <n v="-19000"/>
    <s v="Activo"/>
    <n v="-19000"/>
    <x v="9"/>
  </r>
  <r>
    <n v="2026"/>
    <n v="7"/>
    <s v="06-07-2026"/>
    <n v="13292"/>
    <s v="1104-01"/>
    <n v="0"/>
    <n v="29990"/>
    <s v="Centralización recaudaciones julio 2026 #5913 - #5913"/>
    <n v="-29990"/>
    <s v="Activo"/>
    <n v="-29990"/>
    <x v="9"/>
  </r>
  <r>
    <n v="2026"/>
    <n v="7"/>
    <s v="06-07-2026"/>
    <n v="13299"/>
    <s v="1104-01"/>
    <n v="0"/>
    <n v="30000"/>
    <s v="Centralización recaudaciones julio 2026 #5920 - #5920"/>
    <n v="-30000"/>
    <s v="Activo"/>
    <n v="-30000"/>
    <x v="9"/>
  </r>
  <r>
    <n v="2026"/>
    <n v="7"/>
    <s v="06-07-2026"/>
    <n v="13302"/>
    <s v="1104-01"/>
    <n v="0"/>
    <n v="29990"/>
    <s v="Centralización recaudaciones julio 2026 #5923 - #5923"/>
    <n v="-29990"/>
    <s v="Activo"/>
    <n v="-29990"/>
    <x v="9"/>
  </r>
  <r>
    <n v="2026"/>
    <n v="7"/>
    <s v="06-07-2026"/>
    <n v="13303"/>
    <s v="1104-01"/>
    <n v="0"/>
    <n v="30000"/>
    <s v="Centralización recaudaciones julio 2026 #5924 - #5924"/>
    <n v="-30000"/>
    <s v="Activo"/>
    <n v="-30000"/>
    <x v="9"/>
  </r>
  <r>
    <n v="2026"/>
    <n v="7"/>
    <s v="06-07-2026"/>
    <n v="13307"/>
    <s v="1104-01"/>
    <n v="0"/>
    <n v="40000"/>
    <s v="Centralización recaudaciones julio 2026 #5928 - #5928"/>
    <n v="-40000"/>
    <s v="Activo"/>
    <n v="-40000"/>
    <x v="9"/>
  </r>
  <r>
    <n v="2026"/>
    <n v="7"/>
    <s v="06-07-2026"/>
    <n v="13315"/>
    <s v="1104-01"/>
    <n v="0"/>
    <n v="30000"/>
    <s v="Centralización recaudaciones julio 2026 #5936 - #5936"/>
    <n v="-30000"/>
    <s v="Activo"/>
    <n v="-30000"/>
    <x v="9"/>
  </r>
  <r>
    <n v="2026"/>
    <n v="7"/>
    <s v="06-07-2026"/>
    <n v="13331"/>
    <s v="1104-01"/>
    <n v="0"/>
    <n v="28991"/>
    <s v="Centralización recaudaciones julio 2026 #5952 - #5952"/>
    <n v="-28991"/>
    <s v="Activo"/>
    <n v="-28991"/>
    <x v="9"/>
  </r>
  <r>
    <n v="2026"/>
    <n v="7"/>
    <s v="07-07-2026"/>
    <n v="12619"/>
    <s v="1104-01"/>
    <n v="0"/>
    <n v="15508633"/>
    <s v="Abono clientes boleta"/>
    <n v="-15508633"/>
    <s v="Activo"/>
    <n v="-15508633"/>
    <x v="9"/>
  </r>
  <r>
    <n v="2026"/>
    <n v="7"/>
    <s v="07-07-2026"/>
    <n v="12620"/>
    <s v="1104-01"/>
    <n v="0"/>
    <n v="551894"/>
    <s v="Abono clientes boleta"/>
    <n v="-551894"/>
    <s v="Activo"/>
    <n v="-551894"/>
    <x v="9"/>
  </r>
  <r>
    <n v="2026"/>
    <n v="7"/>
    <s v="07-07-2026"/>
    <n v="12665"/>
    <s v="1104-01"/>
    <n v="0"/>
    <n v="244900"/>
    <s v="Centralización recaudaciones julio 2026 #5294 - #5294"/>
    <n v="-244900"/>
    <s v="Activo"/>
    <n v="-244900"/>
    <x v="9"/>
  </r>
  <r>
    <n v="2026"/>
    <n v="7"/>
    <s v="07-07-2026"/>
    <n v="12718"/>
    <s v="1104-01"/>
    <n v="0"/>
    <n v="59980"/>
    <s v="Centralización recaudaciones julio 2026 #5281 - #5281"/>
    <n v="-59980"/>
    <s v="Activo"/>
    <n v="-59980"/>
    <x v="9"/>
  </r>
  <r>
    <n v="2026"/>
    <n v="7"/>
    <s v="07-07-2026"/>
    <n v="12758"/>
    <s v="1104-01"/>
    <n v="0"/>
    <n v="59980"/>
    <s v="Centralización recaudaciones julio 2026 #5384 - #5384"/>
    <n v="-59980"/>
    <s v="Activo"/>
    <n v="-59980"/>
    <x v="9"/>
  </r>
  <r>
    <n v="2026"/>
    <n v="7"/>
    <s v="07-07-2026"/>
    <n v="12772"/>
    <s v="1104-01"/>
    <n v="0"/>
    <n v="14000"/>
    <s v="Centralización recaudaciones julio 2026 #5398 - #5398"/>
    <n v="-14000"/>
    <s v="Activo"/>
    <n v="-14000"/>
    <x v="9"/>
  </r>
  <r>
    <n v="2026"/>
    <n v="7"/>
    <s v="07-07-2026"/>
    <n v="12789"/>
    <s v="1104-01"/>
    <n v="0"/>
    <n v="134351"/>
    <s v="Centralización recaudaciones julio 2026 #5412 - #5412"/>
    <n v="-134351"/>
    <s v="Activo"/>
    <n v="-134351"/>
    <x v="9"/>
  </r>
  <r>
    <n v="2026"/>
    <n v="7"/>
    <s v="07-07-2026"/>
    <n v="12791"/>
    <s v="1104-01"/>
    <n v="0"/>
    <n v="50000"/>
    <s v="Centralización recaudaciones julio 2026 #5414 - #5414"/>
    <n v="-50000"/>
    <s v="Activo"/>
    <n v="-50000"/>
    <x v="9"/>
  </r>
  <r>
    <n v="2026"/>
    <n v="7"/>
    <s v="07-07-2026"/>
    <n v="12867"/>
    <s v="1104-01"/>
    <n v="0"/>
    <n v="1390269"/>
    <s v="Centralización recaudaciones julio 2026 #5490 - #5490"/>
    <n v="-1390269"/>
    <s v="Activo"/>
    <n v="-1390269"/>
    <x v="9"/>
  </r>
  <r>
    <n v="2026"/>
    <n v="7"/>
    <s v="07-07-2026"/>
    <n v="12898"/>
    <s v="1104-01"/>
    <n v="0"/>
    <n v="21990"/>
    <s v="Centralización recaudaciones julio 2026 #5521 - #5521"/>
    <n v="-21990"/>
    <s v="Activo"/>
    <n v="-21990"/>
    <x v="9"/>
  </r>
  <r>
    <n v="2026"/>
    <n v="7"/>
    <s v="07-07-2026"/>
    <n v="12911"/>
    <s v="1104-01"/>
    <n v="0"/>
    <n v="38990"/>
    <s v="Centralización recaudaciones julio 2026 #5532 - #5532"/>
    <n v="-38990"/>
    <s v="Activo"/>
    <n v="-38990"/>
    <x v="9"/>
  </r>
  <r>
    <n v="2026"/>
    <n v="7"/>
    <s v="07-07-2026"/>
    <n v="12932"/>
    <s v="1104-01"/>
    <n v="0"/>
    <n v="5000"/>
    <s v="Centralización recaudaciones julio 2026 #5553 - #5553"/>
    <n v="-5000"/>
    <s v="Activo"/>
    <n v="-5000"/>
    <x v="9"/>
  </r>
  <r>
    <n v="2026"/>
    <n v="7"/>
    <s v="07-07-2026"/>
    <n v="12939"/>
    <s v="1104-01"/>
    <n v="0"/>
    <n v="17990"/>
    <s v="Centralización recaudaciones julio 2026 #5560 - #5560"/>
    <n v="-17990"/>
    <s v="Activo"/>
    <n v="-17990"/>
    <x v="9"/>
  </r>
  <r>
    <n v="2026"/>
    <n v="7"/>
    <s v="07-07-2026"/>
    <n v="12946"/>
    <s v="1104-01"/>
    <n v="0"/>
    <n v="29990"/>
    <s v="Centralización recaudaciones julio 2026 #5567 - #5567"/>
    <n v="-29990"/>
    <s v="Activo"/>
    <n v="-29990"/>
    <x v="9"/>
  </r>
  <r>
    <n v="2026"/>
    <n v="7"/>
    <s v="07-07-2026"/>
    <n v="12957"/>
    <s v="1104-01"/>
    <n v="0"/>
    <n v="19990"/>
    <s v="Centralización recaudaciones julio 2026 #5578 - #5578"/>
    <n v="-19990"/>
    <s v="Activo"/>
    <n v="-19990"/>
    <x v="9"/>
  </r>
  <r>
    <n v="2026"/>
    <n v="7"/>
    <s v="07-07-2026"/>
    <n v="12961"/>
    <s v="1104-01"/>
    <n v="0"/>
    <n v="601"/>
    <s v="Centralización recaudaciones julio 2026 #5582 - #5582"/>
    <n v="-601"/>
    <s v="Activo"/>
    <n v="-601"/>
    <x v="9"/>
  </r>
  <r>
    <n v="2026"/>
    <n v="7"/>
    <s v="07-07-2026"/>
    <n v="12963"/>
    <s v="1104-01"/>
    <n v="0"/>
    <n v="38990"/>
    <s v="Centralización recaudaciones julio 2026 #5584 - #5584"/>
    <n v="-38990"/>
    <s v="Activo"/>
    <n v="-38990"/>
    <x v="9"/>
  </r>
  <r>
    <n v="2026"/>
    <n v="7"/>
    <s v="07-07-2026"/>
    <n v="12969"/>
    <s v="1104-01"/>
    <n v="0"/>
    <n v="74990"/>
    <s v="Centralización recaudaciones julio 2026 #5590 - #5590"/>
    <n v="-74990"/>
    <s v="Activo"/>
    <n v="-74990"/>
    <x v="9"/>
  </r>
  <r>
    <n v="2026"/>
    <n v="7"/>
    <s v="07-07-2026"/>
    <n v="12974"/>
    <s v="1104-01"/>
    <n v="0"/>
    <n v="1000"/>
    <s v="Centralización recaudaciones julio 2026 #5595 - #5595"/>
    <n v="-1000"/>
    <s v="Activo"/>
    <n v="-1000"/>
    <x v="9"/>
  </r>
  <r>
    <n v="2026"/>
    <n v="7"/>
    <s v="07-07-2026"/>
    <n v="12987"/>
    <s v="1104-01"/>
    <n v="0"/>
    <n v="15000"/>
    <s v="Centralización recaudaciones julio 2026 #5608 - #5608"/>
    <n v="-15000"/>
    <s v="Activo"/>
    <n v="-15000"/>
    <x v="9"/>
  </r>
  <r>
    <n v="2026"/>
    <n v="7"/>
    <s v="07-07-2026"/>
    <n v="13005"/>
    <s v="1104-01"/>
    <n v="0"/>
    <n v="303"/>
    <s v="Centralización recaudaciones julio 2026 #5626 - #5626"/>
    <n v="-303"/>
    <s v="Activo"/>
    <n v="-303"/>
    <x v="9"/>
  </r>
  <r>
    <n v="2026"/>
    <n v="7"/>
    <s v="07-07-2026"/>
    <n v="13014"/>
    <s v="1104-01"/>
    <n v="0"/>
    <n v="32990"/>
    <s v="Centralización recaudaciones julio 2026 #5635 - #5635"/>
    <n v="-32990"/>
    <s v="Activo"/>
    <n v="-32990"/>
    <x v="9"/>
  </r>
  <r>
    <n v="2026"/>
    <n v="7"/>
    <s v="07-07-2026"/>
    <n v="13015"/>
    <s v="1104-01"/>
    <n v="0"/>
    <n v="29990"/>
    <s v="Centralización recaudaciones julio 2026 #5636 - #5636"/>
    <n v="-29990"/>
    <s v="Activo"/>
    <n v="-29990"/>
    <x v="9"/>
  </r>
  <r>
    <n v="2026"/>
    <n v="7"/>
    <s v="07-07-2026"/>
    <n v="13052"/>
    <s v="1104-01"/>
    <n v="0"/>
    <n v="34990"/>
    <s v="Centralización recaudaciones julio 2026 #5673 - #5673"/>
    <n v="-34990"/>
    <s v="Activo"/>
    <n v="-34990"/>
    <x v="9"/>
  </r>
  <r>
    <n v="2026"/>
    <n v="7"/>
    <s v="07-07-2026"/>
    <n v="13063"/>
    <s v="1104-01"/>
    <n v="0"/>
    <n v="14990"/>
    <s v="Centralización recaudaciones julio 2026 #5684 - #5684"/>
    <n v="-14990"/>
    <s v="Activo"/>
    <n v="-14990"/>
    <x v="9"/>
  </r>
  <r>
    <n v="2026"/>
    <n v="7"/>
    <s v="07-07-2026"/>
    <n v="13120"/>
    <s v="1104-01"/>
    <n v="0"/>
    <n v="21990"/>
    <s v="Centralización recaudaciones julio 2026 #5741 - #5741"/>
    <n v="-21990"/>
    <s v="Activo"/>
    <n v="-21990"/>
    <x v="9"/>
  </r>
  <r>
    <n v="2026"/>
    <n v="7"/>
    <s v="07-07-2026"/>
    <n v="13155"/>
    <s v="1104-01"/>
    <n v="0"/>
    <n v="111399"/>
    <s v="Centralización recaudaciones julio 2026 #5776 - #5776"/>
    <n v="-111399"/>
    <s v="Activo"/>
    <n v="-111399"/>
    <x v="9"/>
  </r>
  <r>
    <n v="2026"/>
    <n v="7"/>
    <s v="07-07-2026"/>
    <n v="13165"/>
    <s v="1104-01"/>
    <n v="0"/>
    <n v="14990"/>
    <s v="Centralización recaudaciones julio 2026 #5786 - #5786"/>
    <n v="-14990"/>
    <s v="Activo"/>
    <n v="-14990"/>
    <x v="9"/>
  </r>
  <r>
    <n v="2026"/>
    <n v="7"/>
    <s v="07-07-2026"/>
    <n v="13196"/>
    <s v="1104-01"/>
    <n v="0"/>
    <n v="28990"/>
    <s v="Centralización recaudaciones julio 2026 #5817 - #5817"/>
    <n v="-28990"/>
    <s v="Activo"/>
    <n v="-28990"/>
    <x v="9"/>
  </r>
  <r>
    <n v="2026"/>
    <n v="7"/>
    <s v="07-07-2026"/>
    <n v="13201"/>
    <s v="1104-01"/>
    <n v="0"/>
    <n v="21990"/>
    <s v="Centralización recaudaciones julio 2026 #5822 - #5822"/>
    <n v="-21990"/>
    <s v="Activo"/>
    <n v="-21990"/>
    <x v="9"/>
  </r>
  <r>
    <n v="2026"/>
    <n v="7"/>
    <s v="07-07-2026"/>
    <n v="13211"/>
    <s v="1104-01"/>
    <n v="0"/>
    <n v="36954"/>
    <s v="Centralización recaudaciones julio 2026 #5832 - #5832"/>
    <n v="-36954"/>
    <s v="Activo"/>
    <n v="-36954"/>
    <x v="9"/>
  </r>
  <r>
    <n v="2026"/>
    <n v="7"/>
    <s v="07-07-2026"/>
    <n v="13237"/>
    <s v="1104-01"/>
    <n v="0"/>
    <n v="2192981"/>
    <s v="Centralización recaudaciones julio 2026 #5858 - #5858"/>
    <n v="-2192981"/>
    <s v="Activo"/>
    <n v="-2192981"/>
    <x v="9"/>
  </r>
  <r>
    <n v="2026"/>
    <n v="7"/>
    <s v="07-07-2026"/>
    <n v="13239"/>
    <s v="1104-01"/>
    <n v="0"/>
    <n v="40000"/>
    <s v="Centralización recaudaciones julio 2026 #5860 - #5860"/>
    <n v="-40000"/>
    <s v="Activo"/>
    <n v="-40000"/>
    <x v="9"/>
  </r>
  <r>
    <n v="2026"/>
    <n v="7"/>
    <s v="07-07-2026"/>
    <n v="13282"/>
    <s v="1104-01"/>
    <n v="0"/>
    <n v="29990"/>
    <s v="Centralización recaudaciones julio 2026 #5903 - #5903"/>
    <n v="-29990"/>
    <s v="Activo"/>
    <n v="-29990"/>
    <x v="9"/>
  </r>
  <r>
    <n v="2026"/>
    <n v="7"/>
    <s v="07-07-2026"/>
    <n v="13320"/>
    <s v="1104-01"/>
    <n v="0"/>
    <n v="45496"/>
    <s v="Centralización recaudaciones julio 2026 #5941 - #5941"/>
    <n v="-45496"/>
    <s v="Activo"/>
    <n v="-45496"/>
    <x v="9"/>
  </r>
  <r>
    <n v="2026"/>
    <n v="7"/>
    <s v="08-07-2026"/>
    <n v="12621"/>
    <s v="1104-01"/>
    <n v="0"/>
    <n v="10059392"/>
    <s v="Abono clientes boleta"/>
    <n v="-10059392"/>
    <s v="Activo"/>
    <n v="-10059392"/>
    <x v="9"/>
  </r>
  <r>
    <n v="2026"/>
    <n v="7"/>
    <s v="08-07-2026"/>
    <n v="12622"/>
    <s v="1104-01"/>
    <n v="0"/>
    <n v="711977"/>
    <s v="Abono clientes boleta"/>
    <n v="-711977"/>
    <s v="Activo"/>
    <n v="-711977"/>
    <x v="9"/>
  </r>
  <r>
    <n v="2026"/>
    <n v="7"/>
    <s v="08-07-2026"/>
    <n v="12766"/>
    <s v="1104-01"/>
    <n v="0"/>
    <n v="40000"/>
    <s v="Centralización recaudaciones julio 2026 #5392 - #5392"/>
    <n v="-40000"/>
    <s v="Activo"/>
    <n v="-40000"/>
    <x v="9"/>
  </r>
  <r>
    <n v="2026"/>
    <n v="7"/>
    <s v="08-07-2026"/>
    <n v="12773"/>
    <s v="1104-01"/>
    <n v="0"/>
    <n v="7900"/>
    <s v="Centralización recaudaciones julio 2026 #5399 - #5399"/>
    <n v="-7900"/>
    <s v="Activo"/>
    <n v="-7900"/>
    <x v="9"/>
  </r>
  <r>
    <n v="2026"/>
    <n v="7"/>
    <s v="08-07-2026"/>
    <n v="12793"/>
    <s v="1104-01"/>
    <n v="0"/>
    <n v="4000"/>
    <s v="Centralización recaudaciones julio 2026 #5416 - #5416"/>
    <n v="-4000"/>
    <s v="Activo"/>
    <n v="-4000"/>
    <x v="9"/>
  </r>
  <r>
    <n v="2026"/>
    <n v="7"/>
    <s v="08-07-2026"/>
    <n v="12811"/>
    <s v="1104-01"/>
    <n v="0"/>
    <n v="90000"/>
    <s v="Centralización recaudaciones julio 2026 #5434 - #5434"/>
    <n v="-90000"/>
    <s v="Activo"/>
    <n v="-90000"/>
    <x v="9"/>
  </r>
  <r>
    <n v="2026"/>
    <n v="7"/>
    <s v="08-07-2026"/>
    <n v="12920"/>
    <s v="1104-01"/>
    <n v="0"/>
    <n v="21990"/>
    <s v="Centralización recaudaciones julio 2026 #5541 - #5541"/>
    <n v="-21990"/>
    <s v="Activo"/>
    <n v="-21990"/>
    <x v="9"/>
  </r>
  <r>
    <n v="2026"/>
    <n v="7"/>
    <s v="08-07-2026"/>
    <n v="12924"/>
    <s v="1104-01"/>
    <n v="0"/>
    <n v="21990"/>
    <s v="Centralización recaudaciones julio 2026 #5545 - #5545"/>
    <n v="-21990"/>
    <s v="Activo"/>
    <n v="-21990"/>
    <x v="9"/>
  </r>
  <r>
    <n v="2026"/>
    <n v="7"/>
    <s v="08-07-2026"/>
    <n v="12930"/>
    <s v="1104-01"/>
    <n v="0"/>
    <n v="4990"/>
    <s v="Centralización recaudaciones julio 2026 #5551 - #5551"/>
    <n v="-4990"/>
    <s v="Activo"/>
    <n v="-4990"/>
    <x v="9"/>
  </r>
  <r>
    <n v="2026"/>
    <n v="7"/>
    <s v="08-07-2026"/>
    <n v="12935"/>
    <s v="1104-01"/>
    <n v="0"/>
    <n v="4990"/>
    <s v="Centralización recaudaciones julio 2026 #5556 - #5556"/>
    <n v="-4990"/>
    <s v="Activo"/>
    <n v="-4990"/>
    <x v="9"/>
  </r>
  <r>
    <n v="2026"/>
    <n v="7"/>
    <s v="08-07-2026"/>
    <n v="12940"/>
    <s v="1104-01"/>
    <n v="0"/>
    <n v="2000"/>
    <s v="Centralización recaudaciones julio 2026 #5561 - #5561"/>
    <n v="-2000"/>
    <s v="Activo"/>
    <n v="-2000"/>
    <x v="9"/>
  </r>
  <r>
    <n v="2026"/>
    <n v="7"/>
    <s v="08-07-2026"/>
    <n v="12949"/>
    <s v="1104-01"/>
    <n v="0"/>
    <n v="24990"/>
    <s v="Centralización recaudaciones julio 2026 #5570 - #5570"/>
    <n v="-24990"/>
    <s v="Activo"/>
    <n v="-24990"/>
    <x v="9"/>
  </r>
  <r>
    <n v="2026"/>
    <n v="7"/>
    <s v="08-07-2026"/>
    <n v="12983"/>
    <s v="1104-01"/>
    <n v="0"/>
    <n v="21990"/>
    <s v="Centralización recaudaciones julio 2026 #5604 - #5604"/>
    <n v="-21990"/>
    <s v="Activo"/>
    <n v="-21990"/>
    <x v="9"/>
  </r>
  <r>
    <n v="2026"/>
    <n v="7"/>
    <s v="08-07-2026"/>
    <n v="12984"/>
    <s v="1104-01"/>
    <n v="0"/>
    <n v="21990"/>
    <s v="Centralización recaudaciones julio 2026 #5605 - #5605"/>
    <n v="-21990"/>
    <s v="Activo"/>
    <n v="-21990"/>
    <x v="9"/>
  </r>
  <r>
    <n v="2026"/>
    <n v="7"/>
    <s v="08-07-2026"/>
    <n v="12988"/>
    <s v="1104-01"/>
    <n v="0"/>
    <n v="4990"/>
    <s v="Centralización recaudaciones julio 2026 #5609 - #5609"/>
    <n v="-4990"/>
    <s v="Activo"/>
    <n v="-4990"/>
    <x v="9"/>
  </r>
  <r>
    <n v="2026"/>
    <n v="7"/>
    <s v="08-07-2026"/>
    <n v="12989"/>
    <s v="1104-01"/>
    <n v="0"/>
    <n v="28990"/>
    <s v="Centralización recaudaciones julio 2026 #5610 - #5610"/>
    <n v="-28990"/>
    <s v="Activo"/>
    <n v="-28990"/>
    <x v="9"/>
  </r>
  <r>
    <n v="2026"/>
    <n v="7"/>
    <s v="08-07-2026"/>
    <n v="12996"/>
    <s v="1104-01"/>
    <n v="0"/>
    <n v="4990"/>
    <s v="Centralización recaudaciones julio 2026 #5617 - #5617"/>
    <n v="-4990"/>
    <s v="Activo"/>
    <n v="-4990"/>
    <x v="9"/>
  </r>
  <r>
    <n v="2026"/>
    <n v="7"/>
    <s v="08-07-2026"/>
    <n v="13003"/>
    <s v="1104-01"/>
    <n v="0"/>
    <n v="29990"/>
    <s v="Centralización recaudaciones julio 2026 #5624 - #5624"/>
    <n v="-29990"/>
    <s v="Activo"/>
    <n v="-29990"/>
    <x v="9"/>
  </r>
  <r>
    <n v="2026"/>
    <n v="7"/>
    <s v="08-07-2026"/>
    <n v="13006"/>
    <s v="1104-01"/>
    <n v="0"/>
    <n v="687"/>
    <s v="Centralización recaudaciones julio 2026 #5627 - #5627"/>
    <n v="-687"/>
    <s v="Activo"/>
    <n v="-687"/>
    <x v="9"/>
  </r>
  <r>
    <n v="2026"/>
    <n v="7"/>
    <s v="08-07-2026"/>
    <n v="13011"/>
    <s v="1104-01"/>
    <n v="0"/>
    <n v="49990"/>
    <s v="Centralización recaudaciones julio 2026 #5632 - #5632"/>
    <n v="-49990"/>
    <s v="Activo"/>
    <n v="-49990"/>
    <x v="9"/>
  </r>
  <r>
    <n v="2026"/>
    <n v="7"/>
    <s v="08-07-2026"/>
    <n v="13018"/>
    <s v="1104-01"/>
    <n v="0"/>
    <n v="21990"/>
    <s v="Centralización recaudaciones julio 2026 #5639 - #5639"/>
    <n v="-21990"/>
    <s v="Activo"/>
    <n v="-21990"/>
    <x v="9"/>
  </r>
  <r>
    <n v="2026"/>
    <n v="7"/>
    <s v="08-07-2026"/>
    <n v="13030"/>
    <s v="1104-01"/>
    <n v="0"/>
    <n v="70000"/>
    <s v="Centralización recaudaciones julio 2026 #5651 - #5651"/>
    <n v="-70000"/>
    <s v="Activo"/>
    <n v="-70000"/>
    <x v="9"/>
  </r>
  <r>
    <n v="2026"/>
    <n v="7"/>
    <s v="08-07-2026"/>
    <n v="13032"/>
    <s v="1104-01"/>
    <n v="0"/>
    <n v="22990"/>
    <s v="Centralización recaudaciones julio 2026 #5653 - #5653"/>
    <n v="-22990"/>
    <s v="Activo"/>
    <n v="-22990"/>
    <x v="9"/>
  </r>
  <r>
    <n v="2026"/>
    <n v="7"/>
    <s v="08-07-2026"/>
    <n v="13033"/>
    <s v="1104-01"/>
    <n v="0"/>
    <n v="29990"/>
    <s v="Centralización recaudaciones julio 2026 #5654 - #5654"/>
    <n v="-29990"/>
    <s v="Activo"/>
    <n v="-29990"/>
    <x v="9"/>
  </r>
  <r>
    <n v="2026"/>
    <n v="7"/>
    <s v="08-07-2026"/>
    <n v="13034"/>
    <s v="1104-01"/>
    <n v="0"/>
    <n v="21990"/>
    <s v="Centralización recaudaciones julio 2026 #5655 - #5655"/>
    <n v="-21990"/>
    <s v="Activo"/>
    <n v="-21990"/>
    <x v="9"/>
  </r>
  <r>
    <n v="2026"/>
    <n v="7"/>
    <s v="08-07-2026"/>
    <n v="13037"/>
    <s v="1104-01"/>
    <n v="0"/>
    <n v="28990"/>
    <s v="Centralización recaudaciones julio 2026 #5658 - #5658"/>
    <n v="-28990"/>
    <s v="Activo"/>
    <n v="-28990"/>
    <x v="9"/>
  </r>
  <r>
    <n v="2026"/>
    <n v="7"/>
    <s v="08-07-2026"/>
    <n v="13045"/>
    <s v="1104-01"/>
    <n v="0"/>
    <n v="7328"/>
    <s v="Centralización recaudaciones julio 2026 #5666 - #5666"/>
    <n v="-7328"/>
    <s v="Activo"/>
    <n v="-7328"/>
    <x v="9"/>
  </r>
  <r>
    <n v="2026"/>
    <n v="7"/>
    <s v="08-07-2026"/>
    <n v="13051"/>
    <s v="1104-01"/>
    <n v="0"/>
    <n v="46990"/>
    <s v="Centralización recaudaciones julio 2026 #5672 - #5672"/>
    <n v="-46990"/>
    <s v="Activo"/>
    <n v="-46990"/>
    <x v="9"/>
  </r>
  <r>
    <n v="2026"/>
    <n v="7"/>
    <s v="08-07-2026"/>
    <n v="13062"/>
    <s v="1104-01"/>
    <n v="0"/>
    <n v="34990"/>
    <s v="Centralización recaudaciones julio 2026 #5683 - #5683"/>
    <n v="-34990"/>
    <s v="Activo"/>
    <n v="-34990"/>
    <x v="9"/>
  </r>
  <r>
    <n v="2026"/>
    <n v="7"/>
    <s v="08-07-2026"/>
    <n v="13064"/>
    <s v="1104-01"/>
    <n v="0"/>
    <n v="5000"/>
    <s v="Centralización recaudaciones julio 2026 #5685 - #5685"/>
    <n v="-5000"/>
    <s v="Activo"/>
    <n v="-5000"/>
    <x v="9"/>
  </r>
  <r>
    <n v="2026"/>
    <n v="7"/>
    <s v="08-07-2026"/>
    <n v="13079"/>
    <s v="1104-01"/>
    <n v="0"/>
    <n v="29990"/>
    <s v="Centralización recaudaciones julio 2026 #5700 - #5700"/>
    <n v="-29990"/>
    <s v="Activo"/>
    <n v="-29990"/>
    <x v="9"/>
  </r>
  <r>
    <n v="2026"/>
    <n v="7"/>
    <s v="08-07-2026"/>
    <n v="13084"/>
    <s v="1104-01"/>
    <n v="0"/>
    <n v="29990"/>
    <s v="Centralización recaudaciones julio 2026 #5705 - #5705"/>
    <n v="-29990"/>
    <s v="Activo"/>
    <n v="-29990"/>
    <x v="9"/>
  </r>
  <r>
    <n v="2026"/>
    <n v="7"/>
    <s v="08-07-2026"/>
    <n v="13087"/>
    <s v="1104-01"/>
    <n v="0"/>
    <n v="2135"/>
    <s v="Centralización recaudaciones julio 2026 #5708 - #5708"/>
    <n v="-2135"/>
    <s v="Activo"/>
    <n v="-2135"/>
    <x v="9"/>
  </r>
  <r>
    <n v="2026"/>
    <n v="7"/>
    <s v="08-07-2026"/>
    <n v="13101"/>
    <s v="1104-01"/>
    <n v="0"/>
    <n v="1766"/>
    <s v="Centralización recaudaciones julio 2026 #5722 - #5722"/>
    <n v="-1766"/>
    <s v="Activo"/>
    <n v="-1766"/>
    <x v="9"/>
  </r>
  <r>
    <n v="2026"/>
    <n v="7"/>
    <s v="08-07-2026"/>
    <n v="13110"/>
    <s v="1104-01"/>
    <n v="0"/>
    <n v="46638"/>
    <s v="Centralización recaudaciones julio 2026 #5731 - #5731"/>
    <n v="-46638"/>
    <s v="Activo"/>
    <n v="-46638"/>
    <x v="9"/>
  </r>
  <r>
    <n v="2026"/>
    <n v="7"/>
    <s v="08-07-2026"/>
    <n v="13115"/>
    <s v="1104-01"/>
    <n v="0"/>
    <n v="990"/>
    <s v="Centralización recaudaciones julio 2026 #5736 - #5736"/>
    <n v="-990"/>
    <s v="Activo"/>
    <n v="-990"/>
    <x v="9"/>
  </r>
  <r>
    <n v="2026"/>
    <n v="7"/>
    <s v="08-07-2026"/>
    <n v="13124"/>
    <s v="1104-01"/>
    <n v="0"/>
    <n v="3000"/>
    <s v="Centralización recaudaciones julio 2026 #5745 - #5745"/>
    <n v="-3000"/>
    <s v="Activo"/>
    <n v="-3000"/>
    <x v="9"/>
  </r>
  <r>
    <n v="2026"/>
    <n v="7"/>
    <s v="08-07-2026"/>
    <n v="13125"/>
    <s v="1104-01"/>
    <n v="0"/>
    <n v="29990"/>
    <s v="Centralización recaudaciones julio 2026 #5746 - #5746"/>
    <n v="-29990"/>
    <s v="Activo"/>
    <n v="-29990"/>
    <x v="9"/>
  </r>
  <r>
    <n v="2026"/>
    <n v="7"/>
    <s v="08-07-2026"/>
    <n v="13126"/>
    <s v="1104-01"/>
    <n v="0"/>
    <n v="35000"/>
    <s v="Centralización recaudaciones julio 2026 #5747 - #5747"/>
    <n v="-35000"/>
    <s v="Activo"/>
    <n v="-35000"/>
    <x v="9"/>
  </r>
  <r>
    <n v="2026"/>
    <n v="7"/>
    <s v="08-07-2026"/>
    <n v="13144"/>
    <s v="1104-01"/>
    <n v="0"/>
    <n v="5000"/>
    <s v="Centralización recaudaciones julio 2026 #5765 - #5765"/>
    <n v="-5000"/>
    <s v="Activo"/>
    <n v="-5000"/>
    <x v="9"/>
  </r>
  <r>
    <n v="2026"/>
    <n v="7"/>
    <s v="08-07-2026"/>
    <n v="13157"/>
    <s v="1104-01"/>
    <n v="0"/>
    <n v="2000"/>
    <s v="Centralización recaudaciones julio 2026 #5778 - #5778"/>
    <n v="-2000"/>
    <s v="Activo"/>
    <n v="-2000"/>
    <x v="9"/>
  </r>
  <r>
    <n v="2026"/>
    <n v="7"/>
    <s v="08-07-2026"/>
    <n v="13166"/>
    <s v="1104-01"/>
    <n v="0"/>
    <n v="6910"/>
    <s v="Centralización recaudaciones julio 2026 #5787 - #5787"/>
    <n v="-6910"/>
    <s v="Activo"/>
    <n v="-6910"/>
    <x v="9"/>
  </r>
  <r>
    <n v="2026"/>
    <n v="7"/>
    <s v="08-07-2026"/>
    <n v="13186"/>
    <s v="1104-01"/>
    <n v="0"/>
    <n v="29738"/>
    <s v="Centralización recaudaciones julio 2026 #5807 - #5807"/>
    <n v="-29738"/>
    <s v="Activo"/>
    <n v="-29738"/>
    <x v="9"/>
  </r>
  <r>
    <n v="2026"/>
    <n v="7"/>
    <s v="08-07-2026"/>
    <n v="13214"/>
    <s v="1104-01"/>
    <n v="0"/>
    <n v="24990"/>
    <s v="Centralización recaudaciones julio 2026 #5835 - #5835"/>
    <n v="-24990"/>
    <s v="Activo"/>
    <n v="-24990"/>
    <x v="9"/>
  </r>
  <r>
    <n v="2026"/>
    <n v="7"/>
    <s v="08-07-2026"/>
    <n v="13219"/>
    <s v="1104-01"/>
    <n v="0"/>
    <n v="34990"/>
    <s v="Centralización recaudaciones julio 2026 #5840 - #5840"/>
    <n v="-34990"/>
    <s v="Activo"/>
    <n v="-34990"/>
    <x v="9"/>
  </r>
  <r>
    <n v="2026"/>
    <n v="7"/>
    <s v="08-07-2026"/>
    <n v="13263"/>
    <s v="1104-01"/>
    <n v="0"/>
    <n v="192183"/>
    <s v="Centralización recaudaciones julio 2026 #5884 - #5884"/>
    <n v="-192183"/>
    <s v="Activo"/>
    <n v="-192183"/>
    <x v="9"/>
  </r>
  <r>
    <n v="2026"/>
    <n v="7"/>
    <s v="08-07-2026"/>
    <n v="13276"/>
    <s v="1104-01"/>
    <n v="0"/>
    <n v="1706000"/>
    <s v="Centralización recaudaciones julio 2026 #5897 - #5897"/>
    <n v="-1706000"/>
    <s v="Activo"/>
    <n v="-1706000"/>
    <x v="9"/>
  </r>
  <r>
    <n v="2026"/>
    <n v="7"/>
    <s v="08-07-2026"/>
    <n v="13281"/>
    <s v="1104-01"/>
    <n v="0"/>
    <n v="2838"/>
    <s v="Centralización recaudaciones julio 2026 #5902 - #5902"/>
    <n v="-2838"/>
    <s v="Activo"/>
    <n v="-2838"/>
    <x v="9"/>
  </r>
  <r>
    <n v="2026"/>
    <n v="7"/>
    <s v="08-07-2026"/>
    <n v="13285"/>
    <s v="1104-01"/>
    <n v="0"/>
    <n v="29750"/>
    <s v="Centralización recaudaciones julio 2026 #5906 - #5906"/>
    <n v="-29750"/>
    <s v="Activo"/>
    <n v="-29750"/>
    <x v="9"/>
  </r>
  <r>
    <n v="2026"/>
    <n v="7"/>
    <s v="08-07-2026"/>
    <n v="13304"/>
    <s v="1104-01"/>
    <n v="0"/>
    <n v="36990"/>
    <s v="Centralización recaudaciones julio 2026 #5925 - #5925"/>
    <n v="-36990"/>
    <s v="Activo"/>
    <n v="-36990"/>
    <x v="9"/>
  </r>
  <r>
    <n v="2026"/>
    <n v="7"/>
    <s v="08-07-2026"/>
    <n v="13325"/>
    <s v="1104-01"/>
    <n v="0"/>
    <n v="21990"/>
    <s v="Centralización recaudaciones julio 2026 #5946 - #5946"/>
    <n v="-21990"/>
    <s v="Activo"/>
    <n v="-21990"/>
    <x v="9"/>
  </r>
  <r>
    <n v="2026"/>
    <n v="7"/>
    <s v="08-07-2026"/>
    <n v="13329"/>
    <s v="1104-01"/>
    <n v="0"/>
    <n v="60000"/>
    <s v="Centralización recaudaciones julio 2026 #5950 - #5950"/>
    <n v="-60000"/>
    <s v="Activo"/>
    <n v="-60000"/>
    <x v="9"/>
  </r>
  <r>
    <n v="2026"/>
    <n v="7"/>
    <s v="09-07-2026"/>
    <n v="12623"/>
    <s v="1104-01"/>
    <n v="0"/>
    <n v="12866231"/>
    <s v="Abono clientes boleta"/>
    <n v="-12866231"/>
    <s v="Activo"/>
    <n v="-12866231"/>
    <x v="9"/>
  </r>
  <r>
    <n v="2026"/>
    <n v="7"/>
    <s v="09-07-2026"/>
    <n v="12624"/>
    <s v="1104-01"/>
    <n v="0"/>
    <n v="1168785"/>
    <s v="Abono clientes boleta"/>
    <n v="-1168785"/>
    <s v="Activo"/>
    <n v="-1168785"/>
    <x v="9"/>
  </r>
  <r>
    <n v="2026"/>
    <n v="7"/>
    <s v="09-07-2026"/>
    <n v="12804"/>
    <s v="1104-01"/>
    <n v="0"/>
    <n v="40000"/>
    <s v="Centralización recaudaciones julio 2026 #5427 - #5427"/>
    <n v="-40000"/>
    <s v="Activo"/>
    <n v="-40000"/>
    <x v="9"/>
  </r>
  <r>
    <n v="2026"/>
    <n v="7"/>
    <s v="09-07-2026"/>
    <n v="12830"/>
    <s v="1104-01"/>
    <n v="0"/>
    <n v="50000"/>
    <s v="Centralización recaudaciones julio 2026 #5453 - #5453"/>
    <n v="-50000"/>
    <s v="Activo"/>
    <n v="-50000"/>
    <x v="9"/>
  </r>
  <r>
    <n v="2026"/>
    <n v="7"/>
    <s v="09-07-2026"/>
    <n v="12873"/>
    <s v="1104-01"/>
    <n v="0"/>
    <n v="288274"/>
    <s v="Centralización recaudaciones julio 2026 #5496 - #5496"/>
    <n v="-288274"/>
    <s v="Activo"/>
    <n v="-288274"/>
    <x v="9"/>
  </r>
  <r>
    <n v="2026"/>
    <n v="7"/>
    <s v="09-07-2026"/>
    <n v="12881"/>
    <s v="1104-01"/>
    <n v="0"/>
    <n v="61980"/>
    <s v="Centralización recaudaciones julio 2026 #5504 - #5504"/>
    <n v="-61980"/>
    <s v="Activo"/>
    <n v="-61980"/>
    <x v="9"/>
  </r>
  <r>
    <n v="2026"/>
    <n v="7"/>
    <s v="09-07-2026"/>
    <n v="12907"/>
    <s v="1104-01"/>
    <n v="0"/>
    <n v="60980"/>
    <s v="Centralización recaudaciones julio 2026 #5530 - #5530"/>
    <n v="-60980"/>
    <s v="Activo"/>
    <n v="-60980"/>
    <x v="9"/>
  </r>
  <r>
    <n v="2026"/>
    <n v="7"/>
    <s v="09-07-2026"/>
    <n v="12928"/>
    <s v="1104-01"/>
    <n v="0"/>
    <n v="59980"/>
    <s v="Centralización recaudaciones julio 2026 #5549 - #5549"/>
    <n v="-59980"/>
    <s v="Activo"/>
    <n v="-59980"/>
    <x v="9"/>
  </r>
  <r>
    <n v="2026"/>
    <n v="7"/>
    <s v="09-07-2026"/>
    <n v="12956"/>
    <s v="1104-01"/>
    <n v="0"/>
    <n v="24990"/>
    <s v="Centralización recaudaciones julio 2026 #5577 - #5577"/>
    <n v="-24990"/>
    <s v="Activo"/>
    <n v="-24990"/>
    <x v="9"/>
  </r>
  <r>
    <n v="2026"/>
    <n v="7"/>
    <s v="09-07-2026"/>
    <n v="12981"/>
    <s v="1104-01"/>
    <n v="0"/>
    <n v="40000"/>
    <s v="Centralización recaudaciones julio 2026 #5602 - #5602"/>
    <n v="-40000"/>
    <s v="Activo"/>
    <n v="-40000"/>
    <x v="9"/>
  </r>
  <r>
    <n v="2026"/>
    <n v="7"/>
    <s v="09-07-2026"/>
    <n v="13038"/>
    <s v="1104-01"/>
    <n v="0"/>
    <n v="35000"/>
    <s v="Centralización recaudaciones julio 2026 #5659 - #5659"/>
    <n v="-35000"/>
    <s v="Activo"/>
    <n v="-35000"/>
    <x v="9"/>
  </r>
  <r>
    <n v="2026"/>
    <n v="7"/>
    <s v="09-07-2026"/>
    <n v="13040"/>
    <s v="1104-01"/>
    <n v="0"/>
    <n v="15000"/>
    <s v="Centralización recaudaciones julio 2026 #5661 - #5661"/>
    <n v="-15000"/>
    <s v="Activo"/>
    <n v="-15000"/>
    <x v="9"/>
  </r>
  <r>
    <n v="2026"/>
    <n v="7"/>
    <s v="09-07-2026"/>
    <n v="13046"/>
    <s v="1104-01"/>
    <n v="0"/>
    <n v="14662"/>
    <s v="Centralización recaudaciones julio 2026 #5667 - #5667"/>
    <n v="-14662"/>
    <s v="Activo"/>
    <n v="-14662"/>
    <x v="9"/>
  </r>
  <r>
    <n v="2026"/>
    <n v="7"/>
    <s v="09-07-2026"/>
    <n v="13072"/>
    <s v="1104-01"/>
    <n v="0"/>
    <n v="28990"/>
    <s v="Centralización recaudaciones julio 2026 #5693 - #5693"/>
    <n v="-28990"/>
    <s v="Activo"/>
    <n v="-28990"/>
    <x v="9"/>
  </r>
  <r>
    <n v="2026"/>
    <n v="7"/>
    <s v="09-07-2026"/>
    <n v="13077"/>
    <s v="1104-01"/>
    <n v="0"/>
    <n v="2983"/>
    <s v="Centralización recaudaciones julio 2026 #5698 - #5698"/>
    <n v="-2983"/>
    <s v="Activo"/>
    <n v="-2983"/>
    <x v="9"/>
  </r>
  <r>
    <n v="2026"/>
    <n v="7"/>
    <s v="09-07-2026"/>
    <n v="13081"/>
    <s v="1104-01"/>
    <n v="0"/>
    <n v="28990"/>
    <s v="Centralización recaudaciones julio 2026 #5702 - #5702"/>
    <n v="-28990"/>
    <s v="Activo"/>
    <n v="-28990"/>
    <x v="9"/>
  </r>
  <r>
    <n v="2026"/>
    <n v="7"/>
    <s v="09-07-2026"/>
    <n v="13091"/>
    <s v="1104-01"/>
    <n v="0"/>
    <n v="206324"/>
    <s v="Centralización recaudaciones julio 2026 #5712 - #5712"/>
    <n v="-206324"/>
    <s v="Activo"/>
    <n v="-206324"/>
    <x v="9"/>
  </r>
  <r>
    <n v="2026"/>
    <n v="7"/>
    <s v="09-07-2026"/>
    <n v="13096"/>
    <s v="1104-01"/>
    <n v="0"/>
    <n v="15000"/>
    <s v="Centralización recaudaciones julio 2026 #5717 - #5717"/>
    <n v="-15000"/>
    <s v="Activo"/>
    <n v="-15000"/>
    <x v="9"/>
  </r>
  <r>
    <n v="2026"/>
    <n v="7"/>
    <s v="09-07-2026"/>
    <n v="13129"/>
    <s v="1104-01"/>
    <n v="0"/>
    <n v="19039"/>
    <s v="Centralización recaudaciones julio 2026 #5750 - #5750"/>
    <n v="-19039"/>
    <s v="Activo"/>
    <n v="-19039"/>
    <x v="9"/>
  </r>
  <r>
    <n v="2026"/>
    <n v="7"/>
    <s v="09-07-2026"/>
    <n v="13138"/>
    <s v="1104-01"/>
    <n v="0"/>
    <n v="18129"/>
    <s v="Centralización recaudaciones julio 2026 #5759 - #5759"/>
    <n v="-18129"/>
    <s v="Activo"/>
    <n v="-18129"/>
    <x v="9"/>
  </r>
  <r>
    <n v="2026"/>
    <n v="7"/>
    <s v="09-07-2026"/>
    <n v="13164"/>
    <s v="1104-01"/>
    <n v="0"/>
    <n v="21990"/>
    <s v="Centralización recaudaciones julio 2026 #5785 - #5785"/>
    <n v="-21990"/>
    <s v="Activo"/>
    <n v="-21990"/>
    <x v="9"/>
  </r>
  <r>
    <n v="2026"/>
    <n v="7"/>
    <s v="09-07-2026"/>
    <n v="13185"/>
    <s v="1104-01"/>
    <n v="0"/>
    <n v="367813"/>
    <s v="Centralización recaudaciones julio 2026 #5806 - #5806"/>
    <n v="-367813"/>
    <s v="Activo"/>
    <n v="-367813"/>
    <x v="9"/>
  </r>
  <r>
    <n v="2026"/>
    <n v="7"/>
    <s v="09-07-2026"/>
    <n v="13188"/>
    <s v="1104-01"/>
    <n v="0"/>
    <n v="21990"/>
    <s v="Centralización recaudaciones julio 2026 #5809 - #5809"/>
    <n v="-21990"/>
    <s v="Activo"/>
    <n v="-21990"/>
    <x v="9"/>
  </r>
  <r>
    <n v="2026"/>
    <n v="7"/>
    <s v="09-07-2026"/>
    <n v="13192"/>
    <s v="1104-01"/>
    <n v="0"/>
    <n v="17036"/>
    <s v="Centralización recaudaciones julio 2026 #5813 - #5813"/>
    <n v="-17036"/>
    <s v="Activo"/>
    <n v="-17036"/>
    <x v="9"/>
  </r>
  <r>
    <n v="2026"/>
    <n v="7"/>
    <s v="09-07-2026"/>
    <n v="13204"/>
    <s v="1104-01"/>
    <n v="0"/>
    <n v="110000"/>
    <s v="Centralización recaudaciones julio 2026 #5825 - #5825"/>
    <n v="-110000"/>
    <s v="Activo"/>
    <n v="-110000"/>
    <x v="9"/>
  </r>
  <r>
    <n v="2026"/>
    <n v="7"/>
    <s v="09-07-2026"/>
    <n v="13207"/>
    <s v="1104-01"/>
    <n v="0"/>
    <n v="14990"/>
    <s v="Centralización recaudaciones julio 2026 #5828 - #5828"/>
    <n v="-14990"/>
    <s v="Activo"/>
    <n v="-14990"/>
    <x v="9"/>
  </r>
  <r>
    <n v="2026"/>
    <n v="7"/>
    <s v="09-07-2026"/>
    <n v="13268"/>
    <s v="1104-01"/>
    <n v="0"/>
    <n v="576548"/>
    <s v="Centralización recaudaciones julio 2026 #5889 - #5889"/>
    <n v="-576548"/>
    <s v="Activo"/>
    <n v="-576548"/>
    <x v="9"/>
  </r>
  <r>
    <n v="2026"/>
    <n v="7"/>
    <s v="10-07-2026"/>
    <n v="12625"/>
    <s v="1104-01"/>
    <n v="0"/>
    <n v="10457473"/>
    <s v="Abono clientes boleta"/>
    <n v="-10457473"/>
    <s v="Activo"/>
    <n v="-10457473"/>
    <x v="9"/>
  </r>
  <r>
    <n v="2026"/>
    <n v="7"/>
    <s v="10-07-2026"/>
    <n v="12626"/>
    <s v="1104-01"/>
    <n v="0"/>
    <n v="126937"/>
    <s v="Abono clientes boleta"/>
    <n v="-126937"/>
    <s v="Activo"/>
    <n v="-126937"/>
    <x v="9"/>
  </r>
  <r>
    <n v="2026"/>
    <n v="7"/>
    <s v="10-07-2026"/>
    <n v="12669"/>
    <s v="1104-01"/>
    <n v="0"/>
    <n v="59880"/>
    <s v="Centralización recaudaciones julio 2026 #5298 - #5298"/>
    <n v="-59880"/>
    <s v="Activo"/>
    <n v="-59880"/>
    <x v="9"/>
  </r>
  <r>
    <n v="2026"/>
    <n v="7"/>
    <s v="10-07-2026"/>
    <n v="12783"/>
    <s v="1104-01"/>
    <n v="0"/>
    <n v="576239"/>
    <s v="Centralización recaudaciones julio 2026 #5406 - #5406"/>
    <n v="-576239"/>
    <s v="Activo"/>
    <n v="-576239"/>
    <x v="9"/>
  </r>
  <r>
    <n v="2026"/>
    <n v="7"/>
    <s v="10-07-2026"/>
    <n v="12814"/>
    <s v="1104-01"/>
    <n v="0"/>
    <n v="354"/>
    <s v="Centralización recaudaciones julio 2026 #5437 - #5437"/>
    <n v="-354"/>
    <s v="Activo"/>
    <n v="-354"/>
    <x v="9"/>
  </r>
  <r>
    <n v="2026"/>
    <n v="7"/>
    <s v="10-07-2026"/>
    <n v="12947"/>
    <s v="1104-01"/>
    <n v="0"/>
    <n v="26990"/>
    <s v="Centralización recaudaciones julio 2026 #5568 - #5568"/>
    <n v="-26990"/>
    <s v="Activo"/>
    <n v="-26990"/>
    <x v="9"/>
  </r>
  <r>
    <n v="2026"/>
    <n v="7"/>
    <s v="10-07-2026"/>
    <n v="13041"/>
    <s v="1104-01"/>
    <n v="0"/>
    <n v="6990"/>
    <s v="Centralización recaudaciones julio 2026 #5662 - #5662"/>
    <n v="-6990"/>
    <s v="Activo"/>
    <n v="-6990"/>
    <x v="9"/>
  </r>
  <r>
    <n v="2026"/>
    <n v="7"/>
    <s v="10-07-2026"/>
    <n v="13078"/>
    <s v="1104-01"/>
    <n v="0"/>
    <n v="429427"/>
    <s v="Centralización recaudaciones julio 2026 #5699 - #5699"/>
    <n v="-429427"/>
    <s v="Activo"/>
    <n v="-429427"/>
    <x v="9"/>
  </r>
  <r>
    <n v="2026"/>
    <n v="7"/>
    <s v="10-07-2026"/>
    <n v="13097"/>
    <s v="1104-01"/>
    <n v="0"/>
    <n v="6990"/>
    <s v="Centralización recaudaciones julio 2026 #5718 - #5718"/>
    <n v="-6990"/>
    <s v="Activo"/>
    <n v="-6990"/>
    <x v="9"/>
  </r>
  <r>
    <n v="2026"/>
    <n v="7"/>
    <s v="10-07-2026"/>
    <n v="13130"/>
    <s v="1104-01"/>
    <n v="0"/>
    <n v="2951"/>
    <s v="Centralización recaudaciones julio 2026 #5751 - #5751"/>
    <n v="-2951"/>
    <s v="Activo"/>
    <n v="-2951"/>
    <x v="9"/>
  </r>
  <r>
    <n v="2026"/>
    <n v="7"/>
    <s v="10-07-2026"/>
    <n v="13139"/>
    <s v="1104-01"/>
    <n v="0"/>
    <n v="1159"/>
    <s v="Centralización recaudaciones julio 2026 #5760 - #5760"/>
    <n v="-1159"/>
    <s v="Activo"/>
    <n v="-1159"/>
    <x v="9"/>
  </r>
  <r>
    <n v="2026"/>
    <n v="7"/>
    <s v="10-07-2026"/>
    <n v="13191"/>
    <s v="1104-01"/>
    <n v="0"/>
    <n v="28990"/>
    <s v="Centralización recaudaciones julio 2026 #5812 - #5812"/>
    <n v="-28990"/>
    <s v="Activo"/>
    <n v="-28990"/>
    <x v="9"/>
  </r>
  <r>
    <n v="2026"/>
    <n v="7"/>
    <s v="10-07-2026"/>
    <n v="13208"/>
    <s v="1104-01"/>
    <n v="0"/>
    <n v="7000"/>
    <s v="Centralización recaudaciones julio 2026 #5829 - #5829"/>
    <n v="-7000"/>
    <s v="Activo"/>
    <n v="-7000"/>
    <x v="9"/>
  </r>
  <r>
    <n v="2026"/>
    <n v="7"/>
    <s v="10-07-2026"/>
    <n v="13215"/>
    <s v="1104-01"/>
    <n v="0"/>
    <n v="48000"/>
    <s v="Centralización recaudaciones julio 2026 #5836 - #5836"/>
    <n v="-48000"/>
    <s v="Activo"/>
    <n v="-48000"/>
    <x v="9"/>
  </r>
  <r>
    <n v="2026"/>
    <n v="7"/>
    <s v="10-07-2026"/>
    <n v="13231"/>
    <s v="1104-01"/>
    <n v="0"/>
    <n v="336320"/>
    <s v="Centralización recaudaciones julio 2026 #5852 - #5852"/>
    <n v="-336320"/>
    <s v="Activo"/>
    <n v="-336320"/>
    <x v="9"/>
  </r>
  <r>
    <n v="2026"/>
    <n v="7"/>
    <s v="13-07-2026"/>
    <n v="12627"/>
    <s v="1104-01"/>
    <n v="0"/>
    <n v="2935023"/>
    <s v="Abono clientes boleta"/>
    <n v="-2935023"/>
    <s v="Activo"/>
    <n v="-2935023"/>
    <x v="9"/>
  </r>
  <r>
    <n v="2026"/>
    <n v="7"/>
    <s v="13-07-2026"/>
    <n v="12628"/>
    <s v="1104-01"/>
    <n v="0"/>
    <n v="44436"/>
    <s v="Abono clientes boleta"/>
    <n v="-44436"/>
    <s v="Activo"/>
    <n v="-44436"/>
    <x v="9"/>
  </r>
  <r>
    <n v="2026"/>
    <n v="7"/>
    <s v="13-07-2026"/>
    <n v="12863"/>
    <s v="1104-01"/>
    <n v="0"/>
    <n v="275415"/>
    <s v="Centralización recaudaciones julio 2026 #5486 - #5486"/>
    <n v="-275415"/>
    <s v="Activo"/>
    <n v="-275415"/>
    <x v="9"/>
  </r>
  <r>
    <n v="2026"/>
    <n v="7"/>
    <s v="13-07-2026"/>
    <n v="12874"/>
    <s v="1104-01"/>
    <n v="0"/>
    <n v="573405"/>
    <s v="Centralización recaudaciones julio 2026 #5497 - #5497"/>
    <n v="-573405"/>
    <s v="Activo"/>
    <n v="-573405"/>
    <x v="9"/>
  </r>
  <r>
    <n v="2026"/>
    <n v="7"/>
    <s v="13-07-2026"/>
    <n v="12951"/>
    <s v="1104-01"/>
    <n v="0"/>
    <n v="31990"/>
    <s v="Centralización recaudaciones julio 2026 #5572 - #5572"/>
    <n v="-31990"/>
    <s v="Activo"/>
    <n v="-31990"/>
    <x v="9"/>
  </r>
  <r>
    <n v="2026"/>
    <n v="7"/>
    <s v="13-07-2026"/>
    <n v="12985"/>
    <s v="1104-01"/>
    <n v="0"/>
    <n v="336320"/>
    <s v="Centralización recaudaciones julio 2026 #5606 - #5606"/>
    <n v="-336320"/>
    <s v="Activo"/>
    <n v="-336320"/>
    <x v="9"/>
  </r>
  <r>
    <n v="2026"/>
    <n v="7"/>
    <s v="13-07-2026"/>
    <n v="13042"/>
    <s v="1104-01"/>
    <n v="0"/>
    <n v="17990"/>
    <s v="Centralización recaudaciones julio 2026 #5663 - #5663"/>
    <n v="-17990"/>
    <s v="Activo"/>
    <n v="-17990"/>
    <x v="9"/>
  </r>
  <r>
    <n v="2026"/>
    <n v="7"/>
    <s v="13-07-2026"/>
    <n v="13085"/>
    <s v="1104-01"/>
    <n v="0"/>
    <n v="28990"/>
    <s v="Centralización recaudaciones julio 2026 #5706 - #5706"/>
    <n v="-28990"/>
    <s v="Activo"/>
    <n v="-28990"/>
    <x v="9"/>
  </r>
  <r>
    <n v="2026"/>
    <n v="7"/>
    <s v="13-07-2026"/>
    <n v="13140"/>
    <s v="1104-01"/>
    <n v="0"/>
    <n v="1018"/>
    <s v="Centralización recaudaciones julio 2026 #5761 - #5761"/>
    <n v="-1018"/>
    <s v="Activo"/>
    <n v="-1018"/>
    <x v="9"/>
  </r>
  <r>
    <n v="2026"/>
    <n v="7"/>
    <s v="13-07-2026"/>
    <n v="13183"/>
    <s v="1104-01"/>
    <n v="0"/>
    <n v="28990"/>
    <s v="Centralización recaudaciones julio 2026 #5804 - #5804"/>
    <n v="-28990"/>
    <s v="Activo"/>
    <n v="-28990"/>
    <x v="9"/>
  </r>
  <r>
    <n v="2026"/>
    <n v="7"/>
    <s v="13-07-2026"/>
    <n v="13217"/>
    <s v="1104-01"/>
    <n v="0"/>
    <n v="208250"/>
    <s v="Centralización recaudaciones julio 2026 #5838 - #5838"/>
    <n v="-208250"/>
    <s v="Activo"/>
    <n v="-208250"/>
    <x v="9"/>
  </r>
  <r>
    <n v="2026"/>
    <n v="7"/>
    <s v="13-07-2026"/>
    <n v="13224"/>
    <s v="1104-01"/>
    <n v="0"/>
    <n v="54990"/>
    <s v="Centralización recaudaciones julio 2026 #5845 - #5845"/>
    <n v="-54990"/>
    <s v="Activo"/>
    <n v="-54990"/>
    <x v="9"/>
  </r>
  <r>
    <n v="2026"/>
    <n v="7"/>
    <s v="13-07-2026"/>
    <n v="13235"/>
    <s v="1104-01"/>
    <n v="0"/>
    <n v="15000"/>
    <s v="Centralización recaudaciones julio 2026 #5856 - #5856"/>
    <n v="-15000"/>
    <s v="Activo"/>
    <n v="-15000"/>
    <x v="9"/>
  </r>
  <r>
    <n v="2026"/>
    <n v="7"/>
    <s v="13-07-2026"/>
    <n v="13238"/>
    <s v="1104-01"/>
    <n v="0"/>
    <n v="28990"/>
    <s v="Centralización recaudaciones julio 2026 #5859 - #5859"/>
    <n v="-28990"/>
    <s v="Activo"/>
    <n v="-28990"/>
    <x v="9"/>
  </r>
  <r>
    <n v="2026"/>
    <n v="7"/>
    <s v="13-07-2026"/>
    <n v="13254"/>
    <s v="1104-01"/>
    <n v="0"/>
    <n v="14990"/>
    <s v="Centralización recaudaciones julio 2026 #5875 - #5875"/>
    <n v="-14990"/>
    <s v="Activo"/>
    <n v="-14990"/>
    <x v="9"/>
  </r>
  <r>
    <n v="2026"/>
    <n v="7"/>
    <s v="13-07-2026"/>
    <n v="13333"/>
    <s v="1104-01"/>
    <n v="0"/>
    <n v="9231"/>
    <s v="Centralización recaudaciones julio 2026 #5954 - #5954"/>
    <n v="-9231"/>
    <s v="Activo"/>
    <n v="-9231"/>
    <x v="9"/>
  </r>
  <r>
    <n v="2026"/>
    <n v="7"/>
    <s v="14-07-2026"/>
    <n v="12629"/>
    <s v="1104-01"/>
    <n v="0"/>
    <n v="3447051"/>
    <s v="Abono clientes boleta"/>
    <n v="-3447051"/>
    <s v="Activo"/>
    <n v="-3447051"/>
    <x v="9"/>
  </r>
  <r>
    <n v="2026"/>
    <n v="7"/>
    <s v="14-07-2026"/>
    <n v="13043"/>
    <s v="1104-01"/>
    <n v="0"/>
    <n v="5000"/>
    <s v="Centralización recaudaciones julio 2026 #5664 - #5664"/>
    <n v="-5000"/>
    <s v="Activo"/>
    <n v="-5000"/>
    <x v="9"/>
  </r>
  <r>
    <n v="2026"/>
    <n v="7"/>
    <s v="14-07-2026"/>
    <n v="13073"/>
    <s v="1104-01"/>
    <n v="0"/>
    <n v="240228"/>
    <s v="Centralización recaudaciones julio 2026 #5694 - #5694"/>
    <n v="-240228"/>
    <s v="Activo"/>
    <n v="-240228"/>
    <x v="9"/>
  </r>
  <r>
    <n v="2026"/>
    <n v="7"/>
    <s v="14-07-2026"/>
    <n v="13131"/>
    <s v="1104-01"/>
    <n v="0"/>
    <n v="21990"/>
    <s v="Centralización recaudaciones julio 2026 #5752 - #5752"/>
    <n v="-21990"/>
    <s v="Activo"/>
    <n v="-21990"/>
    <x v="9"/>
  </r>
  <r>
    <n v="2026"/>
    <n v="7"/>
    <s v="14-07-2026"/>
    <n v="13141"/>
    <s v="1104-01"/>
    <n v="0"/>
    <n v="1684"/>
    <s v="Centralización recaudaciones julio 2026 #5762 - #5762"/>
    <n v="-1684"/>
    <s v="Activo"/>
    <n v="-1684"/>
    <x v="9"/>
  </r>
  <r>
    <n v="2026"/>
    <n v="7"/>
    <s v="14-07-2026"/>
    <n v="13163"/>
    <s v="1104-01"/>
    <n v="0"/>
    <n v="36980"/>
    <s v="Centralización recaudaciones julio 2026 #5784 - #5784"/>
    <n v="-36980"/>
    <s v="Activo"/>
    <n v="-36980"/>
    <x v="9"/>
  </r>
  <r>
    <n v="2026"/>
    <n v="7"/>
    <s v="14-07-2026"/>
    <n v="13193"/>
    <s v="1104-01"/>
    <n v="0"/>
    <n v="4198"/>
    <s v="Centralización recaudaciones julio 2026 #5814 - #5814"/>
    <n v="-4198"/>
    <s v="Activo"/>
    <n v="-4198"/>
    <x v="9"/>
  </r>
  <r>
    <n v="2026"/>
    <n v="7"/>
    <s v="14-07-2026"/>
    <n v="13236"/>
    <s v="1104-01"/>
    <n v="0"/>
    <n v="6990"/>
    <s v="Centralización recaudaciones julio 2026 #5857 - #5857"/>
    <n v="-6990"/>
    <s v="Activo"/>
    <n v="-6990"/>
    <x v="9"/>
  </r>
  <r>
    <n v="2026"/>
    <n v="7"/>
    <s v="14-07-2026"/>
    <n v="13255"/>
    <s v="1104-01"/>
    <n v="0"/>
    <n v="7000"/>
    <s v="Centralización recaudaciones julio 2026 #5876 - #5876"/>
    <n v="-7000"/>
    <s v="Activo"/>
    <n v="-7000"/>
    <x v="9"/>
  </r>
  <r>
    <n v="2026"/>
    <n v="7"/>
    <s v="15-07-2026"/>
    <n v="12630"/>
    <s v="1104-01"/>
    <n v="0"/>
    <n v="703695"/>
    <s v="Abono clientes boleta"/>
    <n v="-703695"/>
    <s v="Activo"/>
    <n v="-703695"/>
    <x v="9"/>
  </r>
  <r>
    <n v="2026"/>
    <n v="7"/>
    <s v="15-07-2026"/>
    <n v="12631"/>
    <s v="1104-01"/>
    <n v="0"/>
    <n v="24683"/>
    <s v="Abono clientes boleta"/>
    <n v="-24683"/>
    <s v="Activo"/>
    <n v="-24683"/>
    <x v="9"/>
  </r>
  <r>
    <n v="2026"/>
    <n v="7"/>
    <s v="15-07-2026"/>
    <n v="12817"/>
    <s v="1104-01"/>
    <n v="0"/>
    <n v="124000"/>
    <s v="Centralización recaudaciones julio 2026 #5440 - #5440"/>
    <n v="-124000"/>
    <s v="Activo"/>
    <n v="-124000"/>
    <x v="9"/>
  </r>
  <r>
    <n v="2026"/>
    <n v="7"/>
    <s v="15-07-2026"/>
    <n v="13194"/>
    <s v="1104-01"/>
    <n v="0"/>
    <n v="507"/>
    <s v="Centralización recaudaciones julio 2026 #5815 - #5815"/>
    <n v="-507"/>
    <s v="Activo"/>
    <n v="-507"/>
    <x v="9"/>
  </r>
  <r>
    <n v="2026"/>
    <n v="7"/>
    <s v="15-07-2026"/>
    <n v="13293"/>
    <s v="1104-01"/>
    <n v="0"/>
    <n v="336320"/>
    <s v="Centralización recaudaciones julio 2026 #5914 - #5914"/>
    <n v="-336320"/>
    <s v="Activo"/>
    <n v="-336320"/>
    <x v="9"/>
  </r>
  <r>
    <n v="2026"/>
    <n v="7"/>
    <s v="17-07-2026"/>
    <n v="12633"/>
    <s v="1104-01"/>
    <n v="0"/>
    <n v="571927"/>
    <s v="Abono clientes boleta"/>
    <n v="-571927"/>
    <s v="Activo"/>
    <n v="-571927"/>
    <x v="9"/>
  </r>
  <r>
    <n v="2026"/>
    <n v="7"/>
    <s v="17-07-2026"/>
    <n v="12658"/>
    <s v="1104-01"/>
    <n v="0"/>
    <n v="40000"/>
    <s v="Centralización recaudaciones julio 2026 #5287 - #5287"/>
    <n v="-40000"/>
    <s v="Activo"/>
    <n v="-40000"/>
    <x v="9"/>
  </r>
  <r>
    <n v="2026"/>
    <n v="7"/>
    <s v="17-07-2026"/>
    <n v="12699"/>
    <s v="1104-01"/>
    <n v="0"/>
    <n v="90980"/>
    <s v="Centralización recaudaciones julio 2026 #5328 - #5328"/>
    <n v="-90980"/>
    <s v="Activo"/>
    <n v="-90980"/>
    <x v="9"/>
  </r>
  <r>
    <n v="2026"/>
    <n v="7"/>
    <s v="17-07-2026"/>
    <n v="12864"/>
    <s v="1104-01"/>
    <n v="0"/>
    <n v="2670865"/>
    <s v="Centralización recaudaciones julio 2026 #5487 - #5487"/>
    <n v="-2670865"/>
    <s v="Activo"/>
    <n v="-2670865"/>
    <x v="9"/>
  </r>
  <r>
    <n v="2026"/>
    <n v="7"/>
    <s v="17-07-2026"/>
    <n v="12943"/>
    <s v="1104-01"/>
    <n v="0"/>
    <n v="28000"/>
    <s v="Centralización recaudaciones julio 2026 #5564 - #5564"/>
    <n v="-28000"/>
    <s v="Activo"/>
    <n v="-28000"/>
    <x v="9"/>
  </r>
  <r>
    <n v="2026"/>
    <n v="7"/>
    <s v="17-07-2026"/>
    <n v="12950"/>
    <s v="1104-01"/>
    <n v="0"/>
    <n v="31990"/>
    <s v="Centralización recaudaciones julio 2026 #5571 - #5571"/>
    <n v="-31990"/>
    <s v="Activo"/>
    <n v="-31990"/>
    <x v="9"/>
  </r>
  <r>
    <n v="2026"/>
    <n v="7"/>
    <s v="17-07-2026"/>
    <n v="12954"/>
    <s v="1104-01"/>
    <n v="0"/>
    <n v="24000"/>
    <s v="Centralización recaudaciones julio 2026 #5575 - #5575"/>
    <n v="-24000"/>
    <s v="Activo"/>
    <n v="-24000"/>
    <x v="9"/>
  </r>
  <r>
    <n v="2026"/>
    <n v="7"/>
    <s v="17-07-2026"/>
    <n v="12978"/>
    <s v="1104-01"/>
    <n v="0"/>
    <n v="28990"/>
    <s v="Centralización recaudaciones julio 2026 #5599 - #5599"/>
    <n v="-28990"/>
    <s v="Activo"/>
    <n v="-28990"/>
    <x v="9"/>
  </r>
  <r>
    <n v="2026"/>
    <n v="7"/>
    <s v="17-07-2026"/>
    <n v="13049"/>
    <s v="1104-01"/>
    <n v="0"/>
    <n v="28971"/>
    <s v="Centralización recaudaciones julio 2026 #5670 - #5670"/>
    <n v="-28971"/>
    <s v="Activo"/>
    <n v="-28971"/>
    <x v="9"/>
  </r>
  <r>
    <n v="2026"/>
    <n v="7"/>
    <s v="17-07-2026"/>
    <n v="13050"/>
    <s v="1104-01"/>
    <n v="0"/>
    <n v="133280"/>
    <s v="Centralización recaudaciones julio 2026 #5671 - #5671"/>
    <n v="-133280"/>
    <s v="Activo"/>
    <n v="-133280"/>
    <x v="9"/>
  </r>
  <r>
    <n v="2026"/>
    <n v="7"/>
    <s v="17-07-2026"/>
    <n v="13075"/>
    <s v="1104-01"/>
    <n v="0"/>
    <n v="32980"/>
    <s v="Centralización recaudaciones julio 2026 #5696 - #5696"/>
    <n v="-32980"/>
    <s v="Activo"/>
    <n v="-32980"/>
    <x v="9"/>
  </r>
  <r>
    <n v="2026"/>
    <n v="7"/>
    <s v="17-07-2026"/>
    <n v="13132"/>
    <s v="1104-01"/>
    <n v="0"/>
    <n v="1000"/>
    <s v="Centralización recaudaciones julio 2026 #5753 - #5753"/>
    <n v="-1000"/>
    <s v="Activo"/>
    <n v="-1000"/>
    <x v="9"/>
  </r>
  <r>
    <n v="2026"/>
    <n v="7"/>
    <s v="17-07-2026"/>
    <n v="13145"/>
    <s v="1104-01"/>
    <n v="0"/>
    <n v="23790"/>
    <s v="Centralización recaudaciones julio 2026 #5766 - #5766"/>
    <n v="-23790"/>
    <s v="Activo"/>
    <n v="-23790"/>
    <x v="9"/>
  </r>
  <r>
    <n v="2026"/>
    <n v="7"/>
    <s v="17-07-2026"/>
    <n v="13184"/>
    <s v="1104-01"/>
    <n v="0"/>
    <n v="28990"/>
    <s v="Centralización recaudaciones julio 2026 #5805 - #5805"/>
    <n v="-28990"/>
    <s v="Activo"/>
    <n v="-28990"/>
    <x v="9"/>
  </r>
  <r>
    <n v="2026"/>
    <n v="7"/>
    <s v="17-07-2026"/>
    <n v="13195"/>
    <s v="1104-01"/>
    <n v="0"/>
    <n v="249"/>
    <s v="Centralización recaudaciones julio 2026 #5816 - #5816"/>
    <n v="-249"/>
    <s v="Activo"/>
    <n v="-249"/>
    <x v="9"/>
  </r>
  <r>
    <n v="2026"/>
    <n v="7"/>
    <s v="17-07-2026"/>
    <n v="13243"/>
    <s v="1104-01"/>
    <n v="0"/>
    <n v="2478886"/>
    <s v="Centralización recaudaciones julio 2026 #5864 - #5864"/>
    <n v="-2478886"/>
    <s v="Activo"/>
    <n v="-2478886"/>
    <x v="9"/>
  </r>
  <r>
    <n v="2026"/>
    <n v="7"/>
    <s v="17-07-2026"/>
    <n v="13247"/>
    <s v="1104-01"/>
    <n v="0"/>
    <n v="31970"/>
    <s v="Centralización recaudaciones julio 2026 #5868 - #5868"/>
    <n v="-31970"/>
    <s v="Activo"/>
    <n v="-31970"/>
    <x v="9"/>
  </r>
  <r>
    <n v="2026"/>
    <n v="7"/>
    <s v="17-07-2026"/>
    <n v="13264"/>
    <s v="1104-01"/>
    <n v="0"/>
    <n v="971"/>
    <s v="Centralización recaudaciones julio 2026 #5885 - #5885"/>
    <n v="-971"/>
    <s v="Activo"/>
    <n v="-971"/>
    <x v="9"/>
  </r>
  <r>
    <n v="2026"/>
    <n v="7"/>
    <s v="20-07-2026"/>
    <n v="12634"/>
    <s v="1104-01"/>
    <n v="0"/>
    <n v="2140405"/>
    <s v="Abono clientes boleta"/>
    <n v="-2140405"/>
    <s v="Activo"/>
    <n v="-2140405"/>
    <x v="9"/>
  </r>
  <r>
    <n v="2026"/>
    <n v="7"/>
    <s v="20-07-2026"/>
    <n v="12635"/>
    <s v="1104-01"/>
    <n v="0"/>
    <n v="795176"/>
    <s v="Abono clientes boleta"/>
    <n v="-795176"/>
    <s v="Activo"/>
    <n v="-795176"/>
    <x v="9"/>
  </r>
  <r>
    <n v="2026"/>
    <n v="7"/>
    <s v="20-07-2026"/>
    <n v="12705"/>
    <s v="1104-01"/>
    <n v="0"/>
    <n v="70052"/>
    <s v="Centralización recaudaciones julio 2026 #5334 - #5334"/>
    <n v="-70052"/>
    <s v="Activo"/>
    <n v="-70052"/>
    <x v="9"/>
  </r>
  <r>
    <n v="2026"/>
    <n v="7"/>
    <s v="20-07-2026"/>
    <n v="12777"/>
    <s v="1104-01"/>
    <n v="0"/>
    <n v="31990"/>
    <s v="Centralización recaudaciones julio 2026 #5403 - #5403"/>
    <n v="-31990"/>
    <s v="Activo"/>
    <n v="-31990"/>
    <x v="9"/>
  </r>
  <r>
    <n v="2026"/>
    <n v="7"/>
    <s v="20-07-2026"/>
    <n v="12816"/>
    <s v="1104-01"/>
    <n v="0"/>
    <n v="40000"/>
    <s v="Centralización recaudaciones julio 2026 #5439 - #5439"/>
    <n v="-40000"/>
    <s v="Activo"/>
    <n v="-40000"/>
    <x v="9"/>
  </r>
  <r>
    <n v="2026"/>
    <n v="7"/>
    <s v="20-07-2026"/>
    <n v="12835"/>
    <s v="1104-01"/>
    <n v="0"/>
    <n v="15990"/>
    <s v="Centralización recaudaciones julio 2026 #5458 - #5458"/>
    <n v="-15990"/>
    <s v="Activo"/>
    <n v="-15990"/>
    <x v="9"/>
  </r>
  <r>
    <n v="2026"/>
    <n v="7"/>
    <s v="20-07-2026"/>
    <n v="12893"/>
    <s v="1104-01"/>
    <n v="0"/>
    <n v="31990"/>
    <s v="Centralización recaudaciones julio 2026 #5516 - #5516"/>
    <n v="-31990"/>
    <s v="Activo"/>
    <n v="-31990"/>
    <x v="9"/>
  </r>
  <r>
    <n v="2026"/>
    <n v="7"/>
    <s v="20-07-2026"/>
    <n v="12899"/>
    <s v="1104-01"/>
    <n v="0"/>
    <n v="31990"/>
    <s v="Centralización recaudaciones julio 2026 #5522 - #5522"/>
    <n v="-31990"/>
    <s v="Activo"/>
    <n v="-31990"/>
    <x v="9"/>
  </r>
  <r>
    <n v="2026"/>
    <n v="7"/>
    <s v="20-07-2026"/>
    <n v="12962"/>
    <s v="1104-01"/>
    <n v="0"/>
    <n v="24990"/>
    <s v="Centralización recaudaciones julio 2026 #5583 - #5583"/>
    <n v="-24990"/>
    <s v="Activo"/>
    <n v="-24990"/>
    <x v="9"/>
  </r>
  <r>
    <n v="2026"/>
    <n v="7"/>
    <s v="20-07-2026"/>
    <n v="12982"/>
    <s v="1104-01"/>
    <n v="0"/>
    <n v="24990"/>
    <s v="Centralización recaudaciones julio 2026 #5603 - #5603"/>
    <n v="-24990"/>
    <s v="Activo"/>
    <n v="-24990"/>
    <x v="9"/>
  </r>
  <r>
    <n v="2026"/>
    <n v="7"/>
    <s v="20-07-2026"/>
    <n v="12998"/>
    <s v="1104-01"/>
    <n v="0"/>
    <n v="24990"/>
    <s v="Centralización recaudaciones julio 2026 #5619 - #5619"/>
    <n v="-24990"/>
    <s v="Activo"/>
    <n v="-24990"/>
    <x v="9"/>
  </r>
  <r>
    <n v="2026"/>
    <n v="7"/>
    <s v="20-07-2026"/>
    <n v="13007"/>
    <s v="1104-01"/>
    <n v="0"/>
    <n v="24990"/>
    <s v="Centralización recaudaciones julio 2026 #5628 - #5628"/>
    <n v="-24990"/>
    <s v="Activo"/>
    <n v="-24990"/>
    <x v="9"/>
  </r>
  <r>
    <n v="2026"/>
    <n v="7"/>
    <s v="20-07-2026"/>
    <n v="13009"/>
    <s v="1104-01"/>
    <n v="0"/>
    <n v="24990"/>
    <s v="Centralización recaudaciones julio 2026 #5630 - #5630"/>
    <n v="-24990"/>
    <s v="Activo"/>
    <n v="-24990"/>
    <x v="9"/>
  </r>
  <r>
    <n v="2026"/>
    <n v="7"/>
    <s v="20-07-2026"/>
    <n v="13017"/>
    <s v="1104-01"/>
    <n v="0"/>
    <n v="24990"/>
    <s v="Centralización recaudaciones julio 2026 #5638 - #5638"/>
    <n v="-24990"/>
    <s v="Activo"/>
    <n v="-24990"/>
    <x v="9"/>
  </r>
  <r>
    <n v="2026"/>
    <n v="7"/>
    <s v="20-07-2026"/>
    <n v="13031"/>
    <s v="1104-01"/>
    <n v="0"/>
    <n v="32990"/>
    <s v="Centralización recaudaciones julio 2026 #5652 - #5652"/>
    <n v="-32990"/>
    <s v="Activo"/>
    <n v="-32990"/>
    <x v="9"/>
  </r>
  <r>
    <n v="2026"/>
    <n v="7"/>
    <s v="20-07-2026"/>
    <n v="13058"/>
    <s v="1104-01"/>
    <n v="0"/>
    <n v="21990"/>
    <s v="Centralización recaudaciones julio 2026 #5679 - #5679"/>
    <n v="-21990"/>
    <s v="Activo"/>
    <n v="-21990"/>
    <x v="9"/>
  </r>
  <r>
    <n v="2026"/>
    <n v="7"/>
    <s v="20-07-2026"/>
    <n v="13059"/>
    <s v="1104-01"/>
    <n v="0"/>
    <n v="892349"/>
    <s v="Centralización recaudaciones julio 2026 #5680 - #5680"/>
    <n v="-892349"/>
    <s v="Activo"/>
    <n v="-892349"/>
    <x v="9"/>
  </r>
  <r>
    <n v="2026"/>
    <n v="7"/>
    <s v="20-07-2026"/>
    <n v="13111"/>
    <s v="1104-01"/>
    <n v="0"/>
    <n v="27360"/>
    <s v="Centralización recaudaciones julio 2026 #5732 - #5732"/>
    <n v="-27360"/>
    <s v="Activo"/>
    <n v="-27360"/>
    <x v="9"/>
  </r>
  <r>
    <n v="2026"/>
    <n v="7"/>
    <s v="20-07-2026"/>
    <n v="13170"/>
    <s v="1104-01"/>
    <n v="0"/>
    <n v="10131"/>
    <s v="Centralización recaudaciones julio 2026 #5791 - #5791"/>
    <n v="-10131"/>
    <s v="Activo"/>
    <n v="-10131"/>
    <x v="9"/>
  </r>
  <r>
    <n v="2026"/>
    <n v="7"/>
    <s v="20-07-2026"/>
    <n v="13216"/>
    <s v="1104-01"/>
    <n v="0"/>
    <n v="24000"/>
    <s v="Centralización recaudaciones julio 2026 #5837 - #5837"/>
    <n v="-24000"/>
    <s v="Activo"/>
    <n v="-24000"/>
    <x v="9"/>
  </r>
  <r>
    <n v="2026"/>
    <n v="7"/>
    <s v="20-07-2026"/>
    <n v="13230"/>
    <s v="1104-01"/>
    <n v="0"/>
    <n v="34990"/>
    <s v="Centralización recaudaciones julio 2026 #5851 - #5851"/>
    <n v="-34990"/>
    <s v="Activo"/>
    <n v="-34990"/>
    <x v="9"/>
  </r>
  <r>
    <n v="2026"/>
    <n v="7"/>
    <s v="20-07-2026"/>
    <n v="13265"/>
    <s v="1104-01"/>
    <n v="0"/>
    <n v="23029"/>
    <s v="Centralización recaudaciones julio 2026 #5886 - #5886"/>
    <n v="-23029"/>
    <s v="Activo"/>
    <n v="-23029"/>
    <x v="9"/>
  </r>
  <r>
    <n v="2026"/>
    <n v="7"/>
    <s v="20-07-2026"/>
    <n v="13287"/>
    <s v="1104-01"/>
    <n v="0"/>
    <n v="47600"/>
    <s v="Centralización recaudaciones julio 2026 #5908 - #5908"/>
    <n v="-47600"/>
    <s v="Activo"/>
    <n v="-47600"/>
    <x v="9"/>
  </r>
  <r>
    <n v="2026"/>
    <n v="7"/>
    <s v="20-07-2026"/>
    <n v="13319"/>
    <s v="1104-01"/>
    <n v="0"/>
    <n v="65831"/>
    <s v="Centralización recaudaciones julio 2026 #5940 - #5940"/>
    <n v="-65831"/>
    <s v="Activo"/>
    <n v="-65831"/>
    <x v="9"/>
  </r>
  <r>
    <n v="2026"/>
    <n v="7"/>
    <s v="21-07-2026"/>
    <n v="12636"/>
    <s v="1104-01"/>
    <n v="0"/>
    <n v="6304100"/>
    <s v="Abono clientes boleta"/>
    <n v="-6304100"/>
    <s v="Activo"/>
    <n v="-6304100"/>
    <x v="9"/>
  </r>
  <r>
    <n v="2026"/>
    <n v="7"/>
    <s v="21-07-2026"/>
    <n v="12637"/>
    <s v="1104-01"/>
    <n v="0"/>
    <n v="270661"/>
    <s v="Abono clientes boleta"/>
    <n v="-270661"/>
    <s v="Activo"/>
    <n v="-270661"/>
    <x v="9"/>
  </r>
  <r>
    <n v="2026"/>
    <n v="7"/>
    <s v="21-07-2026"/>
    <n v="12970"/>
    <s v="1104-01"/>
    <n v="0"/>
    <n v="31990"/>
    <s v="Centralización recaudaciones julio 2026 #5591 - #5591"/>
    <n v="-31990"/>
    <s v="Activo"/>
    <n v="-31990"/>
    <x v="9"/>
  </r>
  <r>
    <n v="2026"/>
    <n v="7"/>
    <s v="21-07-2026"/>
    <n v="13002"/>
    <s v="1104-01"/>
    <n v="0"/>
    <n v="26990"/>
    <s v="Centralización recaudaciones julio 2026 #5623 - #5623"/>
    <n v="-26990"/>
    <s v="Activo"/>
    <n v="-26990"/>
    <x v="9"/>
  </r>
  <r>
    <n v="2026"/>
    <n v="7"/>
    <s v="21-07-2026"/>
    <n v="13024"/>
    <s v="1104-01"/>
    <n v="0"/>
    <n v="24980"/>
    <s v="Centralización recaudaciones julio 2026 #5645 - #5645"/>
    <n v="-24980"/>
    <s v="Activo"/>
    <n v="-24980"/>
    <x v="9"/>
  </r>
  <r>
    <n v="2026"/>
    <n v="7"/>
    <s v="21-07-2026"/>
    <n v="13065"/>
    <s v="1104-01"/>
    <n v="0"/>
    <n v="69590"/>
    <s v="Centralización recaudaciones julio 2026 #5686 - #5686"/>
    <n v="-69590"/>
    <s v="Activo"/>
    <n v="-69590"/>
    <x v="9"/>
  </r>
  <r>
    <n v="2026"/>
    <n v="7"/>
    <s v="21-07-2026"/>
    <n v="13105"/>
    <s v="1104-01"/>
    <n v="0"/>
    <n v="674102"/>
    <s v="Centralización recaudaciones julio 2026 #5726 - #5726"/>
    <n v="-674102"/>
    <s v="Activo"/>
    <n v="-674102"/>
    <x v="9"/>
  </r>
  <r>
    <n v="2026"/>
    <n v="7"/>
    <s v="21-07-2026"/>
    <n v="13118"/>
    <s v="1104-01"/>
    <n v="0"/>
    <n v="65438"/>
    <s v="Centralización recaudaciones julio 2026 #5739 - #5739"/>
    <n v="-65438"/>
    <s v="Activo"/>
    <n v="-65438"/>
    <x v="9"/>
  </r>
  <r>
    <n v="2026"/>
    <n v="7"/>
    <s v="21-07-2026"/>
    <n v="13171"/>
    <s v="1104-01"/>
    <n v="0"/>
    <n v="10"/>
    <s v="Centralización recaudaciones julio 2026 #5792 - #5792"/>
    <n v="-10"/>
    <s v="Activo"/>
    <n v="-10"/>
    <x v="9"/>
  </r>
  <r>
    <n v="2026"/>
    <n v="7"/>
    <s v="22-07-2026"/>
    <n v="12638"/>
    <s v="1104-01"/>
    <n v="0"/>
    <n v="4303379"/>
    <s v="Abono clientes boleta"/>
    <n v="-4303379"/>
    <s v="Activo"/>
    <n v="-4303379"/>
    <x v="9"/>
  </r>
  <r>
    <n v="2026"/>
    <n v="7"/>
    <s v="22-07-2026"/>
    <n v="12639"/>
    <s v="1104-01"/>
    <n v="0"/>
    <n v="251916"/>
    <s v="Abono clientes boleta"/>
    <n v="-251916"/>
    <s v="Activo"/>
    <n v="-251916"/>
    <x v="9"/>
  </r>
  <r>
    <n v="2026"/>
    <n v="7"/>
    <s v="22-07-2026"/>
    <n v="12733"/>
    <s v="1104-01"/>
    <n v="0"/>
    <n v="30922"/>
    <s v="Centralización recaudaciones julio 2026 #5359 - #5359"/>
    <n v="-30922"/>
    <s v="Activo"/>
    <n v="-30922"/>
    <x v="9"/>
  </r>
  <r>
    <n v="2026"/>
    <n v="7"/>
    <s v="22-07-2026"/>
    <n v="12795"/>
    <s v="1104-01"/>
    <n v="0"/>
    <n v="43980"/>
    <s v="Centralización recaudaciones julio 2026 #5418 - #5418"/>
    <n v="-43980"/>
    <s v="Activo"/>
    <n v="-43980"/>
    <x v="9"/>
  </r>
  <r>
    <n v="2026"/>
    <n v="7"/>
    <s v="22-07-2026"/>
    <n v="12801"/>
    <s v="1104-01"/>
    <n v="0"/>
    <n v="38068"/>
    <s v="Centralización recaudaciones julio 2026 #5424 - #5424"/>
    <n v="-38068"/>
    <s v="Activo"/>
    <n v="-38068"/>
    <x v="9"/>
  </r>
  <r>
    <n v="2026"/>
    <n v="7"/>
    <s v="22-07-2026"/>
    <n v="12909"/>
    <s v="1104-01"/>
    <n v="0"/>
    <n v="59488"/>
    <s v="Centralización recaudaciones julio 2026 #5282 - #5282"/>
    <n v="-59488"/>
    <s v="Activo"/>
    <n v="-59488"/>
    <x v="9"/>
  </r>
  <r>
    <n v="2026"/>
    <n v="7"/>
    <s v="22-07-2026"/>
    <n v="13021"/>
    <s v="1104-01"/>
    <n v="0"/>
    <n v="31990"/>
    <s v="Centralización recaudaciones julio 2026 #5642 - #5642"/>
    <n v="-31990"/>
    <s v="Activo"/>
    <n v="-31990"/>
    <x v="9"/>
  </r>
  <r>
    <n v="2026"/>
    <n v="7"/>
    <s v="22-07-2026"/>
    <n v="13025"/>
    <s v="1104-01"/>
    <n v="0"/>
    <n v="22000"/>
    <s v="Centralización recaudaciones julio 2026 #5646 - #5646"/>
    <n v="-22000"/>
    <s v="Activo"/>
    <n v="-22000"/>
    <x v="9"/>
  </r>
  <r>
    <n v="2026"/>
    <n v="7"/>
    <s v="22-07-2026"/>
    <n v="13104"/>
    <s v="1104-01"/>
    <n v="0"/>
    <n v="32990"/>
    <s v="Centralización recaudaciones julio 2026 #5725 - #5725"/>
    <n v="-32990"/>
    <s v="Activo"/>
    <n v="-32990"/>
    <x v="9"/>
  </r>
  <r>
    <n v="2026"/>
    <n v="7"/>
    <s v="22-07-2026"/>
    <n v="13127"/>
    <s v="1104-01"/>
    <n v="0"/>
    <n v="32990"/>
    <s v="Centralización recaudaciones julio 2026 #5748 - #5748"/>
    <n v="-32990"/>
    <s v="Activo"/>
    <n v="-32990"/>
    <x v="9"/>
  </r>
  <r>
    <n v="2026"/>
    <n v="7"/>
    <s v="22-07-2026"/>
    <n v="13153"/>
    <s v="1104-01"/>
    <n v="0"/>
    <n v="32980"/>
    <s v="Centralización recaudaciones julio 2026 #5774 - #5774"/>
    <n v="-32980"/>
    <s v="Activo"/>
    <n v="-32980"/>
    <x v="9"/>
  </r>
  <r>
    <n v="2026"/>
    <n v="7"/>
    <s v="22-07-2026"/>
    <n v="13167"/>
    <s v="1104-01"/>
    <n v="0"/>
    <n v="118964"/>
    <s v="Centralización recaudaciones julio 2026 #5788 - #5788"/>
    <n v="-118964"/>
    <s v="Activo"/>
    <n v="-118964"/>
    <x v="9"/>
  </r>
  <r>
    <n v="2026"/>
    <n v="7"/>
    <s v="22-07-2026"/>
    <n v="13172"/>
    <s v="1104-01"/>
    <n v="0"/>
    <n v="522"/>
    <s v="Centralización recaudaciones julio 2026 #5793 - #5793"/>
    <n v="-522"/>
    <s v="Activo"/>
    <n v="-522"/>
    <x v="9"/>
  </r>
  <r>
    <n v="2026"/>
    <n v="7"/>
    <s v="22-07-2026"/>
    <n v="13309"/>
    <s v="1104-01"/>
    <n v="0"/>
    <n v="878613"/>
    <s v="Centralización recaudaciones julio 2026 #5930 - #5930"/>
    <n v="-878613"/>
    <s v="Activo"/>
    <n v="-878613"/>
    <x v="9"/>
  </r>
  <r>
    <n v="2026"/>
    <n v="7"/>
    <s v="23-07-2026"/>
    <n v="12640"/>
    <s v="1104-01"/>
    <n v="0"/>
    <n v="2632315"/>
    <s v="Abono clientes boleta"/>
    <n v="-2632315"/>
    <s v="Activo"/>
    <n v="-2632315"/>
    <x v="9"/>
  </r>
  <r>
    <n v="2026"/>
    <n v="7"/>
    <s v="23-07-2026"/>
    <n v="12641"/>
    <s v="1104-01"/>
    <n v="0"/>
    <n v="245940"/>
    <s v="Abono clientes boleta"/>
    <n v="-245940"/>
    <s v="Activo"/>
    <n v="-245940"/>
    <x v="9"/>
  </r>
  <r>
    <n v="2026"/>
    <n v="7"/>
    <s v="23-07-2026"/>
    <n v="12796"/>
    <s v="1104-01"/>
    <n v="0"/>
    <n v="30000"/>
    <s v="Centralización recaudaciones julio 2026 #5419 - #5419"/>
    <n v="-30000"/>
    <s v="Activo"/>
    <n v="-30000"/>
    <x v="9"/>
  </r>
  <r>
    <n v="2026"/>
    <n v="7"/>
    <s v="23-07-2026"/>
    <n v="13134"/>
    <s v="1104-01"/>
    <n v="0"/>
    <n v="86052"/>
    <s v="Centralización recaudaciones julio 2026 #5755 - #5755"/>
    <n v="-86052"/>
    <s v="Activo"/>
    <n v="-86052"/>
    <x v="9"/>
  </r>
  <r>
    <n v="2026"/>
    <n v="7"/>
    <s v="23-07-2026"/>
    <n v="13250"/>
    <s v="1104-01"/>
    <n v="0"/>
    <n v="25000"/>
    <s v="Centralización recaudaciones julio 2026 #5871 - #5871"/>
    <n v="-25000"/>
    <s v="Activo"/>
    <n v="-25000"/>
    <x v="9"/>
  </r>
  <r>
    <n v="2026"/>
    <n v="7"/>
    <s v="23-07-2026"/>
    <n v="13300"/>
    <s v="1104-01"/>
    <n v="0"/>
    <n v="571800"/>
    <s v="Centralización recaudaciones julio 2026 #5921 - #5921"/>
    <n v="-571800"/>
    <s v="Activo"/>
    <n v="-571800"/>
    <x v="9"/>
  </r>
  <r>
    <n v="2026"/>
    <n v="7"/>
    <s v="24-07-2026"/>
    <n v="12642"/>
    <s v="1104-01"/>
    <n v="0"/>
    <n v="2659764"/>
    <s v="Abono clientes boleta"/>
    <n v="-2659764"/>
    <s v="Activo"/>
    <n v="-2659764"/>
    <x v="9"/>
  </r>
  <r>
    <n v="2026"/>
    <n v="7"/>
    <s v="24-07-2026"/>
    <n v="12643"/>
    <s v="1104-01"/>
    <n v="0"/>
    <n v="152108"/>
    <s v="Abono clientes boleta"/>
    <n v="-152108"/>
    <s v="Activo"/>
    <n v="-152108"/>
    <x v="9"/>
  </r>
  <r>
    <n v="2026"/>
    <n v="7"/>
    <s v="24-07-2026"/>
    <n v="12654"/>
    <s v="1104-01"/>
    <n v="0"/>
    <n v="1859672"/>
    <s v="Centralización recaudaciones julio 2026 #5283 - #5283"/>
    <n v="-1859672"/>
    <s v="Activo"/>
    <n v="-1859672"/>
    <x v="9"/>
  </r>
  <r>
    <n v="2026"/>
    <n v="7"/>
    <s v="24-07-2026"/>
    <n v="12667"/>
    <s v="1104-01"/>
    <n v="0"/>
    <n v="153747"/>
    <s v="Centralización recaudaciones julio 2026 #5296 - #5296"/>
    <n v="-153747"/>
    <s v="Activo"/>
    <n v="-153747"/>
    <x v="9"/>
  </r>
  <r>
    <n v="2026"/>
    <n v="7"/>
    <s v="24-07-2026"/>
    <n v="12683"/>
    <s v="1104-01"/>
    <n v="0"/>
    <n v="120000"/>
    <s v="Centralización recaudaciones julio 2026 #5312 - #5312"/>
    <n v="-120000"/>
    <s v="Activo"/>
    <n v="-120000"/>
    <x v="9"/>
  </r>
  <r>
    <n v="2026"/>
    <n v="7"/>
    <s v="24-07-2026"/>
    <n v="12734"/>
    <s v="1104-01"/>
    <n v="0"/>
    <n v="663"/>
    <s v="Centralización recaudaciones julio 2026 #5360 - #5360"/>
    <n v="-663"/>
    <s v="Activo"/>
    <n v="-663"/>
    <x v="9"/>
  </r>
  <r>
    <n v="2026"/>
    <n v="7"/>
    <s v="24-07-2026"/>
    <n v="12786"/>
    <s v="1104-01"/>
    <n v="0"/>
    <n v="195493"/>
    <s v="Centralización recaudaciones julio 2026 #5409 - #5409"/>
    <n v="-195493"/>
    <s v="Activo"/>
    <n v="-195493"/>
    <x v="9"/>
  </r>
  <r>
    <n v="2026"/>
    <n v="7"/>
    <s v="24-07-2026"/>
    <n v="12799"/>
    <s v="1104-01"/>
    <n v="0"/>
    <n v="121513"/>
    <s v="Centralización recaudaciones julio 2026 #5422 - #5422"/>
    <n v="-121513"/>
    <s v="Activo"/>
    <n v="-121513"/>
    <x v="9"/>
  </r>
  <r>
    <n v="2026"/>
    <n v="7"/>
    <s v="24-07-2026"/>
    <n v="12856"/>
    <s v="1104-01"/>
    <n v="0"/>
    <n v="1352"/>
    <s v="Centralización recaudaciones julio 2026 #5479 - #5479"/>
    <n v="-1352"/>
    <s v="Activo"/>
    <n v="-1352"/>
    <x v="9"/>
  </r>
  <r>
    <n v="2026"/>
    <n v="7"/>
    <s v="24-07-2026"/>
    <n v="12955"/>
    <s v="1104-01"/>
    <n v="0"/>
    <n v="48000"/>
    <s v="Centralización recaudaciones julio 2026 #5576 - #5576"/>
    <n v="-48000"/>
    <s v="Activo"/>
    <n v="-48000"/>
    <x v="9"/>
  </r>
  <r>
    <n v="2026"/>
    <n v="7"/>
    <s v="24-07-2026"/>
    <n v="12966"/>
    <s v="1104-01"/>
    <n v="0"/>
    <n v="119970"/>
    <s v="Centralización recaudaciones julio 2026 #5587 - #5587"/>
    <n v="-119970"/>
    <s v="Activo"/>
    <n v="-119970"/>
    <x v="9"/>
  </r>
  <r>
    <n v="2026"/>
    <n v="7"/>
    <s v="24-07-2026"/>
    <n v="12977"/>
    <s v="1104-01"/>
    <n v="0"/>
    <n v="124990"/>
    <s v="Centralización recaudaciones julio 2026 #5598 - #5598"/>
    <n v="-124990"/>
    <s v="Activo"/>
    <n v="-124990"/>
    <x v="9"/>
  </r>
  <r>
    <n v="2026"/>
    <n v="7"/>
    <s v="24-07-2026"/>
    <n v="13142"/>
    <s v="1104-01"/>
    <n v="0"/>
    <n v="94000"/>
    <s v="Centralización recaudaciones julio 2026 #5763 - #5763"/>
    <n v="-94000"/>
    <s v="Activo"/>
    <n v="-94000"/>
    <x v="9"/>
  </r>
  <r>
    <n v="2026"/>
    <n v="7"/>
    <s v="24-07-2026"/>
    <n v="13173"/>
    <s v="1104-01"/>
    <n v="0"/>
    <n v="14327"/>
    <s v="Centralización recaudaciones julio 2026 #5794 - #5794"/>
    <n v="-14327"/>
    <s v="Activo"/>
    <n v="-14327"/>
    <x v="9"/>
  </r>
  <r>
    <n v="2026"/>
    <n v="7"/>
    <s v="24-07-2026"/>
    <n v="13182"/>
    <s v="1104-01"/>
    <n v="0"/>
    <n v="33990"/>
    <s v="Centralización recaudaciones julio 2026 #5803 - #5803"/>
    <n v="-33990"/>
    <s v="Activo"/>
    <n v="-33990"/>
    <x v="9"/>
  </r>
  <r>
    <n v="2026"/>
    <n v="7"/>
    <s v="27-07-2026"/>
    <n v="12644"/>
    <s v="1104-01"/>
    <n v="0"/>
    <n v="2221270"/>
    <s v="Abono clientes boleta"/>
    <n v="-2221270"/>
    <s v="Activo"/>
    <n v="-2221270"/>
    <x v="9"/>
  </r>
  <r>
    <n v="2026"/>
    <n v="7"/>
    <s v="27-07-2026"/>
    <n v="12645"/>
    <s v="1104-01"/>
    <n v="0"/>
    <n v="576504"/>
    <s v="Abono clientes boleta"/>
    <n v="-576504"/>
    <s v="Activo"/>
    <n v="-576504"/>
    <x v="9"/>
  </r>
  <r>
    <n v="2026"/>
    <n v="7"/>
    <s v="27-07-2026"/>
    <n v="12661"/>
    <s v="1104-01"/>
    <n v="0"/>
    <n v="59990"/>
    <s v="Centralización recaudaciones julio 2026 #5290 - #5290"/>
    <n v="-59990"/>
    <s v="Activo"/>
    <n v="-59990"/>
    <x v="9"/>
  </r>
  <r>
    <n v="2026"/>
    <n v="7"/>
    <s v="27-07-2026"/>
    <n v="12675"/>
    <s v="1104-01"/>
    <n v="0"/>
    <n v="59990"/>
    <s v="Centralización recaudaciones julio 2026 #5304 - #5304"/>
    <n v="-59990"/>
    <s v="Activo"/>
    <n v="-59990"/>
    <x v="9"/>
  </r>
  <r>
    <n v="2026"/>
    <n v="7"/>
    <s v="27-07-2026"/>
    <n v="12735"/>
    <s v="1104-01"/>
    <n v="0"/>
    <n v="415"/>
    <s v="Centralización recaudaciones julio 2026 #5361 - #5361"/>
    <n v="-415"/>
    <s v="Activo"/>
    <n v="-415"/>
    <x v="9"/>
  </r>
  <r>
    <n v="2026"/>
    <n v="7"/>
    <s v="27-07-2026"/>
    <n v="12737"/>
    <s v="1104-01"/>
    <n v="0"/>
    <n v="25990"/>
    <s v="Centralización recaudaciones julio 2026 #5363 - #5363"/>
    <n v="-25990"/>
    <s v="Activo"/>
    <n v="-25990"/>
    <x v="9"/>
  </r>
  <r>
    <n v="2026"/>
    <n v="7"/>
    <s v="27-07-2026"/>
    <n v="12797"/>
    <s v="1104-01"/>
    <n v="0"/>
    <n v="427"/>
    <s v="Centralización recaudaciones julio 2026 #5420 - #5420"/>
    <n v="-427"/>
    <s v="Activo"/>
    <n v="-427"/>
    <x v="9"/>
  </r>
  <r>
    <n v="2026"/>
    <n v="7"/>
    <s v="27-07-2026"/>
    <n v="12815"/>
    <s v="1104-01"/>
    <n v="0"/>
    <n v="43980"/>
    <s v="Centralización recaudaciones julio 2026 #5438 - #5438"/>
    <n v="-43980"/>
    <s v="Activo"/>
    <n v="-43980"/>
    <x v="9"/>
  </r>
  <r>
    <n v="2026"/>
    <n v="7"/>
    <s v="27-07-2026"/>
    <n v="12818"/>
    <s v="1104-01"/>
    <n v="0"/>
    <n v="40000"/>
    <s v="Centralización recaudaciones julio 2026 #5441 - #5441"/>
    <n v="-40000"/>
    <s v="Activo"/>
    <n v="-40000"/>
    <x v="9"/>
  </r>
  <r>
    <n v="2026"/>
    <n v="7"/>
    <s v="27-07-2026"/>
    <n v="12821"/>
    <s v="1104-01"/>
    <n v="0"/>
    <n v="26392"/>
    <s v="Centralización recaudaciones julio 2026 #5444 - #5444"/>
    <n v="-26392"/>
    <s v="Activo"/>
    <n v="-26392"/>
    <x v="9"/>
  </r>
  <r>
    <n v="2026"/>
    <n v="7"/>
    <s v="27-07-2026"/>
    <n v="12836"/>
    <s v="1104-01"/>
    <n v="0"/>
    <n v="271337"/>
    <s v="Centralización recaudaciones julio 2026 #5459 - #5459"/>
    <n v="-271337"/>
    <s v="Activo"/>
    <n v="-271337"/>
    <x v="9"/>
  </r>
  <r>
    <n v="2026"/>
    <n v="7"/>
    <s v="27-07-2026"/>
    <n v="12875"/>
    <s v="1104-01"/>
    <n v="0"/>
    <n v="288274"/>
    <s v="Centralización recaudaciones julio 2026 #5498 - #5498"/>
    <n v="-288274"/>
    <s v="Activo"/>
    <n v="-288274"/>
    <x v="9"/>
  </r>
  <r>
    <n v="2026"/>
    <n v="7"/>
    <s v="27-07-2026"/>
    <n v="12910"/>
    <s v="1104-01"/>
    <n v="0"/>
    <n v="60980"/>
    <s v="Centralización recaudaciones julio 2026 #5531 - #5531"/>
    <n v="-60980"/>
    <s v="Activo"/>
    <n v="-60980"/>
    <x v="9"/>
  </r>
  <r>
    <n v="2026"/>
    <n v="7"/>
    <s v="27-07-2026"/>
    <n v="12967"/>
    <s v="1104-01"/>
    <n v="0"/>
    <n v="30"/>
    <s v="Centralización recaudaciones julio 2026 #5588 - #5588"/>
    <n v="-30"/>
    <s v="Activo"/>
    <n v="-30"/>
    <x v="9"/>
  </r>
  <r>
    <n v="2026"/>
    <n v="7"/>
    <s v="27-07-2026"/>
    <n v="13001"/>
    <s v="1104-01"/>
    <n v="0"/>
    <n v="145816"/>
    <s v="Centralización recaudaciones julio 2026 #5622 - #5622"/>
    <n v="-145816"/>
    <s v="Activo"/>
    <n v="-145816"/>
    <x v="9"/>
  </r>
  <r>
    <n v="2026"/>
    <n v="7"/>
    <s v="27-07-2026"/>
    <n v="13020"/>
    <s v="1104-01"/>
    <n v="0"/>
    <n v="24990"/>
    <s v="Centralización recaudaciones julio 2026 #5641 - #5641"/>
    <n v="-24990"/>
    <s v="Activo"/>
    <n v="-24990"/>
    <x v="9"/>
  </r>
  <r>
    <n v="2026"/>
    <n v="7"/>
    <s v="27-07-2026"/>
    <n v="13026"/>
    <s v="1104-01"/>
    <n v="0"/>
    <n v="3000"/>
    <s v="Centralización recaudaciones julio 2026 #5647 - #5647"/>
    <n v="-3000"/>
    <s v="Activo"/>
    <n v="-3000"/>
    <x v="9"/>
  </r>
  <r>
    <n v="2026"/>
    <n v="7"/>
    <s v="27-07-2026"/>
    <n v="13036"/>
    <s v="1104-01"/>
    <n v="0"/>
    <n v="24990"/>
    <s v="Centralización recaudaciones julio 2026 #5657 - #5657"/>
    <n v="-24990"/>
    <s v="Activo"/>
    <n v="-24990"/>
    <x v="9"/>
  </r>
  <r>
    <n v="2026"/>
    <n v="7"/>
    <s v="27-07-2026"/>
    <n v="13039"/>
    <s v="1104-01"/>
    <n v="0"/>
    <n v="24990"/>
    <s v="Centralización recaudaciones julio 2026 #5660 - #5660"/>
    <n v="-24990"/>
    <s v="Activo"/>
    <n v="-24990"/>
    <x v="9"/>
  </r>
  <r>
    <n v="2026"/>
    <n v="7"/>
    <s v="27-07-2026"/>
    <n v="13057"/>
    <s v="1104-01"/>
    <n v="0"/>
    <n v="24990"/>
    <s v="Centralización recaudaciones julio 2026 #5678 - #5678"/>
    <n v="-24990"/>
    <s v="Activo"/>
    <n v="-24990"/>
    <x v="9"/>
  </r>
  <r>
    <n v="2026"/>
    <n v="7"/>
    <s v="27-07-2026"/>
    <n v="13067"/>
    <s v="1104-01"/>
    <n v="0"/>
    <n v="60940"/>
    <s v="Centralización recaudaciones julio 2026 #5688 - #5688"/>
    <n v="-60940"/>
    <s v="Activo"/>
    <n v="-60940"/>
    <x v="9"/>
  </r>
  <r>
    <n v="2026"/>
    <n v="7"/>
    <s v="27-07-2026"/>
    <n v="13076"/>
    <s v="1104-01"/>
    <n v="0"/>
    <n v="24990"/>
    <s v="Centralización recaudaciones julio 2026 #5697 - #5697"/>
    <n v="-24990"/>
    <s v="Activo"/>
    <n v="-24990"/>
    <x v="9"/>
  </r>
  <r>
    <n v="2026"/>
    <n v="7"/>
    <s v="27-07-2026"/>
    <n v="13080"/>
    <s v="1104-01"/>
    <n v="0"/>
    <n v="24990"/>
    <s v="Centralización recaudaciones julio 2026 #5701 - #5701"/>
    <n v="-24990"/>
    <s v="Activo"/>
    <n v="-24990"/>
    <x v="9"/>
  </r>
  <r>
    <n v="2026"/>
    <n v="7"/>
    <s v="27-07-2026"/>
    <n v="13098"/>
    <s v="1104-01"/>
    <n v="0"/>
    <n v="24990"/>
    <s v="Centralización recaudaciones julio 2026 #5719 - #5719"/>
    <n v="-24990"/>
    <s v="Activo"/>
    <n v="-24990"/>
    <x v="9"/>
  </r>
  <r>
    <n v="2026"/>
    <n v="7"/>
    <s v="27-07-2026"/>
    <n v="13102"/>
    <s v="1104-01"/>
    <n v="0"/>
    <n v="9908"/>
    <s v="Centralización recaudaciones julio 2026 #5723 - #5723"/>
    <n v="-9908"/>
    <s v="Activo"/>
    <n v="-9908"/>
    <x v="9"/>
  </r>
  <r>
    <n v="2026"/>
    <n v="7"/>
    <s v="27-07-2026"/>
    <n v="13106"/>
    <s v="1104-01"/>
    <n v="0"/>
    <n v="24990"/>
    <s v="Centralización recaudaciones julio 2026 #5727 - #5727"/>
    <n v="-24990"/>
    <s v="Activo"/>
    <n v="-24990"/>
    <x v="9"/>
  </r>
  <r>
    <n v="2026"/>
    <n v="7"/>
    <s v="27-07-2026"/>
    <n v="13136"/>
    <s v="1104-01"/>
    <n v="0"/>
    <n v="24990"/>
    <s v="Centralización recaudaciones julio 2026 #5757 - #5757"/>
    <n v="-24990"/>
    <s v="Activo"/>
    <n v="-24990"/>
    <x v="9"/>
  </r>
  <r>
    <n v="2026"/>
    <n v="7"/>
    <s v="27-07-2026"/>
    <n v="13175"/>
    <s v="1104-01"/>
    <n v="0"/>
    <n v="26170"/>
    <s v="Centralización recaudaciones julio 2026 #5796 - #5796"/>
    <n v="-26170"/>
    <s v="Activo"/>
    <n v="-26170"/>
    <x v="9"/>
  </r>
  <r>
    <n v="2026"/>
    <n v="7"/>
    <s v="27-07-2026"/>
    <n v="13200"/>
    <s v="1104-01"/>
    <n v="0"/>
    <n v="32980"/>
    <s v="Centralización recaudaciones julio 2026 #5821 - #5821"/>
    <n v="-32980"/>
    <s v="Activo"/>
    <n v="-32980"/>
    <x v="9"/>
  </r>
  <r>
    <n v="2026"/>
    <n v="7"/>
    <s v="27-07-2026"/>
    <n v="13226"/>
    <s v="1104-01"/>
    <n v="0"/>
    <n v="26500"/>
    <s v="Centralización recaudaciones julio 2026 #5847 - #5847"/>
    <n v="-26500"/>
    <s v="Activo"/>
    <n v="-26500"/>
    <x v="9"/>
  </r>
  <r>
    <n v="2026"/>
    <n v="7"/>
    <s v="27-07-2026"/>
    <n v="13253"/>
    <s v="1104-01"/>
    <n v="0"/>
    <n v="44000"/>
    <s v="Centralización recaudaciones julio 2026 #5874 - #5874"/>
    <n v="-44000"/>
    <s v="Activo"/>
    <n v="-44000"/>
    <x v="9"/>
  </r>
  <r>
    <n v="2026"/>
    <n v="7"/>
    <s v="27-07-2026"/>
    <n v="13260"/>
    <s v="1104-01"/>
    <n v="0"/>
    <n v="26000"/>
    <s v="Centralización recaudaciones julio 2026 #5881 - #5881"/>
    <n v="-26000"/>
    <s v="Activo"/>
    <n v="-26000"/>
    <x v="9"/>
  </r>
  <r>
    <n v="2026"/>
    <n v="7"/>
    <s v="27-07-2026"/>
    <n v="13261"/>
    <s v="1104-01"/>
    <n v="0"/>
    <n v="35690"/>
    <s v="Centralización recaudaciones julio 2026 #5882 - #5882"/>
    <n v="-35690"/>
    <s v="Activo"/>
    <n v="-35690"/>
    <x v="9"/>
  </r>
  <r>
    <n v="2026"/>
    <n v="7"/>
    <s v="27-07-2026"/>
    <n v="13267"/>
    <s v="1104-01"/>
    <n v="0"/>
    <n v="34990"/>
    <s v="Centralización recaudaciones julio 2026 #5888 - #5888"/>
    <n v="-34990"/>
    <s v="Activo"/>
    <n v="-34990"/>
    <x v="9"/>
  </r>
  <r>
    <n v="2026"/>
    <n v="7"/>
    <s v="27-07-2026"/>
    <n v="13294"/>
    <s v="1104-01"/>
    <n v="0"/>
    <n v="35000"/>
    <s v="Centralización recaudaciones julio 2026 #5915 - #5915"/>
    <n v="-35000"/>
    <s v="Activo"/>
    <n v="-35000"/>
    <x v="9"/>
  </r>
  <r>
    <n v="2026"/>
    <n v="7"/>
    <s v="27-07-2026"/>
    <n v="13321"/>
    <s v="1104-01"/>
    <n v="0"/>
    <n v="37000"/>
    <s v="Centralización recaudaciones julio 2026 #5942 - #5942"/>
    <n v="-37000"/>
    <s v="Activo"/>
    <n v="-37000"/>
    <x v="9"/>
  </r>
  <r>
    <n v="2026"/>
    <n v="7"/>
    <s v="28-07-2026"/>
    <n v="12646"/>
    <s v="1104-01"/>
    <n v="0"/>
    <n v="5183665"/>
    <s v="Abono clientes boleta"/>
    <n v="-5183665"/>
    <s v="Activo"/>
    <n v="-5183665"/>
    <x v="9"/>
  </r>
  <r>
    <n v="2026"/>
    <n v="7"/>
    <s v="28-07-2026"/>
    <n v="12647"/>
    <s v="1104-01"/>
    <n v="0"/>
    <n v="327766"/>
    <s v="Abono clientes boleta"/>
    <n v="-327766"/>
    <s v="Activo"/>
    <n v="-327766"/>
    <x v="9"/>
  </r>
  <r>
    <n v="2026"/>
    <n v="7"/>
    <s v="28-07-2026"/>
    <n v="12808"/>
    <s v="1104-01"/>
    <n v="0"/>
    <n v="130400"/>
    <s v="Centralización recaudaciones julio 2026 #5431 - #5431"/>
    <n v="-130400"/>
    <s v="Activo"/>
    <n v="-130400"/>
    <x v="9"/>
  </r>
  <r>
    <n v="2026"/>
    <n v="7"/>
    <s v="28-07-2026"/>
    <n v="12853"/>
    <s v="1104-01"/>
    <n v="0"/>
    <n v="50000"/>
    <s v="Centralización recaudaciones julio 2026 #5476 - #5476"/>
    <n v="-50000"/>
    <s v="Activo"/>
    <n v="-50000"/>
    <x v="9"/>
  </r>
  <r>
    <n v="2026"/>
    <n v="7"/>
    <s v="28-07-2026"/>
    <n v="12858"/>
    <s v="1104-01"/>
    <n v="0"/>
    <n v="50000"/>
    <s v="Centralización recaudaciones julio 2026 #5481 - #5481"/>
    <n v="-50000"/>
    <s v="Activo"/>
    <n v="-50000"/>
    <x v="9"/>
  </r>
  <r>
    <n v="2026"/>
    <n v="7"/>
    <s v="28-07-2026"/>
    <n v="12888"/>
    <s v="1104-01"/>
    <n v="0"/>
    <n v="35970"/>
    <s v="Centralización recaudaciones julio 2026 #5511 - #5511"/>
    <n v="-35970"/>
    <s v="Activo"/>
    <n v="-35970"/>
    <x v="9"/>
  </r>
  <r>
    <n v="2026"/>
    <n v="7"/>
    <s v="28-07-2026"/>
    <n v="12914"/>
    <s v="1104-01"/>
    <n v="0"/>
    <n v="145816"/>
    <s v="Centralización recaudaciones julio 2026 #5535 - #5535"/>
    <n v="-145816"/>
    <s v="Activo"/>
    <n v="-145816"/>
    <x v="9"/>
  </r>
  <r>
    <n v="2026"/>
    <n v="7"/>
    <s v="28-07-2026"/>
    <n v="12916"/>
    <s v="1104-01"/>
    <n v="0"/>
    <n v="35980"/>
    <s v="Centralización recaudaciones julio 2026 #5537 - #5537"/>
    <n v="-35980"/>
    <s v="Activo"/>
    <n v="-35980"/>
    <x v="9"/>
  </r>
  <r>
    <n v="2026"/>
    <n v="7"/>
    <s v="28-07-2026"/>
    <n v="12925"/>
    <s v="1104-01"/>
    <n v="0"/>
    <n v="60000"/>
    <s v="Centralización recaudaciones julio 2026 #5546 - #5546"/>
    <n v="-60000"/>
    <s v="Activo"/>
    <n v="-60000"/>
    <x v="9"/>
  </r>
  <r>
    <n v="2026"/>
    <n v="7"/>
    <s v="28-07-2026"/>
    <n v="12941"/>
    <s v="1104-01"/>
    <n v="0"/>
    <n v="33237"/>
    <s v="Centralización recaudaciones julio 2026 #5562 - #5562"/>
    <n v="-33237"/>
    <s v="Activo"/>
    <n v="-33237"/>
    <x v="9"/>
  </r>
  <r>
    <n v="2026"/>
    <n v="7"/>
    <s v="28-07-2026"/>
    <n v="12953"/>
    <s v="1104-01"/>
    <n v="0"/>
    <n v="35981"/>
    <s v="Centralización recaudaciones julio 2026 #5574 - #5574"/>
    <n v="-35981"/>
    <s v="Activo"/>
    <n v="-35981"/>
    <x v="9"/>
  </r>
  <r>
    <n v="2026"/>
    <n v="7"/>
    <s v="28-07-2026"/>
    <n v="13023"/>
    <s v="1104-01"/>
    <n v="0"/>
    <n v="44000"/>
    <s v="Centralización recaudaciones julio 2026 #5644 - #5644"/>
    <n v="-44000"/>
    <s v="Activo"/>
    <n v="-44000"/>
    <x v="9"/>
  </r>
  <r>
    <n v="2026"/>
    <n v="7"/>
    <s v="28-07-2026"/>
    <n v="13055"/>
    <s v="1104-01"/>
    <n v="0"/>
    <n v="486053"/>
    <s v="Centralización recaudaciones julio 2026 #5676 - #5676"/>
    <n v="-486053"/>
    <s v="Activo"/>
    <n v="-486053"/>
    <x v="9"/>
  </r>
  <r>
    <n v="2026"/>
    <n v="7"/>
    <s v="28-07-2026"/>
    <n v="13103"/>
    <s v="1104-01"/>
    <n v="0"/>
    <n v="15082"/>
    <s v="Centralización recaudaciones julio 2026 #5724 - #5724"/>
    <n v="-15082"/>
    <s v="Activo"/>
    <n v="-15082"/>
    <x v="9"/>
  </r>
  <r>
    <n v="2026"/>
    <n v="7"/>
    <s v="28-07-2026"/>
    <n v="13119"/>
    <s v="1104-01"/>
    <n v="0"/>
    <n v="24990"/>
    <s v="Centralización recaudaciones julio 2026 #5740 - #5740"/>
    <n v="-24990"/>
    <s v="Activo"/>
    <n v="-24990"/>
    <x v="9"/>
  </r>
  <r>
    <n v="2026"/>
    <n v="7"/>
    <s v="28-07-2026"/>
    <n v="13133"/>
    <s v="1104-01"/>
    <n v="0"/>
    <n v="24990"/>
    <s v="Centralización recaudaciones julio 2026 #5754 - #5754"/>
    <n v="-24990"/>
    <s v="Activo"/>
    <n v="-24990"/>
    <x v="9"/>
  </r>
  <r>
    <n v="2026"/>
    <n v="7"/>
    <s v="28-07-2026"/>
    <n v="13149"/>
    <s v="1104-01"/>
    <n v="0"/>
    <n v="24990"/>
    <s v="Centralización recaudaciones julio 2026 #5770 - #5770"/>
    <n v="-24990"/>
    <s v="Activo"/>
    <n v="-24990"/>
    <x v="9"/>
  </r>
  <r>
    <n v="2026"/>
    <n v="7"/>
    <s v="28-07-2026"/>
    <n v="13152"/>
    <s v="1104-01"/>
    <n v="0"/>
    <n v="24990"/>
    <s v="Centralización recaudaciones julio 2026 #5773 - #5773"/>
    <n v="-24990"/>
    <s v="Activo"/>
    <n v="-24990"/>
    <x v="9"/>
  </r>
  <r>
    <n v="2026"/>
    <n v="7"/>
    <s v="28-07-2026"/>
    <n v="13187"/>
    <s v="1104-01"/>
    <n v="0"/>
    <n v="24990"/>
    <s v="Centralización recaudaciones julio 2026 #5808 - #5808"/>
    <n v="-24990"/>
    <s v="Activo"/>
    <n v="-24990"/>
    <x v="9"/>
  </r>
  <r>
    <n v="2026"/>
    <n v="7"/>
    <s v="28-07-2026"/>
    <n v="13218"/>
    <s v="1104-01"/>
    <n v="0"/>
    <n v="24990"/>
    <s v="Centralización recaudaciones julio 2026 #5839 - #5839"/>
    <n v="-24990"/>
    <s v="Activo"/>
    <n v="-24990"/>
    <x v="9"/>
  </r>
  <r>
    <n v="2026"/>
    <n v="7"/>
    <s v="28-07-2026"/>
    <n v="13232"/>
    <s v="1104-01"/>
    <n v="0"/>
    <n v="24990"/>
    <s v="Centralización recaudaciones julio 2026 #5853 - #5853"/>
    <n v="-24990"/>
    <s v="Activo"/>
    <n v="-24990"/>
    <x v="9"/>
  </r>
  <r>
    <n v="2026"/>
    <n v="7"/>
    <s v="28-07-2026"/>
    <n v="13240"/>
    <s v="1104-01"/>
    <n v="0"/>
    <n v="22990"/>
    <s v="Centralización recaudaciones julio 2026 #5861 - #5861"/>
    <n v="-22990"/>
    <s v="Activo"/>
    <n v="-22990"/>
    <x v="9"/>
  </r>
  <r>
    <n v="2026"/>
    <n v="7"/>
    <s v="28-07-2026"/>
    <n v="13258"/>
    <s v="1104-01"/>
    <n v="0"/>
    <n v="54000"/>
    <s v="Centralización recaudaciones julio 2026 #5879 - #5879"/>
    <n v="-54000"/>
    <s v="Activo"/>
    <n v="-54000"/>
    <x v="9"/>
  </r>
  <r>
    <n v="2026"/>
    <n v="7"/>
    <s v="28-07-2026"/>
    <n v="13262"/>
    <s v="1104-01"/>
    <n v="0"/>
    <n v="10"/>
    <s v="Centralización recaudaciones julio 2026 #5883 - #5883"/>
    <n v="-10"/>
    <s v="Activo"/>
    <n v="-10"/>
    <x v="9"/>
  </r>
  <r>
    <n v="2026"/>
    <n v="7"/>
    <s v="28-07-2026"/>
    <n v="13266"/>
    <s v="1104-01"/>
    <n v="0"/>
    <n v="35700"/>
    <s v="Centralización recaudaciones julio 2026 #5887 - #5887"/>
    <n v="-35700"/>
    <s v="Activo"/>
    <n v="-35700"/>
    <x v="9"/>
  </r>
  <r>
    <n v="2026"/>
    <n v="7"/>
    <s v="28-07-2026"/>
    <n v="13275"/>
    <s v="1104-01"/>
    <n v="0"/>
    <n v="24990"/>
    <s v="Centralización recaudaciones julio 2026 #5896 - #5896"/>
    <n v="-24990"/>
    <s v="Activo"/>
    <n v="-24990"/>
    <x v="9"/>
  </r>
  <r>
    <n v="2026"/>
    <n v="7"/>
    <s v="28-07-2026"/>
    <n v="13295"/>
    <s v="1104-01"/>
    <n v="0"/>
    <n v="24990"/>
    <s v="Centralización recaudaciones julio 2026 #5916 - #5916"/>
    <n v="-24990"/>
    <s v="Activo"/>
    <n v="-24990"/>
    <x v="9"/>
  </r>
  <r>
    <n v="2026"/>
    <n v="7"/>
    <s v="28-07-2026"/>
    <n v="13316"/>
    <s v="1104-01"/>
    <n v="0"/>
    <n v="24990"/>
    <s v="Centralización recaudaciones julio 2026 #5937 - #5937"/>
    <n v="-24990"/>
    <s v="Activo"/>
    <n v="-24990"/>
    <x v="9"/>
  </r>
  <r>
    <n v="2026"/>
    <n v="7"/>
    <s v="28-07-2026"/>
    <n v="13322"/>
    <s v="1104-01"/>
    <n v="0"/>
    <n v="29727"/>
    <s v="Centralización recaudaciones julio 2026 #5943 - #5943"/>
    <n v="-29727"/>
    <s v="Activo"/>
    <n v="-29727"/>
    <x v="9"/>
  </r>
  <r>
    <n v="2026"/>
    <n v="7"/>
    <s v="29-07-2026"/>
    <n v="12648"/>
    <s v="1104-01"/>
    <n v="0"/>
    <n v="9745502"/>
    <s v="Abono clientes boleta"/>
    <n v="-9745502"/>
    <s v="Activo"/>
    <n v="-9745502"/>
    <x v="9"/>
  </r>
  <r>
    <n v="2026"/>
    <n v="7"/>
    <s v="29-07-2026"/>
    <n v="12649"/>
    <s v="1104-01"/>
    <n v="0"/>
    <n v="504931"/>
    <s v="Abono clientes boleta"/>
    <n v="-504931"/>
    <s v="Activo"/>
    <n v="-504931"/>
    <x v="9"/>
  </r>
  <r>
    <n v="2026"/>
    <n v="7"/>
    <s v="29-07-2026"/>
    <n v="12662"/>
    <s v="1104-01"/>
    <n v="0"/>
    <n v="57990"/>
    <s v="Centralización recaudaciones julio 2026 #5291 - #5291"/>
    <n v="-57990"/>
    <s v="Activo"/>
    <n v="-57990"/>
    <x v="9"/>
  </r>
  <r>
    <n v="2026"/>
    <n v="7"/>
    <s v="29-07-2026"/>
    <n v="12776"/>
    <s v="1104-01"/>
    <n v="0"/>
    <n v="53980"/>
    <s v="Centralización recaudaciones julio 2026 #5402 - #5402"/>
    <n v="-53980"/>
    <s v="Activo"/>
    <n v="-53980"/>
    <x v="9"/>
  </r>
  <r>
    <n v="2026"/>
    <n v="7"/>
    <s v="29-07-2026"/>
    <n v="12813"/>
    <s v="1104-01"/>
    <n v="0"/>
    <n v="39990"/>
    <s v="Centralización recaudaciones julio 2026 #5436 - #5436"/>
    <n v="-39990"/>
    <s v="Activo"/>
    <n v="-39990"/>
    <x v="9"/>
  </r>
  <r>
    <n v="2026"/>
    <n v="7"/>
    <s v="29-07-2026"/>
    <n v="12844"/>
    <s v="1104-01"/>
    <n v="0"/>
    <n v="36277"/>
    <s v="Centralización recaudaciones julio 2026 #5467 - #5467"/>
    <n v="-36277"/>
    <s v="Activo"/>
    <n v="-36277"/>
    <x v="9"/>
  </r>
  <r>
    <n v="2026"/>
    <n v="7"/>
    <s v="29-07-2026"/>
    <n v="12855"/>
    <s v="1104-01"/>
    <n v="0"/>
    <n v="42000"/>
    <s v="Centralización recaudaciones julio 2026 #5478 - #5478"/>
    <n v="-42000"/>
    <s v="Activo"/>
    <n v="-42000"/>
    <x v="9"/>
  </r>
  <r>
    <n v="2026"/>
    <n v="7"/>
    <s v="29-07-2026"/>
    <n v="12878"/>
    <s v="1104-01"/>
    <n v="0"/>
    <n v="30000"/>
    <s v="Centralización recaudaciones julio 2026 #5501 - #5501"/>
    <n v="-30000"/>
    <s v="Activo"/>
    <n v="-30000"/>
    <x v="9"/>
  </r>
  <r>
    <n v="2026"/>
    <n v="7"/>
    <s v="29-07-2026"/>
    <n v="12890"/>
    <s v="1104-01"/>
    <n v="0"/>
    <n v="56980"/>
    <s v="Centralización recaudaciones julio 2026 #5513 - #5513"/>
    <n v="-56980"/>
    <s v="Activo"/>
    <n v="-56980"/>
    <x v="9"/>
  </r>
  <r>
    <n v="2026"/>
    <n v="7"/>
    <s v="29-07-2026"/>
    <n v="12902"/>
    <s v="1104-01"/>
    <n v="0"/>
    <n v="39990"/>
    <s v="Centralización recaudaciones julio 2026 #5525 - #5525"/>
    <n v="-39990"/>
    <s v="Activo"/>
    <n v="-39990"/>
    <x v="9"/>
  </r>
  <r>
    <n v="2026"/>
    <n v="7"/>
    <s v="29-07-2026"/>
    <n v="12912"/>
    <s v="1104-01"/>
    <n v="0"/>
    <n v="30000"/>
    <s v="Centralización recaudaciones julio 2026 #5533 - #5533"/>
    <n v="-30000"/>
    <s v="Activo"/>
    <n v="-30000"/>
    <x v="9"/>
  </r>
  <r>
    <n v="2026"/>
    <n v="7"/>
    <s v="29-07-2026"/>
    <n v="12926"/>
    <s v="1104-01"/>
    <n v="0"/>
    <n v="980"/>
    <s v="Centralización recaudaciones julio 2026 #5547 - #5547"/>
    <n v="-980"/>
    <s v="Activo"/>
    <n v="-980"/>
    <x v="9"/>
  </r>
  <r>
    <n v="2026"/>
    <n v="7"/>
    <s v="29-07-2026"/>
    <n v="12942"/>
    <s v="1104-01"/>
    <n v="0"/>
    <n v="2753"/>
    <s v="Centralización recaudaciones julio 2026 #5563 - #5563"/>
    <n v="-2753"/>
    <s v="Activo"/>
    <n v="-2753"/>
    <x v="9"/>
  </r>
  <r>
    <n v="2026"/>
    <n v="7"/>
    <s v="29-07-2026"/>
    <n v="13013"/>
    <s v="1104-01"/>
    <n v="0"/>
    <n v="43970"/>
    <s v="Centralización recaudaciones julio 2026 #5634 - #5634"/>
    <n v="-43970"/>
    <s v="Activo"/>
    <n v="-43970"/>
    <x v="9"/>
  </r>
  <r>
    <n v="2026"/>
    <n v="7"/>
    <s v="29-07-2026"/>
    <n v="13048"/>
    <s v="1104-01"/>
    <n v="0"/>
    <n v="39990"/>
    <s v="Centralización recaudaciones julio 2026 #5669 - #5669"/>
    <n v="-39990"/>
    <s v="Activo"/>
    <n v="-39990"/>
    <x v="9"/>
  </r>
  <r>
    <n v="2026"/>
    <n v="7"/>
    <s v="29-07-2026"/>
    <n v="13070"/>
    <s v="1104-01"/>
    <n v="0"/>
    <n v="39990"/>
    <s v="Centralización recaudaciones julio 2026 #5691 - #5691"/>
    <n v="-39990"/>
    <s v="Activo"/>
    <n v="-39990"/>
    <x v="9"/>
  </r>
  <r>
    <n v="2026"/>
    <n v="7"/>
    <s v="29-07-2026"/>
    <n v="13074"/>
    <s v="1104-01"/>
    <n v="0"/>
    <n v="39990"/>
    <s v="Centralización recaudaciones julio 2026 #5695 - #5695"/>
    <n v="-39990"/>
    <s v="Activo"/>
    <n v="-39990"/>
    <x v="9"/>
  </r>
  <r>
    <n v="2026"/>
    <n v="7"/>
    <s v="29-07-2026"/>
    <n v="13113"/>
    <s v="1104-01"/>
    <n v="0"/>
    <n v="39990"/>
    <s v="Centralización recaudaciones julio 2026 #5734 - #5734"/>
    <n v="-39990"/>
    <s v="Activo"/>
    <n v="-39990"/>
    <x v="9"/>
  </r>
  <r>
    <n v="2026"/>
    <n v="7"/>
    <s v="29-07-2026"/>
    <n v="13116"/>
    <s v="1104-01"/>
    <n v="0"/>
    <n v="39990"/>
    <s v="Centralización recaudaciones julio 2026 #5737 - #5737"/>
    <n v="-39990"/>
    <s v="Activo"/>
    <n v="-39990"/>
    <x v="9"/>
  </r>
  <r>
    <n v="2026"/>
    <n v="7"/>
    <s v="29-07-2026"/>
    <n v="13168"/>
    <s v="1104-01"/>
    <n v="0"/>
    <n v="30000"/>
    <s v="Centralización recaudaciones julio 2026 #5789 - #5789"/>
    <n v="-30000"/>
    <s v="Activo"/>
    <n v="-30000"/>
    <x v="9"/>
  </r>
  <r>
    <n v="2026"/>
    <n v="7"/>
    <s v="29-07-2026"/>
    <n v="13179"/>
    <s v="1104-01"/>
    <n v="0"/>
    <n v="39990"/>
    <s v="Centralización recaudaciones julio 2026 #5800 - #5800"/>
    <n v="-39990"/>
    <s v="Activo"/>
    <n v="-39990"/>
    <x v="9"/>
  </r>
  <r>
    <n v="2026"/>
    <n v="7"/>
    <s v="29-07-2026"/>
    <n v="13202"/>
    <s v="1104-01"/>
    <n v="0"/>
    <n v="35990"/>
    <s v="Centralización recaudaciones julio 2026 #5823 - #5823"/>
    <n v="-35990"/>
    <s v="Activo"/>
    <n v="-35990"/>
    <x v="9"/>
  </r>
  <r>
    <n v="2026"/>
    <n v="7"/>
    <s v="29-07-2026"/>
    <n v="13241"/>
    <s v="1104-01"/>
    <n v="0"/>
    <n v="2000"/>
    <s v="Centralización recaudaciones julio 2026 #5862 - #5862"/>
    <n v="-2000"/>
    <s v="Activo"/>
    <n v="-2000"/>
    <x v="9"/>
  </r>
  <r>
    <n v="2026"/>
    <n v="7"/>
    <s v="29-07-2026"/>
    <n v="13259"/>
    <s v="1104-01"/>
    <n v="0"/>
    <n v="24990"/>
    <s v="Centralización recaudaciones julio 2026 #5880 - #5880"/>
    <n v="-24990"/>
    <s v="Activo"/>
    <n v="-24990"/>
    <x v="9"/>
  </r>
  <r>
    <n v="2026"/>
    <n v="7"/>
    <s v="29-07-2026"/>
    <n v="13332"/>
    <s v="1104-01"/>
    <n v="0"/>
    <n v="51492"/>
    <s v="Centralización recaudaciones julio 2026 #5953 - #5953"/>
    <n v="-51492"/>
    <s v="Activo"/>
    <n v="-51492"/>
    <x v="9"/>
  </r>
  <r>
    <n v="2026"/>
    <n v="7"/>
    <s v="30-07-2026"/>
    <n v="12650"/>
    <s v="1104-01"/>
    <n v="0"/>
    <n v="7196121"/>
    <s v="Abono clientes boleta"/>
    <n v="-7196121"/>
    <s v="Activo"/>
    <n v="-7196121"/>
    <x v="9"/>
  </r>
  <r>
    <n v="2026"/>
    <n v="7"/>
    <s v="30-07-2026"/>
    <n v="12651"/>
    <s v="1104-01"/>
    <n v="0"/>
    <n v="447815"/>
    <s v="Abono clientes boleta"/>
    <n v="-447815"/>
    <s v="Activo"/>
    <n v="-447815"/>
    <x v="9"/>
  </r>
  <r>
    <n v="2026"/>
    <n v="7"/>
    <s v="30-07-2026"/>
    <n v="12664"/>
    <s v="1104-01"/>
    <n v="0"/>
    <n v="74990"/>
    <s v="Centralización recaudaciones julio 2026 #5293 - #5293"/>
    <n v="-74990"/>
    <s v="Activo"/>
    <n v="-74990"/>
    <x v="9"/>
  </r>
  <r>
    <n v="2026"/>
    <n v="7"/>
    <s v="30-07-2026"/>
    <n v="12672"/>
    <s v="1104-01"/>
    <n v="0"/>
    <n v="66000"/>
    <s v="Centralización recaudaciones julio 2026 #5301 - #5301"/>
    <n v="-66000"/>
    <s v="Activo"/>
    <n v="-66000"/>
    <x v="9"/>
  </r>
  <r>
    <n v="2026"/>
    <n v="7"/>
    <s v="30-07-2026"/>
    <n v="12731"/>
    <s v="1104-01"/>
    <n v="0"/>
    <n v="42990"/>
    <s v="Centralización recaudaciones julio 2026 #5357 - #5357"/>
    <n v="-42990"/>
    <s v="Activo"/>
    <n v="-42990"/>
    <x v="9"/>
  </r>
  <r>
    <n v="2026"/>
    <n v="7"/>
    <s v="30-07-2026"/>
    <n v="12834"/>
    <s v="1104-01"/>
    <n v="0"/>
    <n v="42982"/>
    <s v="Centralización recaudaciones julio 2026 #5457 - #5457"/>
    <n v="-42982"/>
    <s v="Activo"/>
    <n v="-42982"/>
    <x v="9"/>
  </r>
  <r>
    <n v="2026"/>
    <n v="7"/>
    <s v="30-07-2026"/>
    <n v="12845"/>
    <s v="1104-01"/>
    <n v="0"/>
    <n v="3723"/>
    <s v="Centralización recaudaciones julio 2026 #5468 - #5468"/>
    <n v="-3723"/>
    <s v="Activo"/>
    <n v="-3723"/>
    <x v="9"/>
  </r>
  <r>
    <n v="2026"/>
    <n v="7"/>
    <s v="30-07-2026"/>
    <n v="12869"/>
    <s v="1104-01"/>
    <n v="0"/>
    <n v="34990"/>
    <s v="Centralización recaudaciones julio 2026 #5492 - #5492"/>
    <n v="-34990"/>
    <s v="Activo"/>
    <n v="-34990"/>
    <x v="9"/>
  </r>
  <r>
    <n v="2026"/>
    <n v="7"/>
    <s v="30-07-2026"/>
    <n v="12879"/>
    <s v="1104-01"/>
    <n v="0"/>
    <n v="10000"/>
    <s v="Centralización recaudaciones julio 2026 #5502 - #5502"/>
    <n v="-10000"/>
    <s v="Activo"/>
    <n v="-10000"/>
    <x v="9"/>
  </r>
  <r>
    <n v="2026"/>
    <n v="7"/>
    <s v="30-07-2026"/>
    <n v="12913"/>
    <s v="1104-01"/>
    <n v="0"/>
    <n v="10000"/>
    <s v="Centralización recaudaciones julio 2026 #5534 - #5534"/>
    <n v="-10000"/>
    <s v="Activo"/>
    <n v="-10000"/>
    <x v="9"/>
  </r>
  <r>
    <n v="2026"/>
    <n v="7"/>
    <s v="30-07-2026"/>
    <n v="12917"/>
    <s v="1104-01"/>
    <n v="0"/>
    <n v="43980"/>
    <s v="Centralización recaudaciones julio 2026 #5538 - #5538"/>
    <n v="-43980"/>
    <s v="Activo"/>
    <n v="-43980"/>
    <x v="9"/>
  </r>
  <r>
    <n v="2026"/>
    <n v="7"/>
    <s v="30-07-2026"/>
    <n v="13028"/>
    <s v="1104-01"/>
    <n v="0"/>
    <n v="38776"/>
    <s v="Centralización recaudaciones julio 2026 #5649 - #5649"/>
    <n v="-38776"/>
    <s v="Activo"/>
    <n v="-38776"/>
    <x v="9"/>
  </r>
  <r>
    <n v="2026"/>
    <n v="7"/>
    <s v="30-07-2026"/>
    <n v="13122"/>
    <s v="1104-01"/>
    <n v="0"/>
    <n v="80000"/>
    <s v="Centralización recaudaciones julio 2026 #5743 - #5743"/>
    <n v="-80000"/>
    <s v="Activo"/>
    <n v="-80000"/>
    <x v="9"/>
  </r>
  <r>
    <n v="2026"/>
    <n v="7"/>
    <s v="30-07-2026"/>
    <n v="13128"/>
    <s v="1104-01"/>
    <n v="0"/>
    <n v="41638"/>
    <s v="Centralización recaudaciones julio 2026 #5749 - #5749"/>
    <n v="-41638"/>
    <s v="Activo"/>
    <n v="-41638"/>
    <x v="9"/>
  </r>
  <r>
    <n v="2026"/>
    <n v="7"/>
    <s v="30-07-2026"/>
    <n v="13137"/>
    <s v="1104-01"/>
    <n v="0"/>
    <n v="40000"/>
    <s v="Centralización recaudaciones julio 2026 #5758 - #5758"/>
    <n v="-40000"/>
    <s v="Activo"/>
    <n v="-40000"/>
    <x v="9"/>
  </r>
  <r>
    <n v="2026"/>
    <n v="7"/>
    <s v="30-07-2026"/>
    <n v="13147"/>
    <s v="1104-01"/>
    <n v="0"/>
    <n v="41638"/>
    <s v="Centralización recaudaciones julio 2026 #5768 - #5768"/>
    <n v="-41638"/>
    <s v="Activo"/>
    <n v="-41638"/>
    <x v="9"/>
  </r>
  <r>
    <n v="2026"/>
    <n v="7"/>
    <s v="30-07-2026"/>
    <n v="13169"/>
    <s v="1104-01"/>
    <n v="0"/>
    <n v="10000"/>
    <s v="Centralización recaudaciones julio 2026 #5790 - #5790"/>
    <n v="-10000"/>
    <s v="Activo"/>
    <n v="-10000"/>
    <x v="9"/>
  </r>
  <r>
    <n v="2026"/>
    <n v="7"/>
    <s v="30-07-2026"/>
    <n v="13203"/>
    <s v="1104-01"/>
    <n v="0"/>
    <n v="40000"/>
    <s v="Centralización recaudaciones julio 2026 #5824 - #5824"/>
    <n v="-40000"/>
    <s v="Activo"/>
    <n v="-40000"/>
    <x v="9"/>
  </r>
  <r>
    <n v="2026"/>
    <n v="7"/>
    <s v="30-07-2026"/>
    <n v="13223"/>
    <s v="1104-01"/>
    <n v="0"/>
    <n v="41650"/>
    <s v="Centralización recaudaciones julio 2026 #5844 - #5844"/>
    <n v="-41650"/>
    <s v="Activo"/>
    <n v="-41650"/>
    <x v="9"/>
  </r>
  <r>
    <n v="2026"/>
    <n v="7"/>
    <s v="30-07-2026"/>
    <n v="13256"/>
    <s v="1104-01"/>
    <n v="0"/>
    <n v="54990"/>
    <s v="Centralización recaudaciones julio 2026 #5877 - #5877"/>
    <n v="-54990"/>
    <s v="Activo"/>
    <n v="-54990"/>
    <x v="9"/>
  </r>
  <r>
    <n v="2026"/>
    <n v="7"/>
    <s v="30-07-2026"/>
    <n v="13279"/>
    <s v="1104-01"/>
    <n v="0"/>
    <n v="236618"/>
    <s v="Centralización recaudaciones julio 2026 #5900 - #5900"/>
    <n v="-236618"/>
    <s v="Activo"/>
    <n v="-236618"/>
    <x v="9"/>
  </r>
  <r>
    <n v="2026"/>
    <n v="7"/>
    <s v="30-07-2026"/>
    <n v="13284"/>
    <s v="1104-01"/>
    <n v="0"/>
    <n v="330747"/>
    <s v="Centralización recaudaciones julio 2026 #5905 - #5905"/>
    <n v="-330747"/>
    <s v="Activo"/>
    <n v="-330747"/>
    <x v="9"/>
  </r>
  <r>
    <n v="2026"/>
    <n v="7"/>
    <s v="30-07-2026"/>
    <n v="13330"/>
    <s v="1104-01"/>
    <n v="0"/>
    <n v="56649"/>
    <s v="Centralización recaudaciones julio 2026 #5951 - #5951"/>
    <n v="-56649"/>
    <s v="Activo"/>
    <n v="-56649"/>
    <x v="9"/>
  </r>
  <r>
    <n v="2026"/>
    <n v="7"/>
    <s v="31-07-2026"/>
    <n v="12652"/>
    <s v="1104-01"/>
    <n v="0"/>
    <n v="5530116"/>
    <s v="Abono clientes boleta"/>
    <n v="-5530116"/>
    <s v="Activo"/>
    <n v="-5530116"/>
    <x v="9"/>
  </r>
  <r>
    <n v="2026"/>
    <n v="7"/>
    <s v="31-07-2026"/>
    <n v="12653"/>
    <s v="1104-01"/>
    <n v="0"/>
    <n v="623267"/>
    <s v="Abono clientes boleta"/>
    <n v="-623267"/>
    <s v="Activo"/>
    <n v="-623267"/>
    <x v="9"/>
  </r>
  <r>
    <n v="2026"/>
    <n v="7"/>
    <s v="31-07-2026"/>
    <n v="12677"/>
    <s v="1104-01"/>
    <n v="0"/>
    <n v="30000"/>
    <s v="Centralización recaudaciones julio 2026 #5306 - #5306"/>
    <n v="-30000"/>
    <s v="Activo"/>
    <n v="-30000"/>
    <x v="9"/>
  </r>
  <r>
    <n v="2026"/>
    <n v="7"/>
    <s v="31-07-2026"/>
    <n v="12680"/>
    <s v="1104-01"/>
    <n v="0"/>
    <n v="68990"/>
    <s v="Centralización recaudaciones julio 2026 #5309 - #5309"/>
    <n v="-68990"/>
    <s v="Activo"/>
    <n v="-68990"/>
    <x v="9"/>
  </r>
  <r>
    <n v="2026"/>
    <n v="7"/>
    <s v="31-07-2026"/>
    <n v="12686"/>
    <s v="1104-01"/>
    <n v="0"/>
    <n v="396356"/>
    <s v="Centralización recaudaciones julio 2026 #5315 - #5315"/>
    <n v="-396356"/>
    <s v="Activo"/>
    <n v="-396356"/>
    <x v="9"/>
  </r>
  <r>
    <n v="2026"/>
    <n v="7"/>
    <s v="31-07-2026"/>
    <n v="12688"/>
    <s v="1104-01"/>
    <n v="0"/>
    <n v="49990"/>
    <s v="Centralización recaudaciones julio 2026 #5317 - #5317"/>
    <n v="-49990"/>
    <s v="Activo"/>
    <n v="-49990"/>
    <x v="9"/>
  </r>
  <r>
    <n v="2026"/>
    <n v="7"/>
    <s v="31-07-2026"/>
    <n v="12691"/>
    <s v="1104-01"/>
    <n v="0"/>
    <n v="130100"/>
    <s v="Centralización recaudaciones julio 2026 #5320 - #5320"/>
    <n v="-130100"/>
    <s v="Activo"/>
    <n v="-130100"/>
    <x v="9"/>
  </r>
  <r>
    <n v="2026"/>
    <n v="7"/>
    <s v="31-07-2026"/>
    <n v="12740"/>
    <s v="1104-01"/>
    <n v="0"/>
    <n v="58000"/>
    <s v="Centralización recaudaciones julio 2026 #5366 - #5366"/>
    <n v="-58000"/>
    <s v="Activo"/>
    <n v="-58000"/>
    <x v="9"/>
  </r>
  <r>
    <n v="2026"/>
    <n v="7"/>
    <s v="31-07-2026"/>
    <n v="12748"/>
    <s v="1104-01"/>
    <n v="0"/>
    <n v="68000"/>
    <s v="Centralización recaudaciones julio 2026 #5374 - #5374"/>
    <n v="-68000"/>
    <s v="Activo"/>
    <n v="-68000"/>
    <x v="9"/>
  </r>
  <r>
    <n v="2026"/>
    <n v="7"/>
    <s v="31-07-2026"/>
    <n v="12752"/>
    <s v="1104-01"/>
    <n v="0"/>
    <n v="30000"/>
    <s v="Centralización recaudaciones julio 2026 #5378 - #5378"/>
    <n v="-30000"/>
    <s v="Activo"/>
    <n v="-30000"/>
    <x v="9"/>
  </r>
  <r>
    <n v="2026"/>
    <n v="7"/>
    <s v="31-07-2026"/>
    <n v="12756"/>
    <s v="1104-01"/>
    <n v="0"/>
    <n v="30000"/>
    <s v="Centralización recaudaciones julio 2026 #5382 - #5382"/>
    <n v="-30000"/>
    <s v="Activo"/>
    <n v="-30000"/>
    <x v="9"/>
  </r>
  <r>
    <n v="2026"/>
    <n v="7"/>
    <s v="31-07-2026"/>
    <n v="12768"/>
    <s v="1104-01"/>
    <n v="0"/>
    <n v="30000"/>
    <s v="Centralización recaudaciones julio 2026 #5394 - #5394"/>
    <n v="-30000"/>
    <s v="Activo"/>
    <n v="-30000"/>
    <x v="9"/>
  </r>
  <r>
    <n v="2026"/>
    <n v="7"/>
    <s v="31-07-2026"/>
    <n v="12770"/>
    <s v="1104-01"/>
    <n v="0"/>
    <n v="44990"/>
    <s v="Centralización recaudaciones julio 2026 #5396 - #5396"/>
    <n v="-44990"/>
    <s v="Activo"/>
    <n v="-44990"/>
    <x v="9"/>
  </r>
  <r>
    <n v="2026"/>
    <n v="7"/>
    <s v="31-07-2026"/>
    <n v="12790"/>
    <s v="1104-01"/>
    <n v="0"/>
    <n v="134351"/>
    <s v="Centralización recaudaciones julio 2026 #5413 - #5413"/>
    <n v="-134351"/>
    <s v="Activo"/>
    <n v="-134351"/>
    <x v="9"/>
  </r>
  <r>
    <n v="2026"/>
    <n v="7"/>
    <s v="31-07-2026"/>
    <n v="12812"/>
    <s v="1104-01"/>
    <n v="0"/>
    <n v="90000"/>
    <s v="Centralización recaudaciones julio 2026 #5435 - #5435"/>
    <n v="-90000"/>
    <s v="Activo"/>
    <n v="-90000"/>
    <x v="9"/>
  </r>
  <r>
    <n v="2026"/>
    <n v="7"/>
    <s v="31-07-2026"/>
    <n v="12825"/>
    <s v="1104-01"/>
    <n v="0"/>
    <n v="50000"/>
    <s v="Centralización recaudaciones julio 2026 #5448 - #5448"/>
    <n v="-50000"/>
    <s v="Activo"/>
    <n v="-50000"/>
    <x v="9"/>
  </r>
  <r>
    <n v="2026"/>
    <n v="7"/>
    <s v="31-07-2026"/>
    <n v="12838"/>
    <s v="1104-01"/>
    <n v="0"/>
    <n v="67980"/>
    <s v="Centralización recaudaciones julio 2026 #5461 - #5461"/>
    <n v="-67980"/>
    <s v="Activo"/>
    <n v="-67980"/>
    <x v="9"/>
  </r>
  <r>
    <n v="2026"/>
    <n v="7"/>
    <s v="31-07-2026"/>
    <n v="12843"/>
    <s v="1104-01"/>
    <n v="0"/>
    <n v="38000"/>
    <s v="Centralización recaudaciones julio 2026 #5466 - #5466"/>
    <n v="-38000"/>
    <s v="Activo"/>
    <n v="-38000"/>
    <x v="9"/>
  </r>
  <r>
    <n v="2026"/>
    <n v="7"/>
    <s v="31-07-2026"/>
    <n v="12857"/>
    <s v="1104-01"/>
    <n v="0"/>
    <n v="437448"/>
    <s v="Centralización recaudaciones julio 2026 #5480 - #5480"/>
    <n v="-437448"/>
    <s v="Activo"/>
    <n v="-437448"/>
    <x v="9"/>
  </r>
  <r>
    <n v="2026"/>
    <n v="7"/>
    <s v="31-07-2026"/>
    <n v="12868"/>
    <s v="1104-01"/>
    <n v="0"/>
    <n v="200000"/>
    <s v="Centralización recaudaciones julio 2026 #5491 - #5491"/>
    <n v="-200000"/>
    <s v="Activo"/>
    <n v="-200000"/>
    <x v="9"/>
  </r>
  <r>
    <n v="2026"/>
    <n v="7"/>
    <s v="31-07-2026"/>
    <n v="12870"/>
    <s v="1104-01"/>
    <n v="0"/>
    <n v="8970"/>
    <s v="Centralización recaudaciones julio 2026 #5493 - #5493"/>
    <n v="-8970"/>
    <s v="Activo"/>
    <n v="-8970"/>
    <x v="9"/>
  </r>
  <r>
    <n v="2026"/>
    <n v="7"/>
    <s v="31-07-2026"/>
    <n v="12876"/>
    <s v="1104-01"/>
    <n v="0"/>
    <n v="69990"/>
    <s v="Centralización recaudaciones julio 2026 #5499 - #5499"/>
    <n v="-69990"/>
    <s v="Activo"/>
    <n v="-69990"/>
    <x v="9"/>
  </r>
  <r>
    <n v="2026"/>
    <n v="7"/>
    <s v="31-07-2026"/>
    <n v="12900"/>
    <s v="1104-01"/>
    <n v="0"/>
    <n v="69980"/>
    <s v="Centralización recaudaciones julio 2026 #5523 - #5523"/>
    <n v="-69980"/>
    <s v="Activo"/>
    <n v="-69980"/>
    <x v="9"/>
  </r>
  <r>
    <n v="2026"/>
    <n v="7"/>
    <s v="31-07-2026"/>
    <n v="12901"/>
    <s v="1104-01"/>
    <n v="0"/>
    <n v="49970"/>
    <s v="Centralización recaudaciones julio 2026 #5524 - #5524"/>
    <n v="-49970"/>
    <s v="Activo"/>
    <n v="-49970"/>
    <x v="9"/>
  </r>
  <r>
    <n v="2026"/>
    <n v="7"/>
    <s v="31-07-2026"/>
    <n v="12938"/>
    <s v="1104-01"/>
    <n v="0"/>
    <n v="70980"/>
    <s v="Centralización recaudaciones julio 2026 #5559 - #5559"/>
    <n v="-70980"/>
    <s v="Activo"/>
    <n v="-70980"/>
    <x v="9"/>
  </r>
  <r>
    <n v="2026"/>
    <n v="7"/>
    <s v="31-07-2026"/>
    <n v="12945"/>
    <s v="1104-01"/>
    <n v="0"/>
    <n v="219960"/>
    <s v="Centralización recaudaciones julio 2026 #5566 - #5566"/>
    <n v="-219960"/>
    <s v="Activo"/>
    <n v="-219960"/>
    <x v="9"/>
  </r>
  <r>
    <n v="2026"/>
    <n v="7"/>
    <s v="31-07-2026"/>
    <n v="12976"/>
    <s v="1104-01"/>
    <n v="0"/>
    <n v="19990"/>
    <s v="Centralización recaudaciones julio 2026 #5597 - #5597"/>
    <n v="-19990"/>
    <s v="Activo"/>
    <n v="-19990"/>
    <x v="9"/>
  </r>
  <r>
    <n v="2026"/>
    <n v="7"/>
    <s v="31-07-2026"/>
    <n v="12994"/>
    <s v="1104-01"/>
    <n v="0"/>
    <n v="10531"/>
    <s v="Centralización recaudaciones julio 2026 #5615 - #5615"/>
    <n v="-10531"/>
    <s v="Activo"/>
    <n v="-10531"/>
    <x v="9"/>
  </r>
  <r>
    <n v="2026"/>
    <n v="7"/>
    <s v="31-07-2026"/>
    <n v="13010"/>
    <s v="1104-01"/>
    <n v="0"/>
    <n v="43782"/>
    <s v="Centralización recaudaciones julio 2026 #5631 - #5631"/>
    <n v="-43782"/>
    <s v="Activo"/>
    <n v="-43782"/>
    <x v="9"/>
  </r>
  <r>
    <n v="2026"/>
    <n v="7"/>
    <s v="31-07-2026"/>
    <n v="13022"/>
    <s v="1104-01"/>
    <n v="0"/>
    <n v="437448"/>
    <s v="Centralización recaudaciones julio 2026 #5643 - #5643"/>
    <n v="-437448"/>
    <s v="Activo"/>
    <n v="-437448"/>
    <x v="9"/>
  </r>
  <r>
    <n v="2026"/>
    <n v="7"/>
    <s v="31-07-2026"/>
    <n v="13029"/>
    <s v="1104-01"/>
    <n v="0"/>
    <n v="4214"/>
    <s v="Centralización recaudaciones julio 2026 #5650 - #5650"/>
    <n v="-4214"/>
    <s v="Activo"/>
    <n v="-4214"/>
    <x v="9"/>
  </r>
  <r>
    <n v="2026"/>
    <n v="7"/>
    <s v="31-07-2026"/>
    <n v="13044"/>
    <s v="1104-01"/>
    <n v="0"/>
    <n v="42990"/>
    <s v="Centralización recaudaciones julio 2026 #5665 - #5665"/>
    <n v="-42990"/>
    <s v="Activo"/>
    <n v="-42990"/>
    <x v="9"/>
  </r>
  <r>
    <n v="2026"/>
    <n v="7"/>
    <s v="31-07-2026"/>
    <n v="13061"/>
    <s v="1104-01"/>
    <n v="0"/>
    <n v="44990"/>
    <s v="Centralización recaudaciones julio 2026 #5682 - #5682"/>
    <n v="-44990"/>
    <s v="Activo"/>
    <n v="-44990"/>
    <x v="9"/>
  </r>
  <r>
    <n v="2026"/>
    <n v="7"/>
    <s v="31-07-2026"/>
    <n v="13068"/>
    <s v="1104-01"/>
    <n v="0"/>
    <n v="50000"/>
    <s v="Centralización recaudaciones julio 2026 #5689 - #5689"/>
    <n v="-50000"/>
    <s v="Activo"/>
    <n v="-50000"/>
    <x v="9"/>
  </r>
  <r>
    <n v="2026"/>
    <n v="7"/>
    <s v="31-07-2026"/>
    <n v="13069"/>
    <s v="1104-01"/>
    <n v="0"/>
    <n v="50000"/>
    <s v="Centralización recaudaciones julio 2026 #5690 - #5690"/>
    <n v="-50000"/>
    <s v="Activo"/>
    <n v="-50000"/>
    <x v="9"/>
  </r>
  <r>
    <n v="2026"/>
    <n v="7"/>
    <s v="31-07-2026"/>
    <n v="13093"/>
    <s v="1104-01"/>
    <n v="0"/>
    <n v="70970"/>
    <s v="Centralización recaudaciones julio 2026 #5714 - #5714"/>
    <n v="-70970"/>
    <s v="Activo"/>
    <n v="-70970"/>
    <x v="9"/>
  </r>
  <r>
    <n v="2026"/>
    <n v="7"/>
    <s v="31-07-2026"/>
    <n v="13094"/>
    <s v="1104-01"/>
    <n v="0"/>
    <n v="43980"/>
    <s v="Centralización recaudaciones julio 2026 #5715 - #5715"/>
    <n v="-43980"/>
    <s v="Activo"/>
    <n v="-43980"/>
    <x v="9"/>
  </r>
  <r>
    <n v="2026"/>
    <n v="7"/>
    <s v="31-07-2026"/>
    <n v="13095"/>
    <s v="1104-01"/>
    <n v="0"/>
    <n v="69990"/>
    <s v="Centralización recaudaciones julio 2026 #5716 - #5716"/>
    <n v="-69990"/>
    <s v="Activo"/>
    <n v="-69990"/>
    <x v="9"/>
  </r>
  <r>
    <n v="2026"/>
    <n v="7"/>
    <s v="31-07-2026"/>
    <n v="13099"/>
    <s v="1104-01"/>
    <n v="0"/>
    <n v="69980"/>
    <s v="Centralización recaudaciones julio 2026 #5720 - #5720"/>
    <n v="-69980"/>
    <s v="Activo"/>
    <n v="-69980"/>
    <x v="9"/>
  </r>
  <r>
    <n v="2026"/>
    <n v="7"/>
    <s v="31-07-2026"/>
    <n v="13107"/>
    <s v="1104-01"/>
    <n v="0"/>
    <n v="50000"/>
    <s v="Centralización recaudaciones julio 2026 #5728 - #5728"/>
    <n v="-50000"/>
    <s v="Activo"/>
    <n v="-50000"/>
    <x v="9"/>
  </r>
  <r>
    <n v="2026"/>
    <n v="7"/>
    <s v="31-07-2026"/>
    <n v="13109"/>
    <s v="1104-01"/>
    <n v="0"/>
    <n v="29990"/>
    <s v="Centralización recaudaciones julio 2026 #5730 - #5730"/>
    <n v="-29990"/>
    <s v="Activo"/>
    <n v="-29990"/>
    <x v="9"/>
  </r>
  <r>
    <n v="2026"/>
    <n v="7"/>
    <s v="31-07-2026"/>
    <n v="13112"/>
    <s v="1104-01"/>
    <n v="0"/>
    <n v="44990"/>
    <s v="Centralización recaudaciones julio 2026 #5733 - #5733"/>
    <n v="-44990"/>
    <s v="Activo"/>
    <n v="-44990"/>
    <x v="9"/>
  </r>
  <r>
    <n v="2026"/>
    <n v="7"/>
    <s v="31-07-2026"/>
    <n v="13150"/>
    <s v="1104-01"/>
    <n v="0"/>
    <n v="66640"/>
    <s v="Centralización recaudaciones julio 2026 #5771 - #5771"/>
    <n v="-66640"/>
    <s v="Activo"/>
    <n v="-66640"/>
    <x v="9"/>
  </r>
  <r>
    <n v="2026"/>
    <n v="7"/>
    <s v="31-07-2026"/>
    <n v="13178"/>
    <s v="1104-01"/>
    <n v="0"/>
    <n v="38980"/>
    <s v="Centralización recaudaciones julio 2026 #5799 - #5799"/>
    <n v="-38980"/>
    <s v="Activo"/>
    <n v="-38980"/>
    <x v="9"/>
  </r>
  <r>
    <n v="2026"/>
    <n v="7"/>
    <s v="31-07-2026"/>
    <n v="13189"/>
    <s v="1104-01"/>
    <n v="0"/>
    <n v="44990"/>
    <s v="Centralización recaudaciones julio 2026 #5810 - #5810"/>
    <n v="-44990"/>
    <s v="Activo"/>
    <n v="-44990"/>
    <x v="9"/>
  </r>
  <r>
    <n v="2026"/>
    <n v="7"/>
    <s v="31-07-2026"/>
    <n v="13190"/>
    <s v="1104-01"/>
    <n v="0"/>
    <n v="49980"/>
    <s v="Centralización recaudaciones julio 2026 #5811 - #5811"/>
    <n v="-49980"/>
    <s v="Activo"/>
    <n v="-49980"/>
    <x v="9"/>
  </r>
  <r>
    <n v="2026"/>
    <n v="7"/>
    <s v="31-07-2026"/>
    <n v="13222"/>
    <s v="1104-01"/>
    <n v="0"/>
    <n v="520000"/>
    <s v="Centralización recaudaciones julio 2026 #5843 - #5843"/>
    <n v="-520000"/>
    <s v="Activo"/>
    <n v="-520000"/>
    <x v="9"/>
  </r>
  <r>
    <n v="2026"/>
    <n v="7"/>
    <s v="31-07-2026"/>
    <n v="13229"/>
    <s v="1104-01"/>
    <n v="0"/>
    <n v="520000"/>
    <s v="Centralización recaudaciones julio 2026 #5850 - #5850"/>
    <n v="-520000"/>
    <s v="Activo"/>
    <n v="-520000"/>
    <x v="9"/>
  </r>
  <r>
    <n v="2026"/>
    <n v="7"/>
    <s v="31-07-2026"/>
    <n v="13251"/>
    <s v="1104-01"/>
    <n v="0"/>
    <n v="89250"/>
    <s v="Centralización recaudaciones julio 2026 #5872 - #5872"/>
    <n v="-89250"/>
    <s v="Activo"/>
    <n v="-89250"/>
    <x v="9"/>
  </r>
  <r>
    <n v="2026"/>
    <n v="7"/>
    <s v="31-07-2026"/>
    <n v="13277"/>
    <s v="1104-01"/>
    <n v="0"/>
    <n v="1706000"/>
    <s v="Centralización recaudaciones julio 2026 #5898 - #5898"/>
    <n v="-1706000"/>
    <s v="Activo"/>
    <n v="-1706000"/>
    <x v="9"/>
  </r>
  <r>
    <n v="2026"/>
    <n v="7"/>
    <s v="31-07-2026"/>
    <n v="13290"/>
    <s v="1104-01"/>
    <n v="0"/>
    <n v="50000"/>
    <s v="Centralización recaudaciones julio 2026 #5911 - #5911"/>
    <n v="-50000"/>
    <s v="Activo"/>
    <n v="-50000"/>
    <x v="9"/>
  </r>
  <r>
    <n v="2026"/>
    <n v="7"/>
    <s v="31-07-2026"/>
    <n v="13297"/>
    <s v="1104-01"/>
    <n v="0"/>
    <n v="378420"/>
    <s v="Centralización recaudaciones julio 2026 #5918 - #5918"/>
    <n v="-378420"/>
    <s v="Activo"/>
    <n v="-378420"/>
    <x v="9"/>
  </r>
  <r>
    <n v="2026"/>
    <n v="7"/>
    <s v="31-07-2026"/>
    <n v="13298"/>
    <s v="1104-01"/>
    <n v="0"/>
    <n v="50000"/>
    <s v="Centralización recaudaciones julio 2026 #5919 - #5919"/>
    <n v="-50000"/>
    <s v="Activo"/>
    <n v="-50000"/>
    <x v="9"/>
  </r>
  <r>
    <n v="2026"/>
    <n v="7"/>
    <s v="31-07-2026"/>
    <n v="13313"/>
    <s v="1104-01"/>
    <n v="0"/>
    <n v="45000"/>
    <s v="Centralización recaudaciones julio 2026 #5934 - #5934"/>
    <n v="-45000"/>
    <s v="Activo"/>
    <n v="-45000"/>
    <x v="9"/>
  </r>
  <r>
    <n v="2026"/>
    <n v="7"/>
    <s v="31-07-2026"/>
    <n v="13323"/>
    <s v="1104-01"/>
    <n v="0"/>
    <n v="49564"/>
    <s v="Centralización recaudaciones julio 2026 #5944 - #5944"/>
    <n v="-49564"/>
    <s v="Activo"/>
    <n v="-49564"/>
    <x v="9"/>
  </r>
  <r>
    <n v="2026"/>
    <n v="7"/>
    <s v="31-07-2026"/>
    <n v="13327"/>
    <s v="1104-01"/>
    <n v="0"/>
    <n v="70993"/>
    <s v="Centralización recaudaciones julio 2026 #5948 - #5948"/>
    <n v="-70993"/>
    <s v="Activo"/>
    <n v="-70993"/>
    <x v="9"/>
  </r>
  <r>
    <n v="2026"/>
    <n v="7"/>
    <s v="31-07-2026"/>
    <n v="13328"/>
    <s v="1104-01"/>
    <n v="0"/>
    <n v="71492"/>
    <s v="Centralización recaudaciones julio 2026 #5949 - #5949"/>
    <n v="-71492"/>
    <s v="Activo"/>
    <n v="-71492"/>
    <x v="9"/>
  </r>
  <r>
    <n v="2026"/>
    <n v="7"/>
    <s v="31-07-2026"/>
    <n v="13334"/>
    <s v="1104-01"/>
    <n v="0"/>
    <n v="1438256"/>
    <s v="Centralización recaudaciones julio 2026"/>
    <n v="-1438256"/>
    <s v="Activo"/>
    <n v="-1438256"/>
    <x v="9"/>
  </r>
  <r>
    <n v="2026"/>
    <n v="7"/>
    <s v="31-07-2026"/>
    <n v="10851"/>
    <s v="1104-01"/>
    <n v="253151448"/>
    <n v="0"/>
    <s v="Centralización ventas julio 2026  - valor total"/>
    <n v="253151448"/>
    <s v="Activo"/>
    <n v="253151448"/>
    <x v="9"/>
  </r>
  <r>
    <n v="2026"/>
    <n v="7"/>
    <s v="31-07-2026"/>
    <n v="10851"/>
    <s v="1104-01"/>
    <n v="0"/>
    <n v="9385126"/>
    <s v="Centralización ventas julio 2026  - valor total"/>
    <n v="-9385126"/>
    <s v="Activo"/>
    <n v="-9385126"/>
    <x v="9"/>
  </r>
  <r>
    <n v="2026"/>
    <n v="4"/>
    <s v="30-04-2026"/>
    <n v="10778"/>
    <s v="1105-10"/>
    <n v="35601923"/>
    <n v="0"/>
    <s v="Impuesto a la renta at 2026"/>
    <n v="35601923"/>
    <s v="Activo"/>
    <n v="35601923"/>
    <x v="10"/>
  </r>
  <r>
    <n v="2026"/>
    <n v="5"/>
    <s v="27-05-2026"/>
    <n v="11949"/>
    <s v="1105-10"/>
    <n v="0"/>
    <n v="35601923"/>
    <s v="Devolucion impto a la renta at 2026"/>
    <n v="-35601923"/>
    <s v="Activo"/>
    <n v="-35601923"/>
    <x v="10"/>
  </r>
  <r>
    <n v="2026"/>
    <n v="1"/>
    <s v="01-01-2026"/>
    <n v="9827"/>
    <s v="1105-18"/>
    <n v="34150079"/>
    <n v="0"/>
    <s v=""/>
    <n v="34150079"/>
    <s v="Activo"/>
    <n v="34150079"/>
    <x v="11"/>
  </r>
  <r>
    <n v="2026"/>
    <n v="1"/>
    <s v="01-01-2026"/>
    <n v="9827"/>
    <s v="1105-19"/>
    <n v="110881500"/>
    <n v="0"/>
    <s v=""/>
    <n v="110881500"/>
    <s v="Activo"/>
    <n v="110881500"/>
    <x v="12"/>
  </r>
  <r>
    <n v="2026"/>
    <n v="1"/>
    <s v="01-01-2026"/>
    <n v="9827"/>
    <s v="1106-01"/>
    <n v="101106998"/>
    <n v="0"/>
    <s v=""/>
    <n v="101106998"/>
    <s v="Activo"/>
    <n v="101106998"/>
    <x v="13"/>
  </r>
  <r>
    <n v="2026"/>
    <n v="2"/>
    <s v="23-02-2026"/>
    <n v="7223"/>
    <s v="1106-01"/>
    <n v="5000000"/>
    <n v="0"/>
    <s v="0774344497 transf a botsch spa"/>
    <n v="5000000"/>
    <s v="Activo"/>
    <n v="5000000"/>
    <x v="13"/>
  </r>
  <r>
    <n v="2026"/>
    <n v="2"/>
    <s v="23-02-2026"/>
    <n v="7224"/>
    <s v="1106-01"/>
    <n v="5000000"/>
    <n v="0"/>
    <s v="0774344497 transf a botsch spa"/>
    <n v="5000000"/>
    <s v="Activo"/>
    <n v="5000000"/>
    <x v="13"/>
  </r>
  <r>
    <n v="2026"/>
    <n v="2"/>
    <s v="23-02-2026"/>
    <n v="7225"/>
    <s v="1106-01"/>
    <n v="5000000"/>
    <n v="0"/>
    <s v="0774344497 transf a botsch spa"/>
    <n v="5000000"/>
    <s v="Activo"/>
    <n v="5000000"/>
    <x v="13"/>
  </r>
  <r>
    <n v="2026"/>
    <n v="2"/>
    <s v="23-02-2026"/>
    <n v="7226"/>
    <s v="1106-01"/>
    <n v="5000000"/>
    <n v="0"/>
    <s v="0774344497 transf a botsch spa"/>
    <n v="5000000"/>
    <s v="Activo"/>
    <n v="5000000"/>
    <x v="13"/>
  </r>
  <r>
    <n v="2026"/>
    <n v="2"/>
    <s v="23-02-2026"/>
    <n v="7227"/>
    <s v="1106-01"/>
    <n v="5000000"/>
    <n v="0"/>
    <s v="0774344497 transf a botsch spa"/>
    <n v="5000000"/>
    <s v="Activo"/>
    <n v="5000000"/>
    <x v="13"/>
  </r>
  <r>
    <n v="2026"/>
    <n v="2"/>
    <s v="23-02-2026"/>
    <n v="7228"/>
    <s v="1106-01"/>
    <n v="5000000"/>
    <n v="0"/>
    <s v="0774344497 transf a botsch spa"/>
    <n v="5000000"/>
    <s v="Activo"/>
    <n v="5000000"/>
    <x v="13"/>
  </r>
  <r>
    <n v="2026"/>
    <n v="2"/>
    <s v="23-02-2026"/>
    <n v="7229"/>
    <s v="1106-01"/>
    <n v="5000000"/>
    <n v="0"/>
    <s v="0774344497 transf a botsch spa"/>
    <n v="5000000"/>
    <s v="Activo"/>
    <n v="5000000"/>
    <x v="13"/>
  </r>
  <r>
    <n v="2026"/>
    <n v="2"/>
    <s v="23-02-2026"/>
    <n v="7230"/>
    <s v="1106-01"/>
    <n v="5000000"/>
    <n v="0"/>
    <s v="0774344497 transf a botsch spa"/>
    <n v="5000000"/>
    <s v="Activo"/>
    <n v="5000000"/>
    <x v="13"/>
  </r>
  <r>
    <n v="2026"/>
    <n v="2"/>
    <s v="23-02-2026"/>
    <n v="7231"/>
    <s v="1106-01"/>
    <n v="5000000"/>
    <n v="0"/>
    <s v="0774344497 transf a botsch spa"/>
    <n v="5000000"/>
    <s v="Activo"/>
    <n v="5000000"/>
    <x v="13"/>
  </r>
  <r>
    <n v="2026"/>
    <n v="2"/>
    <s v="23-02-2026"/>
    <n v="7232"/>
    <s v="1106-01"/>
    <n v="5000000"/>
    <n v="0"/>
    <s v="0774344497 transf a botsch spa"/>
    <n v="5000000"/>
    <s v="Activo"/>
    <n v="5000000"/>
    <x v="13"/>
  </r>
  <r>
    <n v="2026"/>
    <n v="2"/>
    <s v="23-02-2026"/>
    <n v="7233"/>
    <s v="1106-01"/>
    <n v="5000000"/>
    <n v="0"/>
    <s v="0774344497 transf a botsch spa"/>
    <n v="5000000"/>
    <s v="Activo"/>
    <n v="5000000"/>
    <x v="13"/>
  </r>
  <r>
    <n v="2026"/>
    <n v="2"/>
    <s v="23-02-2026"/>
    <n v="7234"/>
    <s v="1106-01"/>
    <n v="5000000"/>
    <n v="0"/>
    <s v="0774344497 transf a botsch spa"/>
    <n v="5000000"/>
    <s v="Activo"/>
    <n v="5000000"/>
    <x v="13"/>
  </r>
  <r>
    <n v="2026"/>
    <n v="2"/>
    <s v="23-02-2026"/>
    <n v="7235"/>
    <s v="1106-01"/>
    <n v="5000000"/>
    <n v="0"/>
    <s v="0774344497 transf a botsch spa"/>
    <n v="5000000"/>
    <s v="Activo"/>
    <n v="5000000"/>
    <x v="13"/>
  </r>
  <r>
    <n v="2026"/>
    <n v="2"/>
    <s v="23-02-2026"/>
    <n v="7236"/>
    <s v="1106-01"/>
    <n v="5000000"/>
    <n v="0"/>
    <s v="0774344497 transf a botsch spa"/>
    <n v="5000000"/>
    <s v="Activo"/>
    <n v="5000000"/>
    <x v="13"/>
  </r>
  <r>
    <n v="2026"/>
    <n v="2"/>
    <s v="23-02-2026"/>
    <n v="7237"/>
    <s v="1106-01"/>
    <n v="5000000"/>
    <n v="0"/>
    <s v="0774344497 transf a botsch spa"/>
    <n v="5000000"/>
    <s v="Activo"/>
    <n v="5000000"/>
    <x v="13"/>
  </r>
  <r>
    <n v="2026"/>
    <n v="2"/>
    <s v="23-02-2026"/>
    <n v="7238"/>
    <s v="1106-01"/>
    <n v="5000000"/>
    <n v="0"/>
    <s v="0774344497 transf a botsch spa"/>
    <n v="5000000"/>
    <s v="Activo"/>
    <n v="5000000"/>
    <x v="13"/>
  </r>
  <r>
    <n v="2026"/>
    <n v="2"/>
    <s v="23-02-2026"/>
    <n v="7239"/>
    <s v="1106-01"/>
    <n v="5000000"/>
    <n v="0"/>
    <s v="0774344497 transf a botsch spa"/>
    <n v="5000000"/>
    <s v="Activo"/>
    <n v="5000000"/>
    <x v="13"/>
  </r>
  <r>
    <n v="2026"/>
    <n v="2"/>
    <s v="23-02-2026"/>
    <n v="7240"/>
    <s v="1106-01"/>
    <n v="5000000"/>
    <n v="0"/>
    <s v="0774344497 transf a botsch spa"/>
    <n v="5000000"/>
    <s v="Activo"/>
    <n v="5000000"/>
    <x v="13"/>
  </r>
  <r>
    <n v="2026"/>
    <n v="2"/>
    <s v="23-02-2026"/>
    <n v="7241"/>
    <s v="1106-01"/>
    <n v="5000000"/>
    <n v="0"/>
    <s v="0774344497 transf a botsch spa"/>
    <n v="5000000"/>
    <s v="Activo"/>
    <n v="5000000"/>
    <x v="13"/>
  </r>
  <r>
    <n v="2026"/>
    <n v="2"/>
    <s v="23-02-2026"/>
    <n v="7243"/>
    <s v="1106-01"/>
    <n v="2729343"/>
    <n v="0"/>
    <s v="0774344497 transf a botsch spa"/>
    <n v="2729343"/>
    <s v="Activo"/>
    <n v="2729343"/>
    <x v="13"/>
  </r>
  <r>
    <n v="2026"/>
    <n v="1"/>
    <s v="01-01-2026"/>
    <n v="9827"/>
    <s v="1106-02"/>
    <n v="1402508"/>
    <n v="0"/>
    <s v=""/>
    <n v="1402508"/>
    <s v="Activo"/>
    <n v="1402508"/>
    <x v="14"/>
  </r>
  <r>
    <n v="2026"/>
    <n v="1"/>
    <s v="05-01-2026"/>
    <n v="8432"/>
    <s v="1106-02"/>
    <n v="0"/>
    <n v="847525"/>
    <s v="Cuentas apertura"/>
    <n v="-847525"/>
    <s v="Activo"/>
    <n v="-847525"/>
    <x v="14"/>
  </r>
  <r>
    <n v="2026"/>
    <n v="1"/>
    <s v="01-01-2026"/>
    <n v="9827"/>
    <s v="1106-03"/>
    <n v="63978"/>
    <n v="0"/>
    <s v=""/>
    <n v="63978"/>
    <s v="Activo"/>
    <n v="63978"/>
    <x v="15"/>
  </r>
  <r>
    <n v="2026"/>
    <n v="1"/>
    <s v="02-01-2026"/>
    <n v="6921"/>
    <s v="1106-03"/>
    <n v="4988194"/>
    <n v="0"/>
    <s v="0153722110 transf a quezada pereir"/>
    <n v="4988194"/>
    <s v="Activo"/>
    <n v="4988194"/>
    <x v="15"/>
  </r>
  <r>
    <n v="2026"/>
    <n v="1"/>
    <s v="02-01-2026"/>
    <n v="6924"/>
    <s v="1106-03"/>
    <n v="1652049"/>
    <n v="0"/>
    <s v="0127635536 transf a rodrigo bernar"/>
    <n v="1652049"/>
    <s v="Activo"/>
    <n v="1652049"/>
    <x v="15"/>
  </r>
  <r>
    <n v="2026"/>
    <n v="2"/>
    <s v="06-02-2026"/>
    <n v="7129"/>
    <s v="1106-03"/>
    <n v="1000000"/>
    <n v="0"/>
    <s v="0170226380 transf a freddy alex ro"/>
    <n v="1000000"/>
    <s v="Activo"/>
    <n v="1000000"/>
    <x v="15"/>
  </r>
  <r>
    <n v="2026"/>
    <n v="2"/>
    <s v="28-02-2026"/>
    <n v="9813"/>
    <s v="1106-03"/>
    <n v="0"/>
    <n v="219922"/>
    <s v="Centralizacion remuneraciones febrero"/>
    <n v="-219922"/>
    <s v="Activo"/>
    <n v="-219922"/>
    <x v="15"/>
  </r>
  <r>
    <n v="2026"/>
    <n v="3"/>
    <s v="31-03-2026"/>
    <n v="10744"/>
    <s v="1106-03"/>
    <n v="0"/>
    <n v="219922"/>
    <s v="Centralizacion remuneraciones marzo"/>
    <n v="-219922"/>
    <s v="Activo"/>
    <n v="-219922"/>
    <x v="15"/>
  </r>
  <r>
    <n v="2026"/>
    <n v="4"/>
    <s v="30-04-2026"/>
    <n v="10757"/>
    <s v="1106-03"/>
    <n v="0"/>
    <n v="219922"/>
    <s v="Centralizacion remuneraciones abril"/>
    <n v="-219922"/>
    <s v="Activo"/>
    <n v="-219922"/>
    <x v="15"/>
  </r>
  <r>
    <n v="2026"/>
    <n v="5"/>
    <s v="25-05-2026"/>
    <n v="7842"/>
    <s v="1106-03"/>
    <n v="500000"/>
    <n v="0"/>
    <s v="Prestamo a cristian perez - tlink spa préstamos a trabajadores"/>
    <n v="500000"/>
    <s v="Activo"/>
    <n v="500000"/>
    <x v="15"/>
  </r>
  <r>
    <n v="2026"/>
    <n v="5"/>
    <s v="31-05-2026"/>
    <n v="10782"/>
    <s v="1106-03"/>
    <n v="0"/>
    <n v="319922"/>
    <s v="Centralizacion remuneraciones mayo"/>
    <n v="-319922"/>
    <s v="Activo"/>
    <n v="-319922"/>
    <x v="15"/>
  </r>
  <r>
    <n v="2026"/>
    <n v="6"/>
    <s v="30-06-2026"/>
    <n v="10802"/>
    <s v="1106-03"/>
    <n v="0"/>
    <n v="319922"/>
    <s v="Centralizacion remuneraciones junio"/>
    <n v="-319922"/>
    <s v="Activo"/>
    <n v="-319922"/>
    <x v="15"/>
  </r>
  <r>
    <n v="2026"/>
    <n v="7"/>
    <s v="31-07-2026"/>
    <n v="12633"/>
    <s v="1106-03"/>
    <n v="0"/>
    <n v="100000"/>
    <s v="Centralizacion remuneraciones julio"/>
    <n v="-100000"/>
    <s v="Activo"/>
    <n v="-100000"/>
    <x v="15"/>
  </r>
  <r>
    <n v="2026"/>
    <n v="1"/>
    <s v="01-01-2026"/>
    <n v="9827"/>
    <s v="1106-05"/>
    <n v="105000"/>
    <n v="0"/>
    <s v=""/>
    <n v="105000"/>
    <s v="Activo"/>
    <n v="105000"/>
    <x v="16"/>
  </r>
  <r>
    <n v="2026"/>
    <n v="1"/>
    <s v="05-01-2026"/>
    <n v="8432"/>
    <s v="1106-05"/>
    <n v="0"/>
    <n v="105000"/>
    <s v="Cuentas apertura"/>
    <n v="-105000"/>
    <s v="Activo"/>
    <n v="-105000"/>
    <x v="16"/>
  </r>
  <r>
    <n v="2026"/>
    <n v="1"/>
    <s v="01-01-2026"/>
    <n v="8206"/>
    <s v="1106-07"/>
    <n v="0"/>
    <n v="90000"/>
    <s v="Bh alejandro antonio ambiado oliv"/>
    <n v="-90000"/>
    <s v="Activo"/>
    <n v="-90000"/>
    <x v="17"/>
  </r>
  <r>
    <n v="2026"/>
    <n v="1"/>
    <s v="01-01-2026"/>
    <n v="8207"/>
    <s v="1106-07"/>
    <n v="0"/>
    <n v="90000"/>
    <s v="Bh christian italo quezada pereir"/>
    <n v="-90000"/>
    <s v="Activo"/>
    <n v="-90000"/>
    <x v="17"/>
  </r>
  <r>
    <n v="2026"/>
    <n v="1"/>
    <s v="01-01-2026"/>
    <n v="8208"/>
    <s v="1106-07"/>
    <n v="30000"/>
    <n v="0"/>
    <s v="Bh julio orlando chaparro cares"/>
    <n v="30000"/>
    <s v="Activo"/>
    <n v="30000"/>
    <x v="17"/>
  </r>
  <r>
    <n v="2026"/>
    <n v="1"/>
    <s v="01-01-2026"/>
    <n v="8210"/>
    <s v="1106-07"/>
    <n v="0"/>
    <n v="120000"/>
    <s v="Soledad del carmen maldonado z"/>
    <n v="-120000"/>
    <s v="Activo"/>
    <n v="-120000"/>
    <x v="17"/>
  </r>
  <r>
    <n v="2026"/>
    <n v="1"/>
    <s v="01-01-2026"/>
    <n v="8210"/>
    <s v="1106-07"/>
    <n v="0"/>
    <n v="120000"/>
    <s v="Soledad del carmen maldonado z"/>
    <n v="-120000"/>
    <s v="Activo"/>
    <n v="-120000"/>
    <x v="17"/>
  </r>
  <r>
    <n v="2026"/>
    <n v="1"/>
    <s v="01-01-2026"/>
    <n v="8214"/>
    <s v="1106-07"/>
    <n v="2992812"/>
    <n v="0"/>
    <s v="Saldo cuentas"/>
    <n v="2992812"/>
    <s v="Activo"/>
    <n v="2992812"/>
    <x v="17"/>
  </r>
  <r>
    <n v="2026"/>
    <n v="1"/>
    <s v="02-01-2026"/>
    <n v="6928"/>
    <s v="1106-07"/>
    <n v="200000"/>
    <n v="0"/>
    <s v="0765406986 transf a t-link spa 176540698"/>
    <n v="200000"/>
    <s v="Activo"/>
    <n v="200000"/>
    <x v="17"/>
  </r>
  <r>
    <n v="2026"/>
    <n v="1"/>
    <s v="02-01-2026"/>
    <n v="8215"/>
    <s v="1106-07"/>
    <n v="0"/>
    <n v="18990"/>
    <s v="Compras nacionales ferreteria calera de t"/>
    <n v="-18990"/>
    <s v="Activo"/>
    <n v="-18990"/>
    <x v="17"/>
  </r>
  <r>
    <n v="2026"/>
    <n v="1"/>
    <s v="02-01-2026"/>
    <n v="8216"/>
    <s v="1106-07"/>
    <n v="0"/>
    <n v="43360"/>
    <s v="Compras nacionales arcos dorados restaura"/>
    <n v="-43360"/>
    <s v="Activo"/>
    <n v="-43360"/>
    <x v="17"/>
  </r>
  <r>
    <n v="2026"/>
    <n v="1"/>
    <s v="02-01-2026"/>
    <n v="8217"/>
    <s v="1106-07"/>
    <n v="0"/>
    <n v="65940"/>
    <s v="Compras nacionales ferreteria san francis"/>
    <n v="-65940"/>
    <s v="Activo"/>
    <n v="-65940"/>
    <x v="17"/>
  </r>
  <r>
    <n v="2026"/>
    <n v="1"/>
    <s v="02-01-2026"/>
    <n v="8311"/>
    <s v="1106-07"/>
    <n v="0"/>
    <n v="119050"/>
    <s v="Centralización pagos enero 2026 #731 - #731"/>
    <n v="-119050"/>
    <s v="Activo"/>
    <n v="-119050"/>
    <x v="17"/>
  </r>
  <r>
    <n v="2026"/>
    <n v="1"/>
    <s v="03-01-2026"/>
    <n v="8218"/>
    <s v="1106-07"/>
    <n v="0"/>
    <n v="20000"/>
    <s v="Compras nacionales copec asistido"/>
    <n v="-20000"/>
    <s v="Activo"/>
    <n v="-20000"/>
    <x v="17"/>
  </r>
  <r>
    <n v="2026"/>
    <n v="1"/>
    <s v="03-01-2026"/>
    <n v="8313"/>
    <s v="1106-07"/>
    <n v="0"/>
    <n v="19840"/>
    <s v="Centralización pagos enero 2026 #744 - #744"/>
    <n v="-19840"/>
    <s v="Activo"/>
    <n v="-19840"/>
    <x v="17"/>
  </r>
  <r>
    <n v="2026"/>
    <n v="1"/>
    <s v="05-01-2026"/>
    <n v="8289"/>
    <s v="1106-07"/>
    <n v="0"/>
    <n v="24970"/>
    <s v="Centralización pagos enero 2026 #687 - #687"/>
    <n v="-24970"/>
    <s v="Activo"/>
    <n v="-24970"/>
    <x v="17"/>
  </r>
  <r>
    <n v="2026"/>
    <n v="1"/>
    <s v="05-01-2026"/>
    <n v="8432"/>
    <s v="1106-07"/>
    <n v="1394399"/>
    <n v="0"/>
    <s v="Cuentas apertura"/>
    <n v="1394399"/>
    <s v="Activo"/>
    <n v="1394399"/>
    <x v="17"/>
  </r>
  <r>
    <n v="2026"/>
    <n v="1"/>
    <s v="06-01-2026"/>
    <n v="8219"/>
    <s v="1106-07"/>
    <n v="0"/>
    <n v="15100"/>
    <s v="Compras nacionales construmart penaflor"/>
    <n v="-15100"/>
    <s v="Activo"/>
    <n v="-15100"/>
    <x v="17"/>
  </r>
  <r>
    <n v="2026"/>
    <n v="1"/>
    <s v="06-01-2026"/>
    <n v="8315"/>
    <s v="1106-07"/>
    <n v="0"/>
    <n v="15000"/>
    <s v="Centralización pagos enero 2026 #751 - #751"/>
    <n v="-15000"/>
    <s v="Activo"/>
    <n v="-15000"/>
    <x v="17"/>
  </r>
  <r>
    <n v="2026"/>
    <n v="1"/>
    <s v="07-01-2026"/>
    <n v="8367"/>
    <s v="1106-07"/>
    <n v="0"/>
    <n v="119050"/>
    <s v="Centralización pagos enero 2026 #765 - #765"/>
    <n v="-119050"/>
    <s v="Activo"/>
    <n v="-119050"/>
    <x v="17"/>
  </r>
  <r>
    <n v="2026"/>
    <n v="1"/>
    <s v="07-01-2026"/>
    <n v="8426"/>
    <s v="1106-07"/>
    <n v="0"/>
    <n v="74"/>
    <s v="Centralización pagos enero 2026 #819 - #819"/>
    <n v="-74"/>
    <s v="Activo"/>
    <n v="-74"/>
    <x v="17"/>
  </r>
  <r>
    <n v="2026"/>
    <n v="1"/>
    <s v="08-01-2026"/>
    <n v="8369"/>
    <s v="1106-07"/>
    <n v="0"/>
    <n v="19840"/>
    <s v="Centralización pagos enero 2026 #779 - #779"/>
    <n v="-19840"/>
    <s v="Activo"/>
    <n v="-19840"/>
    <x v="17"/>
  </r>
  <r>
    <n v="2026"/>
    <n v="1"/>
    <s v="10-01-2026"/>
    <n v="8220"/>
    <s v="1106-07"/>
    <n v="0"/>
    <n v="24970"/>
    <s v="Compras nacionales munich"/>
    <n v="-24970"/>
    <s v="Activo"/>
    <n v="-24970"/>
    <x v="17"/>
  </r>
  <r>
    <n v="2026"/>
    <n v="1"/>
    <s v="10-01-2026"/>
    <n v="8221"/>
    <s v="1106-07"/>
    <n v="0"/>
    <n v="4000"/>
    <s v="Compras nacionales fratelliberti spa."/>
    <n v="-4000"/>
    <s v="Activo"/>
    <n v="-4000"/>
    <x v="17"/>
  </r>
  <r>
    <n v="2026"/>
    <n v="1"/>
    <s v="10-01-2026"/>
    <n v="8222"/>
    <s v="1106-07"/>
    <n v="0"/>
    <n v="1000"/>
    <s v="Compras nacionales fratelliberti spa."/>
    <n v="-1000"/>
    <s v="Activo"/>
    <n v="-1000"/>
    <x v="17"/>
  </r>
  <r>
    <n v="2026"/>
    <n v="1"/>
    <s v="10-01-2026"/>
    <n v="8223"/>
    <s v="1106-07"/>
    <n v="0"/>
    <n v="25080"/>
    <s v="Compras nacionales munich"/>
    <n v="-25080"/>
    <s v="Activo"/>
    <n v="-25080"/>
    <x v="17"/>
  </r>
  <r>
    <n v="2026"/>
    <n v="1"/>
    <s v="10-01-2026"/>
    <n v="8312"/>
    <s v="1106-07"/>
    <n v="0"/>
    <n v="47770"/>
    <s v="Centralización pagos enero 2026 #741 - #741"/>
    <n v="-47770"/>
    <s v="Activo"/>
    <n v="-47770"/>
    <x v="17"/>
  </r>
  <r>
    <n v="2026"/>
    <n v="1"/>
    <s v="11-01-2026"/>
    <n v="8224"/>
    <s v="1106-07"/>
    <n v="0"/>
    <n v="1500"/>
    <s v="Compras nacionales fratelliberti spa."/>
    <n v="-1500"/>
    <s v="Activo"/>
    <n v="-1500"/>
    <x v="17"/>
  </r>
  <r>
    <n v="2026"/>
    <n v="1"/>
    <s v="11-01-2026"/>
    <n v="8225"/>
    <s v="1106-07"/>
    <n v="0"/>
    <n v="3700"/>
    <s v="Compras nacionales merpagocooklies"/>
    <n v="-3700"/>
    <s v="Activo"/>
    <n v="-3700"/>
    <x v="17"/>
  </r>
  <r>
    <n v="2026"/>
    <n v="1"/>
    <s v="11-01-2026"/>
    <n v="8226"/>
    <s v="1106-07"/>
    <n v="0"/>
    <n v="1500"/>
    <s v="Compras nacionales fratelliberti spa."/>
    <n v="-1500"/>
    <s v="Activo"/>
    <n v="-1500"/>
    <x v="17"/>
  </r>
  <r>
    <n v="2026"/>
    <n v="1"/>
    <s v="11-01-2026"/>
    <n v="8227"/>
    <s v="1106-07"/>
    <n v="0"/>
    <n v="4000"/>
    <s v="Compras nacionales fratelliberti spa."/>
    <n v="-4000"/>
    <s v="Activo"/>
    <n v="-4000"/>
    <x v="17"/>
  </r>
  <r>
    <n v="2026"/>
    <n v="1"/>
    <s v="11-01-2026"/>
    <n v="8371"/>
    <s v="1106-07"/>
    <n v="0"/>
    <n v="15000"/>
    <s v="Centralización pagos enero 2026 #786 - #786"/>
    <n v="-15000"/>
    <s v="Activo"/>
    <n v="-15000"/>
    <x v="17"/>
  </r>
  <r>
    <n v="2026"/>
    <n v="1"/>
    <s v="12-01-2026"/>
    <n v="7012"/>
    <s v="1106-07"/>
    <n v="200000"/>
    <n v="0"/>
    <s v="0765406986 transf a t-link spa 176540698 prepago los heroes"/>
    <n v="200000"/>
    <s v="Activo"/>
    <n v="200000"/>
    <x v="17"/>
  </r>
  <r>
    <n v="2026"/>
    <n v="1"/>
    <s v="12-01-2026"/>
    <n v="8228"/>
    <s v="1106-07"/>
    <n v="0"/>
    <n v="19840"/>
    <s v="Compras nacionales el tamano si importa 2"/>
    <n v="-19840"/>
    <s v="Activo"/>
    <n v="-19840"/>
    <x v="17"/>
  </r>
  <r>
    <n v="2026"/>
    <n v="1"/>
    <s v="12-01-2026"/>
    <n v="8229"/>
    <s v="1106-07"/>
    <n v="0"/>
    <n v="3000"/>
    <s v="Compras nacionales cortez e hijos spa"/>
    <n v="-3000"/>
    <s v="Activo"/>
    <n v="-3000"/>
    <x v="17"/>
  </r>
  <r>
    <n v="2026"/>
    <n v="1"/>
    <s v="12-01-2026"/>
    <n v="8314"/>
    <s v="1106-07"/>
    <n v="0"/>
    <n v="18990"/>
    <s v="Centralización pagos enero 2026 #745 - #745"/>
    <n v="-18990"/>
    <s v="Activo"/>
    <n v="-18990"/>
    <x v="17"/>
  </r>
  <r>
    <n v="2026"/>
    <n v="1"/>
    <s v="12-01-2026"/>
    <n v="8373"/>
    <s v="1106-07"/>
    <n v="0"/>
    <n v="119050"/>
    <s v="Centralización pagos enero 2026 #796 - #796"/>
    <n v="-119050"/>
    <s v="Activo"/>
    <n v="-119050"/>
    <x v="17"/>
  </r>
  <r>
    <n v="2026"/>
    <n v="1"/>
    <s v="13-01-2026"/>
    <n v="8375"/>
    <s v="1106-07"/>
    <n v="0"/>
    <n v="19840"/>
    <s v="Centralización pagos enero 2026 #808 - #808"/>
    <n v="-19840"/>
    <s v="Activo"/>
    <n v="-19840"/>
    <x v="17"/>
  </r>
  <r>
    <n v="2026"/>
    <n v="1"/>
    <s v="15-01-2026"/>
    <n v="7035"/>
    <s v="1106-07"/>
    <n v="200000"/>
    <n v="0"/>
    <s v="0765406986 transf a t-link spa 176540698 prepago los heroes"/>
    <n v="200000"/>
    <s v="Activo"/>
    <n v="200000"/>
    <x v="17"/>
  </r>
  <r>
    <n v="2026"/>
    <n v="1"/>
    <s v="15-01-2026"/>
    <n v="8368"/>
    <s v="1106-07"/>
    <n v="0"/>
    <n v="47770"/>
    <s v="Centralización pagos enero 2026 #776 - #776"/>
    <n v="-47770"/>
    <s v="Activo"/>
    <n v="-47770"/>
    <x v="17"/>
  </r>
  <r>
    <n v="2026"/>
    <n v="1"/>
    <s v="17-01-2026"/>
    <n v="8370"/>
    <s v="1106-07"/>
    <n v="0"/>
    <n v="18990"/>
    <s v="Centralización pagos enero 2026 #780 - #780"/>
    <n v="-18990"/>
    <s v="Activo"/>
    <n v="-18990"/>
    <x v="17"/>
  </r>
  <r>
    <n v="2026"/>
    <n v="1"/>
    <s v="20-01-2026"/>
    <n v="8374"/>
    <s v="1106-07"/>
    <n v="0"/>
    <n v="47770"/>
    <s v="Centralización pagos enero 2026 #805 - #805"/>
    <n v="-47770"/>
    <s v="Activo"/>
    <n v="-47770"/>
    <x v="17"/>
  </r>
  <r>
    <n v="2026"/>
    <n v="1"/>
    <s v="21-01-2026"/>
    <n v="8230"/>
    <s v="1106-07"/>
    <n v="0"/>
    <n v="30500"/>
    <s v="Compras nacionales copec arcoprime"/>
    <n v="-30500"/>
    <s v="Activo"/>
    <n v="-30500"/>
    <x v="17"/>
  </r>
  <r>
    <n v="2026"/>
    <n v="1"/>
    <s v="21-01-2026"/>
    <n v="8231"/>
    <s v="1106-07"/>
    <n v="0"/>
    <n v="68200"/>
    <s v="Compras nacionales comercial el cordove"/>
    <n v="-68200"/>
    <s v="Activo"/>
    <n v="-68200"/>
    <x v="17"/>
  </r>
  <r>
    <n v="2026"/>
    <n v="1"/>
    <s v="21-01-2026"/>
    <n v="8310"/>
    <s v="1106-07"/>
    <n v="0"/>
    <n v="91020"/>
    <s v="Centralización pagos enero 2026 #730 - #730"/>
    <n v="-91020"/>
    <s v="Activo"/>
    <n v="-91020"/>
    <x v="17"/>
  </r>
  <r>
    <n v="2026"/>
    <n v="1"/>
    <s v="22-01-2026"/>
    <n v="8376"/>
    <s v="1106-07"/>
    <n v="0"/>
    <n v="18990"/>
    <s v="Centralización pagos enero 2026 #809 - #809"/>
    <n v="-18990"/>
    <s v="Activo"/>
    <n v="-18990"/>
    <x v="17"/>
  </r>
  <r>
    <n v="2026"/>
    <n v="1"/>
    <s v="23-01-2026"/>
    <n v="8232"/>
    <s v="1106-07"/>
    <n v="0"/>
    <n v="10000"/>
    <s v="Compras nacionales basualdo misto jaime p"/>
    <n v="-10000"/>
    <s v="Activo"/>
    <n v="-10000"/>
    <x v="17"/>
  </r>
  <r>
    <n v="2026"/>
    <n v="1"/>
    <s v="23-01-2026"/>
    <n v="8233"/>
    <s v="1106-07"/>
    <n v="0"/>
    <n v="13200"/>
    <s v="Compras nacionales redglobael regreso"/>
    <n v="-13200"/>
    <s v="Activo"/>
    <n v="-13200"/>
    <x v="17"/>
  </r>
  <r>
    <n v="2026"/>
    <n v="1"/>
    <s v="23-01-2026"/>
    <n v="8290"/>
    <s v="1106-07"/>
    <n v="0"/>
    <n v="198641"/>
    <s v="Centralización pagos enero 2026 #680 - #680"/>
    <n v="-198641"/>
    <s v="Activo"/>
    <n v="-198641"/>
    <x v="17"/>
  </r>
  <r>
    <n v="2026"/>
    <n v="1"/>
    <s v="26-01-2026"/>
    <n v="8366"/>
    <s v="1106-07"/>
    <n v="0"/>
    <n v="91020"/>
    <s v="Centralización pagos enero 2026 #764 - #764"/>
    <n v="-91020"/>
    <s v="Activo"/>
    <n v="-91020"/>
    <x v="17"/>
  </r>
  <r>
    <n v="2026"/>
    <n v="1"/>
    <s v="30-01-2026"/>
    <n v="8234"/>
    <s v="1106-07"/>
    <n v="0"/>
    <n v="10000"/>
    <s v="Compras nacionales luis alberto raymond c"/>
    <n v="-10000"/>
    <s v="Activo"/>
    <n v="-10000"/>
    <x v="17"/>
  </r>
  <r>
    <n v="2026"/>
    <n v="1"/>
    <s v="31-01-2026"/>
    <n v="8309"/>
    <s v="1106-07"/>
    <n v="0"/>
    <n v="40000"/>
    <s v="Centralización pagos enero 2026 #711 - #711"/>
    <n v="-40000"/>
    <s v="Activo"/>
    <n v="-40000"/>
    <x v="17"/>
  </r>
  <r>
    <n v="2026"/>
    <n v="1"/>
    <s v="31-01-2026"/>
    <n v="8372"/>
    <s v="1106-07"/>
    <n v="0"/>
    <n v="91020"/>
    <s v="Centralización pagos enero 2026 #795 - #795"/>
    <n v="-91020"/>
    <s v="Activo"/>
    <n v="-91020"/>
    <x v="17"/>
  </r>
  <r>
    <n v="2026"/>
    <n v="2"/>
    <s v="02-02-2026"/>
    <n v="7111"/>
    <s v="1106-07"/>
    <n v="200000"/>
    <n v="0"/>
    <s v="T-link spa prepago los heroes cuenta 000-000001-7654069-8"/>
    <n v="200000"/>
    <s v="Activo"/>
    <n v="200000"/>
    <x v="17"/>
  </r>
  <r>
    <n v="2026"/>
    <n v="2"/>
    <s v="02-02-2026"/>
    <n v="8235"/>
    <s v="1106-07"/>
    <n v="0"/>
    <n v="14200"/>
    <s v="Compras nacionales redglobaferreteria el"/>
    <n v="-14200"/>
    <s v="Activo"/>
    <n v="-14200"/>
    <x v="17"/>
  </r>
  <r>
    <n v="2026"/>
    <n v="2"/>
    <s v="02-02-2026"/>
    <n v="8236"/>
    <s v="1106-07"/>
    <n v="0"/>
    <n v="15900"/>
    <s v="Compras nacionales copec asistido"/>
    <n v="-15900"/>
    <s v="Activo"/>
    <n v="-15900"/>
    <x v="17"/>
  </r>
  <r>
    <n v="2026"/>
    <n v="2"/>
    <s v="02-02-2026"/>
    <n v="8325"/>
    <s v="1106-07"/>
    <n v="0"/>
    <n v="15900"/>
    <s v="Centralización pagos febrero 2026 #747 - #747"/>
    <n v="-15900"/>
    <s v="Activo"/>
    <n v="-15900"/>
    <x v="17"/>
  </r>
  <r>
    <n v="2026"/>
    <n v="2"/>
    <s v="03-02-2026"/>
    <n v="8237"/>
    <s v="1106-07"/>
    <n v="0"/>
    <n v="8790"/>
    <s v="Compras nacionales merpagocomercialtarr"/>
    <n v="-8790"/>
    <s v="Activo"/>
    <n v="-8790"/>
    <x v="17"/>
  </r>
  <r>
    <n v="2026"/>
    <n v="2"/>
    <s v="03-02-2026"/>
    <n v="8238"/>
    <s v="1106-07"/>
    <n v="0"/>
    <n v="10200"/>
    <s v="Compras nacionales 31866-bk arauco chil"/>
    <n v="-10200"/>
    <s v="Activo"/>
    <n v="-10200"/>
    <x v="17"/>
  </r>
  <r>
    <n v="2026"/>
    <n v="2"/>
    <s v="03-02-2026"/>
    <n v="8291"/>
    <s v="1106-07"/>
    <n v="0"/>
    <n v="4000"/>
    <s v="Centralización pagos febrero 2026 #688 - #688"/>
    <n v="-4000"/>
    <s v="Activo"/>
    <n v="-4000"/>
    <x v="17"/>
  </r>
  <r>
    <n v="2026"/>
    <n v="2"/>
    <s v="03-02-2026"/>
    <n v="8293"/>
    <s v="1106-07"/>
    <n v="0"/>
    <n v="107000"/>
    <s v="Centralización pagos febrero 2026 #681 - #681"/>
    <n v="-107000"/>
    <s v="Activo"/>
    <n v="-107000"/>
    <x v="17"/>
  </r>
  <r>
    <n v="2026"/>
    <n v="2"/>
    <s v="03-02-2026"/>
    <n v="8316"/>
    <s v="1106-07"/>
    <n v="0"/>
    <n v="60000"/>
    <s v="Centralización pagos febrero 2026 #709 - #709"/>
    <n v="-60000"/>
    <s v="Activo"/>
    <n v="-60000"/>
    <x v="17"/>
  </r>
  <r>
    <n v="2026"/>
    <n v="2"/>
    <s v="05-02-2026"/>
    <n v="8239"/>
    <s v="1106-07"/>
    <n v="0"/>
    <n v="9390"/>
    <s v="Compras nacionales ebenezer"/>
    <n v="-9390"/>
    <s v="Activo"/>
    <n v="-9390"/>
    <x v="17"/>
  </r>
  <r>
    <n v="2026"/>
    <n v="2"/>
    <s v="05-02-2026"/>
    <n v="8240"/>
    <s v="1106-07"/>
    <n v="0"/>
    <n v="9390"/>
    <s v="Compras nacionales arcos dorados restaura"/>
    <n v="-9390"/>
    <s v="Activo"/>
    <n v="-9390"/>
    <x v="17"/>
  </r>
  <r>
    <n v="2026"/>
    <n v="2"/>
    <s v="05-02-2026"/>
    <n v="8292"/>
    <s v="1106-07"/>
    <n v="0"/>
    <n v="25080"/>
    <s v="Centralización pagos febrero 2026 #690 - #690"/>
    <n v="-25080"/>
    <s v="Activo"/>
    <n v="-25080"/>
    <x v="17"/>
  </r>
  <r>
    <n v="2026"/>
    <n v="2"/>
    <s v="07-02-2026"/>
    <n v="8381"/>
    <s v="1106-07"/>
    <n v="0"/>
    <n v="15900"/>
    <s v="Centralización pagos febrero 2026 #782 - #782"/>
    <n v="-15900"/>
    <s v="Activo"/>
    <n v="-15900"/>
    <x v="17"/>
  </r>
  <r>
    <n v="2026"/>
    <n v="2"/>
    <s v="09-02-2026"/>
    <n v="8241"/>
    <s v="1106-07"/>
    <n v="0"/>
    <n v="75980"/>
    <s v="Compras nacionales construmart penaflor"/>
    <n v="-75980"/>
    <s v="Activo"/>
    <n v="-75980"/>
    <x v="17"/>
  </r>
  <r>
    <n v="2026"/>
    <n v="2"/>
    <s v="09-02-2026"/>
    <n v="8321"/>
    <s v="1106-07"/>
    <n v="0"/>
    <n v="73000"/>
    <s v="Centralización pagos febrero 2026 #727 - #727"/>
    <n v="-73000"/>
    <s v="Activo"/>
    <n v="-73000"/>
    <x v="17"/>
  </r>
  <r>
    <n v="2026"/>
    <n v="2"/>
    <s v="10-02-2026"/>
    <n v="7176"/>
    <s v="1106-07"/>
    <n v="100000"/>
    <n v="0"/>
    <s v="0765406986 transf a t-link spa generico 176540698"/>
    <n v="100000"/>
    <s v="Activo"/>
    <n v="100000"/>
    <x v="17"/>
  </r>
  <r>
    <n v="2026"/>
    <n v="2"/>
    <s v="11-02-2026"/>
    <n v="8242"/>
    <s v="1106-07"/>
    <n v="0"/>
    <n v="50000"/>
    <s v="Atm nacional rbc g.a.j.m.c. 8765 la ciste"/>
    <n v="-50000"/>
    <s v="Activo"/>
    <n v="-50000"/>
    <x v="17"/>
  </r>
  <r>
    <n v="2026"/>
    <n v="2"/>
    <s v="11-02-2026"/>
    <n v="8243"/>
    <s v="1106-07"/>
    <n v="0"/>
    <n v="145000"/>
    <s v="Atm nacional rbc g.a.jose m.c. 900la ciste"/>
    <n v="-145000"/>
    <s v="Activo"/>
    <n v="-145000"/>
    <x v="17"/>
  </r>
  <r>
    <n v="2026"/>
    <n v="2"/>
    <s v="11-02-2026"/>
    <n v="8319"/>
    <s v="1106-07"/>
    <n v="0"/>
    <n v="180900"/>
    <s v="Centralización pagos febrero 2026 #720 - #720"/>
    <n v="-180900"/>
    <s v="Activo"/>
    <n v="-180900"/>
    <x v="17"/>
  </r>
  <r>
    <n v="2026"/>
    <n v="2"/>
    <s v="12-02-2026"/>
    <n v="7198"/>
    <s v="1106-07"/>
    <n v="150000"/>
    <n v="0"/>
    <s v="0765406986 transf a t-link spa generico 176540698"/>
    <n v="150000"/>
    <s v="Activo"/>
    <n v="150000"/>
    <x v="17"/>
  </r>
  <r>
    <n v="2026"/>
    <n v="2"/>
    <s v="12-02-2026"/>
    <n v="8385"/>
    <s v="1106-07"/>
    <n v="0"/>
    <n v="15900"/>
    <s v="Centralización pagos febrero 2026 #810 - #810"/>
    <n v="-15900"/>
    <s v="Activo"/>
    <n v="-15900"/>
    <x v="17"/>
  </r>
  <r>
    <n v="2026"/>
    <n v="2"/>
    <s v="13-02-2026"/>
    <n v="7204"/>
    <s v="1106-07"/>
    <n v="130000"/>
    <n v="0"/>
    <s v="0765406986 transf a t-link spa generico 176540698"/>
    <n v="130000"/>
    <s v="Activo"/>
    <n v="130000"/>
    <x v="17"/>
  </r>
  <r>
    <n v="2026"/>
    <n v="2"/>
    <s v="13-02-2026"/>
    <n v="8244"/>
    <s v="1106-07"/>
    <n v="0"/>
    <n v="94800"/>
    <s v="Compras nacionales k164 penaflor"/>
    <n v="-94800"/>
    <s v="Activo"/>
    <n v="-94800"/>
    <x v="17"/>
  </r>
  <r>
    <n v="2026"/>
    <n v="2"/>
    <s v="13-02-2026"/>
    <n v="8245"/>
    <s v="1106-07"/>
    <n v="0"/>
    <n v="9000"/>
    <s v="Compras nacionales ebenezer"/>
    <n v="-9000"/>
    <s v="Activo"/>
    <n v="-9000"/>
    <x v="17"/>
  </r>
  <r>
    <n v="2026"/>
    <n v="2"/>
    <s v="13-02-2026"/>
    <n v="8320"/>
    <s v="1106-07"/>
    <n v="0"/>
    <n v="90310"/>
    <s v="Centralización pagos febrero 2026 #725 - #725"/>
    <n v="-90310"/>
    <s v="Activo"/>
    <n v="-90310"/>
    <x v="17"/>
  </r>
  <r>
    <n v="2026"/>
    <n v="2"/>
    <s v="14-02-2026"/>
    <n v="8318"/>
    <s v="1106-07"/>
    <n v="0"/>
    <n v="50000"/>
    <s v="Centralización pagos febrero 2026 #715 - #715"/>
    <n v="-50000"/>
    <s v="Activo"/>
    <n v="-50000"/>
    <x v="17"/>
  </r>
  <r>
    <n v="2026"/>
    <n v="2"/>
    <s v="14-02-2026"/>
    <n v="8378"/>
    <s v="1106-07"/>
    <n v="0"/>
    <n v="73000"/>
    <s v="Centralización pagos febrero 2026 #761 - #761"/>
    <n v="-73000"/>
    <s v="Activo"/>
    <n v="-73000"/>
    <x v="17"/>
  </r>
  <r>
    <n v="2026"/>
    <n v="2"/>
    <s v="16-02-2026"/>
    <n v="8246"/>
    <s v="1106-07"/>
    <n v="0"/>
    <n v="71162"/>
    <s v="Compras nacionales comercial lagos"/>
    <n v="-71162"/>
    <s v="Activo"/>
    <n v="-71162"/>
    <x v="17"/>
  </r>
  <r>
    <n v="2026"/>
    <n v="2"/>
    <s v="16-02-2026"/>
    <n v="8322"/>
    <s v="1106-07"/>
    <n v="0"/>
    <n v="68200"/>
    <s v="Centralización pagos febrero 2026 #729 - #729"/>
    <n v="-68200"/>
    <s v="Activo"/>
    <n v="-68200"/>
    <x v="17"/>
  </r>
  <r>
    <n v="2026"/>
    <n v="2"/>
    <s v="16-02-2026"/>
    <n v="8380"/>
    <s v="1106-07"/>
    <n v="0"/>
    <n v="50000"/>
    <s v="Centralización pagos febrero 2026 #768 - #768"/>
    <n v="-50000"/>
    <s v="Activo"/>
    <n v="-50000"/>
    <x v="17"/>
  </r>
  <r>
    <n v="2026"/>
    <n v="2"/>
    <s v="17-02-2026"/>
    <n v="7220"/>
    <s v="1106-07"/>
    <n v="270000"/>
    <n v="0"/>
    <s v="0765406986 transf a t-link spa generico 176540698"/>
    <n v="270000"/>
    <s v="Activo"/>
    <n v="270000"/>
    <x v="17"/>
  </r>
  <r>
    <n v="2026"/>
    <n v="2"/>
    <s v="17-02-2026"/>
    <n v="8247"/>
    <s v="1106-07"/>
    <n v="0"/>
    <n v="1240"/>
    <s v="Compras nacionales redglobaferreteria el"/>
    <n v="-1240"/>
    <s v="Activo"/>
    <n v="-1240"/>
    <x v="17"/>
  </r>
  <r>
    <n v="2026"/>
    <n v="2"/>
    <s v="18-02-2026"/>
    <n v="8377"/>
    <s v="1106-07"/>
    <n v="0"/>
    <n v="90310"/>
    <s v="Centralización pagos febrero 2026 #759 - #759"/>
    <n v="-90310"/>
    <s v="Activo"/>
    <n v="-90310"/>
    <x v="17"/>
  </r>
  <r>
    <n v="2026"/>
    <n v="2"/>
    <s v="19-02-2026"/>
    <n v="8383"/>
    <s v="1106-07"/>
    <n v="0"/>
    <n v="73000"/>
    <s v="Centralización pagos febrero 2026 #792 - #792"/>
    <n v="-73000"/>
    <s v="Activo"/>
    <n v="-73000"/>
    <x v="17"/>
  </r>
  <r>
    <n v="2026"/>
    <n v="2"/>
    <s v="21-02-2026"/>
    <n v="8379"/>
    <s v="1106-07"/>
    <n v="0"/>
    <n v="118200"/>
    <s v="Centralización pagos febrero 2026 #763 - #763"/>
    <n v="-118200"/>
    <s v="Activo"/>
    <n v="-118200"/>
    <x v="17"/>
  </r>
  <r>
    <n v="2026"/>
    <n v="2"/>
    <s v="23-02-2026"/>
    <n v="8382"/>
    <s v="1106-07"/>
    <n v="0"/>
    <n v="90310"/>
    <s v="Centralización pagos febrero 2026 #790 - #790"/>
    <n v="-90310"/>
    <s v="Activo"/>
    <n v="-90310"/>
    <x v="17"/>
  </r>
  <r>
    <n v="2026"/>
    <n v="2"/>
    <s v="24-02-2026"/>
    <n v="8248"/>
    <s v="1106-07"/>
    <n v="0"/>
    <n v="60000"/>
    <s v="Atm nacional rbc banco del estado santiago"/>
    <n v="-60000"/>
    <s v="Activo"/>
    <n v="-60000"/>
    <x v="17"/>
  </r>
  <r>
    <n v="2026"/>
    <n v="2"/>
    <s v="24-02-2026"/>
    <n v="8249"/>
    <s v="1106-07"/>
    <n v="0"/>
    <n v="5250"/>
    <s v="Compras nacionales hiper penaflor balmace"/>
    <n v="-5250"/>
    <s v="Activo"/>
    <n v="-5250"/>
    <x v="17"/>
  </r>
  <r>
    <n v="2026"/>
    <n v="2"/>
    <s v="24-02-2026"/>
    <n v="8323"/>
    <s v="1106-07"/>
    <n v="0"/>
    <n v="55500"/>
    <s v="Centralización pagos febrero 2026 #732 - #732"/>
    <n v="-55500"/>
    <s v="Activo"/>
    <n v="-55500"/>
    <x v="17"/>
  </r>
  <r>
    <n v="2026"/>
    <n v="2"/>
    <s v="25-02-2026"/>
    <n v="7250"/>
    <s v="1106-07"/>
    <n v="150000"/>
    <n v="0"/>
    <s v="0765406986 transf a t-link spa generico 176540698"/>
    <n v="150000"/>
    <s v="Activo"/>
    <n v="150000"/>
    <x v="17"/>
  </r>
  <r>
    <n v="2026"/>
    <n v="2"/>
    <s v="25-02-2026"/>
    <n v="8317"/>
    <s v="1106-07"/>
    <n v="0"/>
    <n v="60000"/>
    <s v="Centralización pagos febrero 2026 #710 - #710"/>
    <n v="-60000"/>
    <s v="Activo"/>
    <n v="-60000"/>
    <x v="17"/>
  </r>
  <r>
    <n v="2026"/>
    <n v="2"/>
    <s v="26-02-2026"/>
    <n v="7274"/>
    <s v="1106-07"/>
    <n v="500000"/>
    <n v="0"/>
    <s v="Felipe ignacio luengo moreira"/>
    <n v="500000"/>
    <s v="Activo"/>
    <n v="500000"/>
    <x v="17"/>
  </r>
  <r>
    <n v="2026"/>
    <n v="2"/>
    <s v="26-02-2026"/>
    <n v="8250"/>
    <s v="1106-07"/>
    <n v="0"/>
    <n v="22800"/>
    <s v="Compras nacionales aramco penaflor malloc"/>
    <n v="-22800"/>
    <s v="Activo"/>
    <n v="-22800"/>
    <x v="17"/>
  </r>
  <r>
    <n v="2026"/>
    <n v="2"/>
    <s v="26-02-2026"/>
    <n v="8324"/>
    <s v="1106-07"/>
    <n v="0"/>
    <n v="22800"/>
    <s v="Centralización pagos febrero 2026 #742 - #742"/>
    <n v="-22800"/>
    <s v="Activo"/>
    <n v="-22800"/>
    <x v="17"/>
  </r>
  <r>
    <n v="2026"/>
    <n v="2"/>
    <s v="26-02-2026"/>
    <n v="8384"/>
    <s v="1106-07"/>
    <n v="0"/>
    <n v="68200"/>
    <s v="Centralización pagos febrero 2026 #794 - #794"/>
    <n v="-68200"/>
    <s v="Activo"/>
    <n v="-68200"/>
    <x v="17"/>
  </r>
  <r>
    <n v="2026"/>
    <n v="3"/>
    <s v="01-03-2026"/>
    <n v="8388"/>
    <s v="1106-07"/>
    <n v="0"/>
    <n v="55500"/>
    <s v="Centralización pagos marzo 2026 #766 - #766"/>
    <n v="-55500"/>
    <s v="Activo"/>
    <n v="-55500"/>
    <x v="17"/>
  </r>
  <r>
    <n v="2026"/>
    <n v="3"/>
    <s v="03-03-2026"/>
    <n v="8294"/>
    <s v="1106-07"/>
    <n v="0"/>
    <n v="22000"/>
    <s v="Centralización pagos marzo 2026 #684 - #684"/>
    <n v="-22000"/>
    <s v="Activo"/>
    <n v="-22000"/>
    <x v="17"/>
  </r>
  <r>
    <n v="2026"/>
    <n v="3"/>
    <s v="03-03-2026"/>
    <n v="8298"/>
    <s v="1106-07"/>
    <n v="0"/>
    <n v="84000"/>
    <s v="Centralización pagos marzo 2026 #682 - #682"/>
    <n v="-84000"/>
    <s v="Activo"/>
    <n v="-84000"/>
    <x v="17"/>
  </r>
  <r>
    <n v="2026"/>
    <n v="3"/>
    <s v="03-03-2026"/>
    <n v="8392"/>
    <s v="1106-07"/>
    <n v="0"/>
    <n v="22800"/>
    <s v="Centralización pagos marzo 2026 #777 - #777"/>
    <n v="-22800"/>
    <s v="Activo"/>
    <n v="-22800"/>
    <x v="17"/>
  </r>
  <r>
    <n v="2026"/>
    <n v="3"/>
    <s v="04-03-2026"/>
    <n v="7318"/>
    <s v="1106-07"/>
    <n v="150000"/>
    <n v="0"/>
    <s v="0765406986 transf a t-link spa"/>
    <n v="150000"/>
    <s v="Activo"/>
    <n v="150000"/>
    <x v="17"/>
  </r>
  <r>
    <n v="2026"/>
    <n v="3"/>
    <s v="04-03-2026"/>
    <n v="8251"/>
    <s v="1106-07"/>
    <n v="0"/>
    <n v="11980"/>
    <s v="Compras nacionales cugat chillan"/>
    <n v="-11980"/>
    <s v="Activo"/>
    <n v="-11980"/>
    <x v="17"/>
  </r>
  <r>
    <n v="2026"/>
    <n v="3"/>
    <s v="04-03-2026"/>
    <n v="8252"/>
    <s v="1106-07"/>
    <n v="0"/>
    <n v="9230"/>
    <s v="Compras nacionales 20431 talca"/>
    <n v="-9230"/>
    <s v="Activo"/>
    <n v="-9230"/>
    <x v="17"/>
  </r>
  <r>
    <n v="2026"/>
    <n v="3"/>
    <s v="05-03-2026"/>
    <n v="7319"/>
    <s v="1106-07"/>
    <n v="0"/>
    <n v="30000"/>
    <s v="Traspaso internet a t. crédito"/>
    <n v="-30000"/>
    <s v="Activo"/>
    <n v="-30000"/>
    <x v="17"/>
  </r>
  <r>
    <n v="2026"/>
    <n v="3"/>
    <s v="05-03-2026"/>
    <n v="8253"/>
    <s v="1106-07"/>
    <n v="0"/>
    <n v="7070"/>
    <s v="Compras nacionales merpagopanentrepanes"/>
    <n v="-7070"/>
    <s v="Activo"/>
    <n v="-7070"/>
    <x v="17"/>
  </r>
  <r>
    <n v="2026"/>
    <n v="3"/>
    <s v="05-03-2026"/>
    <n v="8254"/>
    <s v="1106-07"/>
    <n v="0"/>
    <n v="50000"/>
    <s v="Compras nacionales fuego divino"/>
    <n v="-50000"/>
    <s v="Activo"/>
    <n v="-50000"/>
    <x v="17"/>
  </r>
  <r>
    <n v="2026"/>
    <n v="3"/>
    <s v="05-03-2026"/>
    <n v="8295"/>
    <s v="1106-07"/>
    <n v="0"/>
    <n v="1000"/>
    <s v="Centralización pagos marzo 2026 #689 - #689"/>
    <n v="-1000"/>
    <s v="Activo"/>
    <n v="-1000"/>
    <x v="17"/>
  </r>
  <r>
    <n v="2026"/>
    <n v="3"/>
    <s v="05-03-2026"/>
    <n v="8329"/>
    <s v="1106-07"/>
    <n v="0"/>
    <n v="50000"/>
    <s v="Centralización pagos marzo 2026 #734 - #734"/>
    <n v="-50000"/>
    <s v="Activo"/>
    <n v="-50000"/>
    <x v="17"/>
  </r>
  <r>
    <n v="2026"/>
    <n v="3"/>
    <s v="06-03-2026"/>
    <n v="7346"/>
    <s v="1106-07"/>
    <n v="100000"/>
    <n v="0"/>
    <s v="0765406986 transf a t-link spa 176540698"/>
    <n v="100000"/>
    <s v="Activo"/>
    <n v="100000"/>
    <x v="17"/>
  </r>
  <r>
    <n v="2026"/>
    <n v="3"/>
    <s v="06-03-2026"/>
    <n v="8255"/>
    <s v="1106-07"/>
    <n v="0"/>
    <n v="30770"/>
    <s v="Compras nacionales pronto barra sn raf 20"/>
    <n v="-30770"/>
    <s v="Activo"/>
    <n v="-30770"/>
    <x v="17"/>
  </r>
  <r>
    <n v="2026"/>
    <n v="3"/>
    <s v="06-03-2026"/>
    <n v="8256"/>
    <s v="1106-07"/>
    <n v="0"/>
    <n v="9290"/>
    <s v="Compras nacionales pronto barra sn raf 20"/>
    <n v="-9290"/>
    <s v="Activo"/>
    <n v="-9290"/>
    <x v="17"/>
  </r>
  <r>
    <n v="2026"/>
    <n v="3"/>
    <s v="06-03-2026"/>
    <n v="8331"/>
    <s v="1106-07"/>
    <n v="0"/>
    <n v="30500"/>
    <s v="Centralización pagos marzo 2026 #740 - #740"/>
    <n v="-30500"/>
    <s v="Activo"/>
    <n v="-30500"/>
    <x v="17"/>
  </r>
  <r>
    <n v="2026"/>
    <n v="3"/>
    <s v="06-03-2026"/>
    <n v="8395"/>
    <s v="1106-07"/>
    <n v="0"/>
    <n v="55500"/>
    <s v="Centralización pagos marzo 2026 #797 - #797"/>
    <n v="-55500"/>
    <s v="Activo"/>
    <n v="-55500"/>
    <x v="17"/>
  </r>
  <r>
    <n v="2026"/>
    <n v="3"/>
    <s v="06-03-2026"/>
    <n v="8427"/>
    <s v="1106-07"/>
    <n v="0"/>
    <n v="76200"/>
    <s v="Centralización pagos marzo 2026 #823 - #823"/>
    <n v="-76200"/>
    <s v="Activo"/>
    <n v="-76200"/>
    <x v="17"/>
  </r>
  <r>
    <n v="2026"/>
    <n v="3"/>
    <s v="08-03-2026"/>
    <n v="8398"/>
    <s v="1106-07"/>
    <n v="0"/>
    <n v="22800"/>
    <s v="Centralización pagos marzo 2026 #806 - #806"/>
    <n v="-22800"/>
    <s v="Activo"/>
    <n v="-22800"/>
    <x v="17"/>
  </r>
  <r>
    <n v="2026"/>
    <n v="3"/>
    <s v="10-03-2026"/>
    <n v="8257"/>
    <s v="1106-07"/>
    <n v="0"/>
    <n v="14990"/>
    <s v="Compras nacionales estacion de servicios"/>
    <n v="-14990"/>
    <s v="Activo"/>
    <n v="-14990"/>
    <x v="17"/>
  </r>
  <r>
    <n v="2026"/>
    <n v="3"/>
    <s v="10-03-2026"/>
    <n v="8389"/>
    <s v="1106-07"/>
    <n v="0"/>
    <n v="50000"/>
    <s v="Centralización pagos marzo 2026 #769 - #769"/>
    <n v="-50000"/>
    <s v="Activo"/>
    <n v="-50000"/>
    <x v="17"/>
  </r>
  <r>
    <n v="2026"/>
    <n v="3"/>
    <s v="11-03-2026"/>
    <n v="7394"/>
    <s v="1106-07"/>
    <n v="50000"/>
    <n v="0"/>
    <s v="0765406986 transf a t-link spa 176540698"/>
    <n v="50000"/>
    <s v="Activo"/>
    <n v="50000"/>
    <x v="17"/>
  </r>
  <r>
    <n v="2026"/>
    <n v="3"/>
    <s v="11-03-2026"/>
    <n v="8258"/>
    <s v="1106-07"/>
    <n v="0"/>
    <n v="14875"/>
    <s v="Compras nacionales comercial lagos"/>
    <n v="-14875"/>
    <s v="Activo"/>
    <n v="-14875"/>
    <x v="17"/>
  </r>
  <r>
    <n v="2026"/>
    <n v="3"/>
    <s v="11-03-2026"/>
    <n v="8259"/>
    <s v="1106-07"/>
    <n v="0"/>
    <n v="15900"/>
    <s v="Compras nacionales copec asistido"/>
    <n v="-15900"/>
    <s v="Activo"/>
    <n v="-15900"/>
    <x v="17"/>
  </r>
  <r>
    <n v="2026"/>
    <n v="3"/>
    <s v="11-03-2026"/>
    <n v="8332"/>
    <s v="1106-07"/>
    <n v="0"/>
    <n v="15900"/>
    <s v="Centralización pagos marzo 2026 #748 - #748"/>
    <n v="-15900"/>
    <s v="Activo"/>
    <n v="-15900"/>
    <x v="17"/>
  </r>
  <r>
    <n v="2026"/>
    <n v="3"/>
    <s v="11-03-2026"/>
    <n v="8391"/>
    <s v="1106-07"/>
    <n v="0"/>
    <n v="30500"/>
    <s v="Centralización pagos marzo 2026 #775 - #775"/>
    <n v="-30500"/>
    <s v="Activo"/>
    <n v="-30500"/>
    <x v="17"/>
  </r>
  <r>
    <n v="2026"/>
    <n v="3"/>
    <s v="12-03-2026"/>
    <n v="8260"/>
    <s v="1106-07"/>
    <n v="0"/>
    <n v="10000"/>
    <s v="Giro cajero automatico banco del estado algarrob"/>
    <n v="-10000"/>
    <s v="Activo"/>
    <n v="-10000"/>
    <x v="17"/>
  </r>
  <r>
    <n v="2026"/>
    <n v="3"/>
    <s v="13-03-2026"/>
    <n v="7399"/>
    <s v="1106-07"/>
    <n v="150000"/>
    <n v="0"/>
    <s v="0765406986 transf a t-link spa 176540698"/>
    <n v="150000"/>
    <s v="Activo"/>
    <n v="150000"/>
    <x v="17"/>
  </r>
  <r>
    <n v="2026"/>
    <n v="3"/>
    <s v="13-03-2026"/>
    <n v="8211"/>
    <s v="1106-07"/>
    <n v="0"/>
    <n v="8100"/>
    <s v="Boris alejandro osnovikoff rom"/>
    <n v="-8100"/>
    <s v="Activo"/>
    <n v="-8100"/>
    <x v="17"/>
  </r>
  <r>
    <n v="2026"/>
    <n v="3"/>
    <s v="14-03-2026"/>
    <n v="8261"/>
    <s v="1106-07"/>
    <n v="0"/>
    <n v="120000"/>
    <s v="Compras nacionales punto ferreteria"/>
    <n v="-120000"/>
    <s v="Activo"/>
    <n v="-120000"/>
    <x v="17"/>
  </r>
  <r>
    <n v="2026"/>
    <n v="3"/>
    <s v="14-03-2026"/>
    <n v="8327"/>
    <s v="1106-07"/>
    <n v="0"/>
    <n v="104720"/>
    <s v="Centralización pagos marzo 2026 #723 - #723"/>
    <n v="-104720"/>
    <s v="Activo"/>
    <n v="-104720"/>
    <x v="17"/>
  </r>
  <r>
    <n v="2026"/>
    <n v="3"/>
    <s v="15-03-2026"/>
    <n v="8396"/>
    <s v="1106-07"/>
    <n v="0"/>
    <n v="50000"/>
    <s v="Centralización pagos marzo 2026 #799 - #799"/>
    <n v="-50000"/>
    <s v="Activo"/>
    <n v="-50000"/>
    <x v="17"/>
  </r>
  <r>
    <n v="2026"/>
    <n v="3"/>
    <s v="16-03-2026"/>
    <n v="8393"/>
    <s v="1106-07"/>
    <n v="0"/>
    <n v="46400"/>
    <s v="Centralización pagos marzo 2026 #783 - #783"/>
    <n v="-46400"/>
    <s v="Activo"/>
    <n v="-46400"/>
    <x v="17"/>
  </r>
  <r>
    <n v="2026"/>
    <n v="3"/>
    <s v="18-03-2026"/>
    <n v="8262"/>
    <s v="1106-07"/>
    <n v="0"/>
    <n v="45000"/>
    <s v="Giro cajero automatico ruta 78 km 31 co talagant"/>
    <n v="-45000"/>
    <s v="Activo"/>
    <n v="-45000"/>
    <x v="17"/>
  </r>
  <r>
    <n v="2026"/>
    <n v="3"/>
    <s v="18-03-2026"/>
    <n v="8330"/>
    <s v="1106-07"/>
    <n v="0"/>
    <n v="43360"/>
    <s v="Centralización pagos marzo 2026 #738 - #738"/>
    <n v="-43360"/>
    <s v="Activo"/>
    <n v="-43360"/>
    <x v="17"/>
  </r>
  <r>
    <n v="2026"/>
    <n v="3"/>
    <s v="20-03-2026"/>
    <n v="8296"/>
    <s v="1106-07"/>
    <n v="0"/>
    <n v="1500"/>
    <s v="Centralización pagos marzo 2026 #691 - #691"/>
    <n v="-1500"/>
    <s v="Activo"/>
    <n v="-1500"/>
    <x v="17"/>
  </r>
  <r>
    <n v="2026"/>
    <n v="3"/>
    <s v="21-03-2026"/>
    <n v="8263"/>
    <s v="1106-07"/>
    <n v="0"/>
    <n v="15000"/>
    <s v="Compras nacionales aramco"/>
    <n v="-15000"/>
    <s v="Activo"/>
    <n v="-15000"/>
    <x v="17"/>
  </r>
  <r>
    <n v="2026"/>
    <n v="3"/>
    <s v="21-03-2026"/>
    <n v="8333"/>
    <s v="1106-07"/>
    <n v="0"/>
    <n v="30770"/>
    <s v="Centralización pagos marzo 2026 #752 - #752"/>
    <n v="-30770"/>
    <s v="Activo"/>
    <n v="-30770"/>
    <x v="17"/>
  </r>
  <r>
    <n v="2026"/>
    <n v="3"/>
    <s v="21-03-2026"/>
    <n v="8399"/>
    <s v="1106-07"/>
    <n v="0"/>
    <n v="15900"/>
    <s v="Centralización pagos marzo 2026 #811 - #811"/>
    <n v="-15900"/>
    <s v="Activo"/>
    <n v="-15900"/>
    <x v="17"/>
  </r>
  <r>
    <n v="2026"/>
    <n v="3"/>
    <s v="23-03-2026"/>
    <n v="7443"/>
    <s v="1106-07"/>
    <n v="310000"/>
    <n v="0"/>
    <s v="0765406986 transf a t-link spa 176540698"/>
    <n v="310000"/>
    <s v="Activo"/>
    <n v="310000"/>
    <x v="17"/>
  </r>
  <r>
    <n v="2026"/>
    <n v="3"/>
    <s v="23-03-2026"/>
    <n v="8390"/>
    <s v="1106-07"/>
    <n v="0"/>
    <n v="43360"/>
    <s v="Centralización pagos marzo 2026 #773 - #773"/>
    <n v="-43360"/>
    <s v="Activo"/>
    <n v="-43360"/>
    <x v="17"/>
  </r>
  <r>
    <n v="2026"/>
    <n v="3"/>
    <s v="24-03-2026"/>
    <n v="8264"/>
    <s v="1106-07"/>
    <n v="0"/>
    <n v="124000"/>
    <s v="Giro cajero automatico banco del estado peqaflor"/>
    <n v="-124000"/>
    <s v="Activo"/>
    <n v="-124000"/>
    <x v="17"/>
  </r>
  <r>
    <n v="2026"/>
    <n v="3"/>
    <s v="24-03-2026"/>
    <n v="8326"/>
    <s v="1106-07"/>
    <n v="0"/>
    <n v="120000"/>
    <s v="Centralización pagos marzo 2026 #722 - #722"/>
    <n v="-120000"/>
    <s v="Activo"/>
    <n v="-120000"/>
    <x v="17"/>
  </r>
  <r>
    <n v="2026"/>
    <n v="3"/>
    <s v="25-03-2026"/>
    <n v="7449"/>
    <s v="1106-07"/>
    <n v="90000"/>
    <n v="0"/>
    <s v="0765406986 transf a t-link spa 176540698"/>
    <n v="90000"/>
    <s v="Activo"/>
    <n v="90000"/>
    <x v="17"/>
  </r>
  <r>
    <n v="2026"/>
    <n v="3"/>
    <s v="25-03-2026"/>
    <n v="8265"/>
    <s v="1106-07"/>
    <n v="0"/>
    <n v="73000"/>
    <s v="Compras nacionales merpagojuanguillermo"/>
    <n v="-73000"/>
    <s v="Activo"/>
    <n v="-73000"/>
    <x v="17"/>
  </r>
  <r>
    <n v="2026"/>
    <n v="3"/>
    <s v="25-03-2026"/>
    <n v="8328"/>
    <s v="1106-07"/>
    <n v="0"/>
    <n v="71162"/>
    <s v="Centralización pagos marzo 2026 #728 - #728"/>
    <n v="-71162"/>
    <s v="Activo"/>
    <n v="-71162"/>
    <x v="17"/>
  </r>
  <r>
    <n v="2026"/>
    <n v="3"/>
    <s v="26-03-2026"/>
    <n v="8394"/>
    <s v="1106-07"/>
    <n v="0"/>
    <n v="30770"/>
    <s v="Centralización pagos marzo 2026 #787 - #787"/>
    <n v="-30770"/>
    <s v="Activo"/>
    <n v="-30770"/>
    <x v="17"/>
  </r>
  <r>
    <n v="2026"/>
    <n v="3"/>
    <s v="28-03-2026"/>
    <n v="8397"/>
    <s v="1106-07"/>
    <n v="0"/>
    <n v="43360"/>
    <s v="Centralización pagos marzo 2026 #803 - #803"/>
    <n v="-43360"/>
    <s v="Activo"/>
    <n v="-43360"/>
    <x v="17"/>
  </r>
  <r>
    <n v="2026"/>
    <n v="3"/>
    <s v="29-03-2026"/>
    <n v="8386"/>
    <s v="1106-07"/>
    <n v="0"/>
    <n v="120000"/>
    <s v="Centralización pagos marzo 2026 #757 - #757"/>
    <n v="-120000"/>
    <s v="Activo"/>
    <n v="-120000"/>
    <x v="17"/>
  </r>
  <r>
    <n v="2026"/>
    <n v="3"/>
    <s v="30-03-2026"/>
    <n v="8297"/>
    <s v="1106-07"/>
    <n v="0"/>
    <n v="19840"/>
    <s v="Centralización pagos marzo 2026 #695 - #695"/>
    <n v="-19840"/>
    <s v="Activo"/>
    <n v="-19840"/>
    <x v="17"/>
  </r>
  <r>
    <n v="2026"/>
    <n v="3"/>
    <s v="30-03-2026"/>
    <n v="8387"/>
    <s v="1106-07"/>
    <n v="0"/>
    <n v="71162"/>
    <s v="Centralización pagos marzo 2026 #762 - #762"/>
    <n v="-71162"/>
    <s v="Activo"/>
    <n v="-71162"/>
    <x v="17"/>
  </r>
  <r>
    <n v="2026"/>
    <n v="4"/>
    <s v="01-04-2026"/>
    <n v="8266"/>
    <s v="1106-07"/>
    <n v="0"/>
    <n v="10000"/>
    <s v="Giro cajero automatico banco del estado melipill"/>
    <n v="-10000"/>
    <s v="Activo"/>
    <n v="-10000"/>
    <x v="17"/>
  </r>
  <r>
    <n v="2026"/>
    <n v="4"/>
    <s v="03-04-2026"/>
    <n v="8407"/>
    <s v="1106-07"/>
    <n v="0"/>
    <n v="120000"/>
    <s v="Centralización pagos abril 2026 #788 - #788"/>
    <n v="-120000"/>
    <s v="Activo"/>
    <n v="-120000"/>
    <x v="17"/>
  </r>
  <r>
    <n v="2026"/>
    <n v="4"/>
    <s v="04-04-2026"/>
    <n v="8408"/>
    <s v="1106-07"/>
    <n v="0"/>
    <n v="71162"/>
    <s v="Centralización pagos abril 2026 #793 - #793"/>
    <n v="-71162"/>
    <s v="Activo"/>
    <n v="-71162"/>
    <x v="17"/>
  </r>
  <r>
    <n v="2026"/>
    <n v="4"/>
    <s v="05-04-2026"/>
    <n v="8299"/>
    <s v="1106-07"/>
    <n v="0"/>
    <n v="69000"/>
    <s v="Centralización pagos abril 2026 #685 - #685"/>
    <n v="-69000"/>
    <s v="Activo"/>
    <n v="-69000"/>
    <x v="17"/>
  </r>
  <r>
    <n v="2026"/>
    <n v="4"/>
    <s v="05-04-2026"/>
    <n v="8334"/>
    <s v="1106-07"/>
    <n v="0"/>
    <n v="50000"/>
    <s v="Centralización pagos abril 2026 #712 - #712"/>
    <n v="-50000"/>
    <s v="Activo"/>
    <n v="-50000"/>
    <x v="17"/>
  </r>
  <r>
    <n v="2026"/>
    <n v="4"/>
    <s v="06-04-2026"/>
    <n v="7503"/>
    <s v="1106-07"/>
    <n v="120000"/>
    <n v="0"/>
    <s v="0765406986 transf a t-link spa"/>
    <n v="120000"/>
    <s v="Activo"/>
    <n v="120000"/>
    <x v="17"/>
  </r>
  <r>
    <n v="2026"/>
    <n v="4"/>
    <s v="08-04-2026"/>
    <n v="7523"/>
    <s v="1106-07"/>
    <n v="200000"/>
    <n v="0"/>
    <s v="0765406986 transf a t-link spa"/>
    <n v="200000"/>
    <s v="Activo"/>
    <n v="200000"/>
    <x v="17"/>
  </r>
  <r>
    <n v="2026"/>
    <n v="4"/>
    <s v="08-04-2026"/>
    <n v="8267"/>
    <s v="1106-07"/>
    <n v="0"/>
    <n v="15900"/>
    <s v="Compras nacionales copec asistido"/>
    <n v="-15900"/>
    <s v="Activo"/>
    <n v="-15900"/>
    <x v="17"/>
  </r>
  <r>
    <n v="2026"/>
    <n v="4"/>
    <s v="08-04-2026"/>
    <n v="8341"/>
    <s v="1106-07"/>
    <n v="0"/>
    <n v="15900"/>
    <s v="Centralización pagos abril 2026 #749 - #749"/>
    <n v="-15900"/>
    <s v="Activo"/>
    <n v="-15900"/>
    <x v="17"/>
  </r>
  <r>
    <n v="2026"/>
    <n v="4"/>
    <s v="08-04-2026"/>
    <n v="8422"/>
    <s v="1106-07"/>
    <n v="0"/>
    <n v="15900"/>
    <s v="Centralización pagos abril 2026 #813 - #813"/>
    <n v="-15900"/>
    <s v="Activo"/>
    <n v="-15900"/>
    <x v="17"/>
  </r>
  <r>
    <n v="2026"/>
    <n v="4"/>
    <s v="09-04-2026"/>
    <n v="8268"/>
    <s v="1106-07"/>
    <n v="0"/>
    <n v="47416"/>
    <s v="Compras nacionales hc san antonio"/>
    <n v="-47416"/>
    <s v="Activo"/>
    <n v="-47416"/>
    <x v="17"/>
  </r>
  <r>
    <n v="2026"/>
    <n v="4"/>
    <s v="09-04-2026"/>
    <n v="8269"/>
    <s v="1106-07"/>
    <n v="0"/>
    <n v="15000"/>
    <s v="Compras nacionales inversiones 4b spa"/>
    <n v="-15000"/>
    <s v="Activo"/>
    <n v="-15000"/>
    <x v="17"/>
  </r>
  <r>
    <n v="2026"/>
    <n v="4"/>
    <s v="09-04-2026"/>
    <n v="8338"/>
    <s v="1106-07"/>
    <n v="0"/>
    <n v="45000"/>
    <s v="Centralización pagos abril 2026 #737 - #737"/>
    <n v="-45000"/>
    <s v="Activo"/>
    <n v="-45000"/>
    <x v="17"/>
  </r>
  <r>
    <n v="2026"/>
    <n v="4"/>
    <s v="09-04-2026"/>
    <n v="8424"/>
    <s v="1106-07"/>
    <n v="0"/>
    <n v="15000"/>
    <s v="Centralización pagos abril 2026 #815 - #815"/>
    <n v="-15000"/>
    <s v="Activo"/>
    <n v="-15000"/>
    <x v="17"/>
  </r>
  <r>
    <n v="2026"/>
    <n v="4"/>
    <s v="10-04-2026"/>
    <n v="8270"/>
    <s v="1106-07"/>
    <n v="0"/>
    <n v="9190"/>
    <s v="Compras nacionales construmart llo lleo"/>
    <n v="-9190"/>
    <s v="Activo"/>
    <n v="-9190"/>
    <x v="17"/>
  </r>
  <r>
    <n v="2026"/>
    <n v="4"/>
    <s v="10-04-2026"/>
    <n v="8271"/>
    <s v="1106-07"/>
    <n v="0"/>
    <n v="16580"/>
    <s v="Compras nacionales arcos dorados res chi"/>
    <n v="-16580"/>
    <s v="Activo"/>
    <n v="-16580"/>
    <x v="17"/>
  </r>
  <r>
    <n v="2026"/>
    <n v="4"/>
    <s v="10-04-2026"/>
    <n v="8340"/>
    <s v="1106-07"/>
    <n v="0"/>
    <n v="15900"/>
    <s v="Centralización pagos abril 2026 #746 - #746"/>
    <n v="-15900"/>
    <s v="Activo"/>
    <n v="-15900"/>
    <x v="17"/>
  </r>
  <r>
    <n v="2026"/>
    <n v="4"/>
    <s v="13-04-2026"/>
    <n v="8272"/>
    <s v="1106-07"/>
    <n v="0"/>
    <n v="42470"/>
    <s v="Compras nacionales sodimac la cisterna"/>
    <n v="-42470"/>
    <s v="Activo"/>
    <n v="-42470"/>
    <x v="17"/>
  </r>
  <r>
    <n v="2026"/>
    <n v="4"/>
    <s v="13-04-2026"/>
    <n v="8339"/>
    <s v="1106-07"/>
    <n v="0"/>
    <n v="30770"/>
    <s v="Centralización pagos abril 2026 #739 - #739"/>
    <n v="-30770"/>
    <s v="Activo"/>
    <n v="-30770"/>
    <x v="17"/>
  </r>
  <r>
    <n v="2026"/>
    <n v="4"/>
    <s v="13-04-2026"/>
    <n v="8405"/>
    <s v="1106-07"/>
    <n v="0"/>
    <n v="15900"/>
    <s v="Centralización pagos abril 2026 #784 - #784"/>
    <n v="-15900"/>
    <s v="Activo"/>
    <n v="-15900"/>
    <x v="17"/>
  </r>
  <r>
    <n v="2026"/>
    <n v="4"/>
    <s v="14-04-2026"/>
    <n v="7604"/>
    <s v="1106-07"/>
    <n v="150000"/>
    <n v="0"/>
    <s v="0765406986 transf a 176540698"/>
    <n v="150000"/>
    <s v="Activo"/>
    <n v="150000"/>
    <x v="17"/>
  </r>
  <r>
    <n v="2026"/>
    <n v="4"/>
    <s v="14-04-2026"/>
    <n v="8402"/>
    <s v="1106-07"/>
    <n v="0"/>
    <n v="45000"/>
    <s v="Centralización pagos abril 2026 #772 - #772"/>
    <n v="-45000"/>
    <s v="Activo"/>
    <n v="-45000"/>
    <x v="17"/>
  </r>
  <r>
    <n v="2026"/>
    <n v="4"/>
    <s v="15-04-2026"/>
    <n v="8273"/>
    <s v="1106-07"/>
    <n v="0"/>
    <n v="15900"/>
    <s v="Compras nacionales copec asistido"/>
    <n v="-15900"/>
    <s v="Activo"/>
    <n v="-15900"/>
    <x v="17"/>
  </r>
  <r>
    <n v="2026"/>
    <n v="4"/>
    <s v="15-04-2026"/>
    <n v="8300"/>
    <s v="1106-07"/>
    <n v="0"/>
    <n v="3700"/>
    <s v="Centralización pagos abril 2026 #692 - #692"/>
    <n v="-3700"/>
    <s v="Activo"/>
    <n v="-3700"/>
    <x v="17"/>
  </r>
  <r>
    <n v="2026"/>
    <n v="4"/>
    <s v="15-04-2026"/>
    <n v="8342"/>
    <s v="1106-07"/>
    <n v="0"/>
    <n v="15100"/>
    <s v="Centralización pagos abril 2026 #750 - #750"/>
    <n v="-15100"/>
    <s v="Activo"/>
    <n v="-15100"/>
    <x v="17"/>
  </r>
  <r>
    <n v="2026"/>
    <n v="4"/>
    <s v="15-04-2026"/>
    <n v="8404"/>
    <s v="1106-07"/>
    <n v="0"/>
    <n v="15900"/>
    <s v="Centralización pagos abril 2026 #781 - #781"/>
    <n v="-15900"/>
    <s v="Activo"/>
    <n v="-15900"/>
    <x v="17"/>
  </r>
  <r>
    <n v="2026"/>
    <n v="4"/>
    <s v="15-04-2026"/>
    <n v="8423"/>
    <s v="1106-07"/>
    <n v="0"/>
    <n v="15900"/>
    <s v="Centralización pagos abril 2026 #814 - #814"/>
    <n v="-15900"/>
    <s v="Activo"/>
    <n v="-15900"/>
    <x v="17"/>
  </r>
  <r>
    <n v="2026"/>
    <n v="4"/>
    <s v="15-04-2026"/>
    <n v="8428"/>
    <s v="1106-07"/>
    <n v="0"/>
    <n v="394765"/>
    <s v="Centralización pagos abril 2026 #818 - #818"/>
    <n v="-394765"/>
    <s v="Activo"/>
    <n v="-394765"/>
    <x v="17"/>
  </r>
  <r>
    <n v="2026"/>
    <n v="4"/>
    <s v="17-04-2026"/>
    <n v="7615"/>
    <s v="1106-07"/>
    <n v="100000"/>
    <n v="0"/>
    <s v="0765406986 transf a 176540698"/>
    <n v="100000"/>
    <s v="Activo"/>
    <n v="100000"/>
    <x v="17"/>
  </r>
  <r>
    <n v="2026"/>
    <n v="4"/>
    <s v="17-04-2026"/>
    <n v="8301"/>
    <s v="1106-07"/>
    <n v="0"/>
    <n v="1500"/>
    <s v="Centralización pagos abril 2026 #693 - #693"/>
    <n v="-1500"/>
    <s v="Activo"/>
    <n v="-1500"/>
    <x v="17"/>
  </r>
  <r>
    <n v="2026"/>
    <n v="4"/>
    <s v="18-04-2026"/>
    <n v="8403"/>
    <s v="1106-07"/>
    <n v="0"/>
    <n v="46670"/>
    <s v="Centralización pagos abril 2026 #774 - #774"/>
    <n v="-46670"/>
    <s v="Activo"/>
    <n v="-46670"/>
    <x v="17"/>
  </r>
  <r>
    <n v="2026"/>
    <n v="4"/>
    <s v="19-04-2026"/>
    <n v="8409"/>
    <s v="1106-07"/>
    <n v="0"/>
    <n v="45000"/>
    <s v="Centralización pagos abril 2026 #802 - #802"/>
    <n v="-45000"/>
    <s v="Activo"/>
    <n v="-45000"/>
    <x v="17"/>
  </r>
  <r>
    <n v="2026"/>
    <n v="4"/>
    <s v="20-04-2026"/>
    <n v="8343"/>
    <s v="1106-07"/>
    <n v="0"/>
    <n v="89032"/>
    <s v="Centralización pagos abril 2026 #754 - #754"/>
    <n v="-89032"/>
    <s v="Activo"/>
    <n v="-89032"/>
    <x v="17"/>
  </r>
  <r>
    <n v="2026"/>
    <n v="4"/>
    <s v="20-04-2026"/>
    <n v="8406"/>
    <s v="1106-07"/>
    <n v="0"/>
    <n v="31000"/>
    <s v="Centralización pagos abril 2026 #785 - #785"/>
    <n v="-31000"/>
    <s v="Activo"/>
    <n v="-31000"/>
    <x v="17"/>
  </r>
  <r>
    <n v="2026"/>
    <n v="4"/>
    <s v="22-04-2026"/>
    <n v="8274"/>
    <s v="1106-07"/>
    <n v="0"/>
    <n v="50000"/>
    <s v="Giro cajero automatico banco del estado peqaflor"/>
    <n v="-50000"/>
    <s v="Activo"/>
    <n v="-50000"/>
    <x v="17"/>
  </r>
  <r>
    <n v="2026"/>
    <n v="4"/>
    <s v="22-04-2026"/>
    <n v="8337"/>
    <s v="1106-07"/>
    <n v="0"/>
    <n v="47700"/>
    <s v="Centralización pagos abril 2026 #735 - #735"/>
    <n v="-47700"/>
    <s v="Activo"/>
    <n v="-47700"/>
    <x v="17"/>
  </r>
  <r>
    <n v="2026"/>
    <n v="4"/>
    <s v="23-04-2026"/>
    <n v="7644"/>
    <s v="1106-07"/>
    <n v="200000"/>
    <n v="0"/>
    <s v="0765406986 transf a t-link spa"/>
    <n v="200000"/>
    <s v="Activo"/>
    <n v="200000"/>
    <x v="17"/>
  </r>
  <r>
    <n v="2026"/>
    <n v="4"/>
    <s v="23-04-2026"/>
    <n v="8275"/>
    <s v="1106-07"/>
    <n v="0"/>
    <n v="90310"/>
    <s v="Compras nacionales il delicious ser. ga"/>
    <n v="-90310"/>
    <s v="Activo"/>
    <n v="-90310"/>
    <x v="17"/>
  </r>
  <r>
    <n v="2026"/>
    <n v="4"/>
    <s v="23-04-2026"/>
    <n v="8336"/>
    <s v="1106-07"/>
    <n v="0"/>
    <n v="75980"/>
    <s v="Centralización pagos abril 2026 #726 - #726"/>
    <n v="-75980"/>
    <s v="Activo"/>
    <n v="-75980"/>
    <x v="17"/>
  </r>
  <r>
    <n v="2026"/>
    <n v="4"/>
    <s v="23-04-2026"/>
    <n v="8410"/>
    <s v="1106-07"/>
    <n v="0"/>
    <n v="30770"/>
    <s v="Centralización pagos abril 2026 #804 - #804"/>
    <n v="-30770"/>
    <s v="Activo"/>
    <n v="-30770"/>
    <x v="17"/>
  </r>
  <r>
    <n v="2026"/>
    <n v="4"/>
    <s v="25-04-2026"/>
    <n v="8411"/>
    <s v="1106-07"/>
    <n v="0"/>
    <n v="11722"/>
    <s v="Centralización pagos abril 2026 #812 - #812"/>
    <n v="-11722"/>
    <s v="Activo"/>
    <n v="-11722"/>
    <x v="17"/>
  </r>
  <r>
    <n v="2026"/>
    <n v="4"/>
    <s v="26-04-2026"/>
    <n v="8276"/>
    <s v="1106-07"/>
    <n v="0"/>
    <n v="11480"/>
    <s v="Compras nacionales k164 penaflor"/>
    <n v="-11480"/>
    <s v="Activo"/>
    <n v="-11480"/>
    <x v="17"/>
  </r>
  <r>
    <n v="2026"/>
    <n v="4"/>
    <s v="26-04-2026"/>
    <n v="8302"/>
    <s v="1106-07"/>
    <n v="0"/>
    <n v="4000"/>
    <s v="Centralización pagos abril 2026 #694 - #694"/>
    <n v="-4000"/>
    <s v="Activo"/>
    <n v="-4000"/>
    <x v="17"/>
  </r>
  <r>
    <n v="2026"/>
    <n v="4"/>
    <s v="27-04-2026"/>
    <n v="7654"/>
    <s v="1106-07"/>
    <n v="200000"/>
    <n v="0"/>
    <s v="0765406986 transf a t-link spa"/>
    <n v="200000"/>
    <s v="Activo"/>
    <n v="200000"/>
    <x v="17"/>
  </r>
  <r>
    <n v="2026"/>
    <n v="4"/>
    <s v="27-04-2026"/>
    <n v="8277"/>
    <s v="1106-07"/>
    <n v="0"/>
    <n v="130900"/>
    <s v="Compras nacionales master glass limitada"/>
    <n v="-130900"/>
    <s v="Activo"/>
    <n v="-130900"/>
    <x v="17"/>
  </r>
  <r>
    <n v="2026"/>
    <n v="4"/>
    <s v="27-04-2026"/>
    <n v="8335"/>
    <s v="1106-07"/>
    <n v="0"/>
    <n v="124000"/>
    <s v="Centralización pagos abril 2026 #721 - #721"/>
    <n v="-124000"/>
    <s v="Activo"/>
    <n v="-124000"/>
    <x v="17"/>
  </r>
  <r>
    <n v="2026"/>
    <n v="4"/>
    <s v="27-04-2026"/>
    <n v="8401"/>
    <s v="1106-07"/>
    <n v="0"/>
    <n v="47700"/>
    <s v="Centralización pagos abril 2026 #770 - #770"/>
    <n v="-47700"/>
    <s v="Activo"/>
    <n v="-47700"/>
    <x v="17"/>
  </r>
  <r>
    <n v="2026"/>
    <n v="4"/>
    <s v="28-04-2026"/>
    <n v="7665"/>
    <s v="1106-07"/>
    <n v="100000"/>
    <n v="0"/>
    <s v="0765406986 transf a t-link spa"/>
    <n v="100000"/>
    <s v="Activo"/>
    <n v="100000"/>
    <x v="17"/>
  </r>
  <r>
    <n v="2026"/>
    <n v="4"/>
    <s v="28-04-2026"/>
    <n v="8400"/>
    <s v="1106-07"/>
    <n v="0"/>
    <n v="75980"/>
    <s v="Centralización pagos abril 2026 #760 - #760"/>
    <n v="-75980"/>
    <s v="Activo"/>
    <n v="-75980"/>
    <x v="17"/>
  </r>
  <r>
    <n v="2026"/>
    <n v="5"/>
    <s v="01-05-2026"/>
    <n v="8430"/>
    <s v="1106-07"/>
    <n v="0"/>
    <n v="1"/>
    <s v="Centralización pagos mayo 2026 #821 - #821"/>
    <n v="-1"/>
    <s v="Activo"/>
    <n v="-1"/>
    <x v="17"/>
  </r>
  <r>
    <n v="2026"/>
    <n v="5"/>
    <s v="02-05-2026"/>
    <n v="8414"/>
    <s v="1106-07"/>
    <n v="0"/>
    <n v="47700"/>
    <s v="Centralización pagos mayo 2026 #800 - #800"/>
    <n v="-47700"/>
    <s v="Activo"/>
    <n v="-47700"/>
    <x v="17"/>
  </r>
  <r>
    <n v="2026"/>
    <n v="5"/>
    <s v="03-05-2026"/>
    <n v="8413"/>
    <s v="1106-07"/>
    <n v="0"/>
    <n v="75980"/>
    <s v="Centralización pagos mayo 2026 #791 - #791"/>
    <n v="-75980"/>
    <s v="Activo"/>
    <n v="-75980"/>
    <x v="17"/>
  </r>
  <r>
    <n v="2026"/>
    <n v="5"/>
    <s v="05-05-2026"/>
    <n v="8304"/>
    <s v="1106-07"/>
    <n v="0"/>
    <n v="3000"/>
    <s v="Centralización pagos mayo 2026 #696 - #696"/>
    <n v="-3000"/>
    <s v="Activo"/>
    <n v="-3000"/>
    <x v="17"/>
  </r>
  <r>
    <n v="2026"/>
    <n v="5"/>
    <s v="05-05-2026"/>
    <n v="8346"/>
    <s v="1106-07"/>
    <n v="0"/>
    <n v="20000"/>
    <s v="Centralización pagos mayo 2026 #707 - #707"/>
    <n v="-20000"/>
    <s v="Activo"/>
    <n v="-20000"/>
    <x v="17"/>
  </r>
  <r>
    <n v="2026"/>
    <n v="5"/>
    <s v="05-05-2026"/>
    <n v="8347"/>
    <s v="1106-07"/>
    <n v="0"/>
    <n v="70000"/>
    <s v="Centralización pagos mayo 2026 #716 - #716"/>
    <n v="-70000"/>
    <s v="Activo"/>
    <n v="-70000"/>
    <x v="17"/>
  </r>
  <r>
    <n v="2026"/>
    <n v="5"/>
    <s v="06-05-2026"/>
    <n v="8307"/>
    <s v="1106-07"/>
    <n v="0"/>
    <n v="175620"/>
    <s v="Centralización pagos mayo 2026 #683 - #683"/>
    <n v="-175620"/>
    <s v="Activo"/>
    <n v="-175620"/>
    <x v="17"/>
  </r>
  <r>
    <n v="2026"/>
    <n v="5"/>
    <s v="07-05-2026"/>
    <n v="8278"/>
    <s v="1106-07"/>
    <n v="0"/>
    <n v="22800"/>
    <s v="Compras nacionales aramco penaflor malloc"/>
    <n v="-22800"/>
    <s v="Activo"/>
    <n v="-22800"/>
    <x v="17"/>
  </r>
  <r>
    <n v="2026"/>
    <n v="5"/>
    <s v="07-05-2026"/>
    <n v="8305"/>
    <s v="1106-07"/>
    <n v="0"/>
    <n v="30500"/>
    <s v="Centralización pagos mayo 2026 #697 - #697"/>
    <n v="-30500"/>
    <s v="Activo"/>
    <n v="-30500"/>
    <x v="17"/>
  </r>
  <r>
    <n v="2026"/>
    <n v="5"/>
    <s v="07-05-2026"/>
    <n v="8349"/>
    <s v="1106-07"/>
    <n v="0"/>
    <n v="20000"/>
    <s v="Centralización pagos mayo 2026 #743 - #743"/>
    <n v="-20000"/>
    <s v="Activo"/>
    <n v="-20000"/>
    <x v="17"/>
  </r>
  <r>
    <n v="2026"/>
    <n v="5"/>
    <s v="11-05-2026"/>
    <n v="7775"/>
    <s v="1106-07"/>
    <n v="200000"/>
    <n v="0"/>
    <s v="0765406986 transf a t-link spa"/>
    <n v="200000"/>
    <s v="Activo"/>
    <n v="200000"/>
    <x v="17"/>
  </r>
  <r>
    <n v="2026"/>
    <n v="5"/>
    <s v="11-05-2026"/>
    <n v="8279"/>
    <s v="1106-07"/>
    <n v="0"/>
    <n v="11290"/>
    <s v="Compras nacionales construmart penaflor"/>
    <n v="-11290"/>
    <s v="Activo"/>
    <n v="-11290"/>
    <x v="17"/>
  </r>
  <r>
    <n v="2026"/>
    <n v="5"/>
    <s v="12-05-2026"/>
    <n v="7785"/>
    <s v="1106-07"/>
    <n v="100000"/>
    <n v="0"/>
    <s v="0765406986 transf a t-link spa"/>
    <n v="100000"/>
    <s v="Activo"/>
    <n v="100000"/>
    <x v="17"/>
  </r>
  <r>
    <n v="2026"/>
    <n v="5"/>
    <s v="12-05-2026"/>
    <n v="8348"/>
    <s v="1106-07"/>
    <n v="0"/>
    <n v="30000"/>
    <s v="Centralización pagos mayo 2026 #718 - #718"/>
    <n v="-30000"/>
    <s v="Activo"/>
    <n v="-30000"/>
    <x v="17"/>
  </r>
  <r>
    <n v="2026"/>
    <n v="5"/>
    <s v="12-05-2026"/>
    <n v="8412"/>
    <s v="1106-07"/>
    <n v="0"/>
    <n v="20000"/>
    <s v="Centralización pagos mayo 2026 #778 - #778"/>
    <n v="-20000"/>
    <s v="Activo"/>
    <n v="-20000"/>
    <x v="17"/>
  </r>
  <r>
    <n v="2026"/>
    <n v="5"/>
    <s v="13-05-2026"/>
    <n v="8280"/>
    <s v="1106-07"/>
    <n v="0"/>
    <n v="9740"/>
    <s v="Compras nacionales sumup ferreteria lo"/>
    <n v="-9740"/>
    <s v="Activo"/>
    <n v="-9740"/>
    <x v="17"/>
  </r>
  <r>
    <n v="2026"/>
    <n v="5"/>
    <s v="13-05-2026"/>
    <n v="8281"/>
    <s v="1106-07"/>
    <n v="0"/>
    <n v="15000"/>
    <s v="Compras nacionales copec arcoprime"/>
    <n v="-15000"/>
    <s v="Activo"/>
    <n v="-15000"/>
    <x v="17"/>
  </r>
  <r>
    <n v="2026"/>
    <n v="5"/>
    <s v="13-05-2026"/>
    <n v="8344"/>
    <s v="1106-07"/>
    <n v="0"/>
    <n v="9740"/>
    <s v="Centralización pagos mayo 2026 #705 - #705"/>
    <n v="-9740"/>
    <s v="Activo"/>
    <n v="-9740"/>
    <x v="17"/>
  </r>
  <r>
    <n v="2026"/>
    <n v="5"/>
    <s v="13-05-2026"/>
    <n v="8345"/>
    <s v="1106-07"/>
    <n v="0"/>
    <n v="367970"/>
    <s v="Centralización pagos mayo 2026 #706 - #706"/>
    <n v="-367970"/>
    <s v="Activo"/>
    <n v="-367970"/>
    <x v="17"/>
  </r>
  <r>
    <n v="2026"/>
    <n v="5"/>
    <s v="14-05-2026"/>
    <n v="8282"/>
    <s v="1106-07"/>
    <n v="0"/>
    <n v="14004"/>
    <s v="Compras nacionales maderas lotito"/>
    <n v="-14004"/>
    <s v="Activo"/>
    <n v="-14004"/>
    <x v="17"/>
  </r>
  <r>
    <n v="2026"/>
    <n v="5"/>
    <s v="15-05-2026"/>
    <n v="7819"/>
    <s v="1106-07"/>
    <n v="8580"/>
    <n v="0"/>
    <s v="Compra ekono la cisterna"/>
    <n v="8580"/>
    <s v="Activo"/>
    <n v="8580"/>
    <x v="17"/>
  </r>
  <r>
    <n v="2026"/>
    <n v="5"/>
    <s v="15-05-2026"/>
    <n v="8350"/>
    <s v="1106-07"/>
    <n v="0"/>
    <n v="12005"/>
    <s v="Centralización pagos mayo 2026 #755 - #755"/>
    <n v="-12005"/>
    <s v="Activo"/>
    <n v="-12005"/>
    <x v="17"/>
  </r>
  <r>
    <n v="2026"/>
    <n v="5"/>
    <s v="15-05-2026"/>
    <n v="8429"/>
    <s v="1106-07"/>
    <n v="0"/>
    <n v="150000"/>
    <s v="Centralización pagos mayo 2026 #816 - #816"/>
    <n v="-150000"/>
    <s v="Activo"/>
    <n v="-150000"/>
    <x v="17"/>
  </r>
  <r>
    <n v="2026"/>
    <n v="5"/>
    <s v="15-05-2026"/>
    <n v="8431"/>
    <s v="1106-07"/>
    <n v="0"/>
    <n v="31450"/>
    <s v="Centralización pagos mayo 2026 #822 - #822"/>
    <n v="-31450"/>
    <s v="Activo"/>
    <n v="-31450"/>
    <x v="17"/>
  </r>
  <r>
    <n v="2026"/>
    <n v="5"/>
    <s v="15-05-2026"/>
    <n v="11906"/>
    <s v="1106-07"/>
    <n v="0"/>
    <n v="8580"/>
    <s v="013473812k transf. patricio daniel"/>
    <n v="-8580"/>
    <s v="Activo"/>
    <n v="-8580"/>
    <x v="17"/>
  </r>
  <r>
    <n v="2026"/>
    <n v="5"/>
    <s v="17-05-2026"/>
    <n v="8306"/>
    <s v="1106-07"/>
    <n v="0"/>
    <n v="68200"/>
    <s v="Centralización pagos mayo 2026 #698 - #698"/>
    <n v="-68200"/>
    <s v="Activo"/>
    <n v="-68200"/>
    <x v="17"/>
  </r>
  <r>
    <n v="2026"/>
    <n v="5"/>
    <s v="17-05-2026"/>
    <n v="8415"/>
    <s v="1106-07"/>
    <n v="0"/>
    <n v="20000"/>
    <s v="Centralización pagos mayo 2026 #807 - #807"/>
    <n v="-20000"/>
    <s v="Activo"/>
    <n v="-20000"/>
    <x v="17"/>
  </r>
  <r>
    <n v="2026"/>
    <n v="5"/>
    <s v="19-05-2026"/>
    <n v="8283"/>
    <s v="1106-07"/>
    <n v="0"/>
    <n v="1600"/>
    <s v="Compras nacionales hidro jardin"/>
    <n v="-1600"/>
    <s v="Activo"/>
    <n v="-1600"/>
    <x v="17"/>
  </r>
  <r>
    <n v="2026"/>
    <n v="5"/>
    <s v="21-05-2026"/>
    <n v="8303"/>
    <s v="1106-07"/>
    <n v="0"/>
    <n v="36880"/>
    <s v="Centralización pagos mayo 2026 #686 - #686"/>
    <n v="-36880"/>
    <s v="Activo"/>
    <n v="-36880"/>
    <x v="17"/>
  </r>
  <r>
    <n v="2026"/>
    <n v="5"/>
    <s v="22-05-2026"/>
    <n v="7836"/>
    <s v="1106-07"/>
    <n v="300000"/>
    <n v="0"/>
    <s v="0765406986 transf a t-link spa"/>
    <n v="300000"/>
    <s v="Activo"/>
    <n v="300000"/>
    <x v="17"/>
  </r>
  <r>
    <n v="2026"/>
    <n v="5"/>
    <s v="28-05-2026"/>
    <n v="8308"/>
    <s v="1106-07"/>
    <n v="0"/>
    <n v="10000"/>
    <s v="Centralización pagos mayo 2026 #699 - #699"/>
    <n v="-10000"/>
    <s v="Activo"/>
    <n v="-10000"/>
    <x v="17"/>
  </r>
  <r>
    <n v="2026"/>
    <n v="5"/>
    <s v="29-05-2026"/>
    <n v="7861"/>
    <s v="1106-07"/>
    <n v="100000"/>
    <n v="0"/>
    <s v="0765406986 transf a t-link spa"/>
    <n v="100000"/>
    <s v="Activo"/>
    <n v="100000"/>
    <x v="17"/>
  </r>
  <r>
    <n v="2026"/>
    <n v="5"/>
    <s v="29-05-2026"/>
    <n v="11945"/>
    <s v="1106-07"/>
    <n v="0"/>
    <n v="100000"/>
    <s v="0765406986 transf. tlink spa"/>
    <n v="-100000"/>
    <s v="Activo"/>
    <n v="-100000"/>
    <x v="17"/>
  </r>
  <r>
    <n v="2026"/>
    <n v="6"/>
    <s v="01-06-2026"/>
    <n v="7971"/>
    <s v="1106-07"/>
    <n v="200000"/>
    <n v="0"/>
    <s v="0765406986 transf a t-link spa"/>
    <n v="200000"/>
    <s v="Activo"/>
    <n v="200000"/>
    <x v="17"/>
  </r>
  <r>
    <n v="2026"/>
    <n v="6"/>
    <s v="01-06-2026"/>
    <n v="8284"/>
    <s v="1106-07"/>
    <n v="0"/>
    <n v="55500"/>
    <s v="Compras nacionales starken 1760 penaflor"/>
    <n v="-55500"/>
    <s v="Activo"/>
    <n v="-55500"/>
    <x v="17"/>
  </r>
  <r>
    <n v="2026"/>
    <n v="6"/>
    <s v="01-06-2026"/>
    <n v="8285"/>
    <s v="1106-07"/>
    <n v="0"/>
    <n v="1600"/>
    <s v="Compras nacionales tuuglobal parking"/>
    <n v="-1600"/>
    <s v="Activo"/>
    <n v="-1600"/>
    <x v="17"/>
  </r>
  <r>
    <n v="2026"/>
    <n v="6"/>
    <s v="01-06-2026"/>
    <n v="8362"/>
    <s v="1106-07"/>
    <n v="0"/>
    <n v="50000"/>
    <s v="Centralización pagos junio 2026 #733 - #733"/>
    <n v="-50000"/>
    <s v="Activo"/>
    <n v="-50000"/>
    <x v="17"/>
  </r>
  <r>
    <n v="2026"/>
    <n v="6"/>
    <s v="03-06-2026"/>
    <n v="8087"/>
    <s v="1106-07"/>
    <n v="100000"/>
    <n v="0"/>
    <s v="0765406986 transf a t-link spa"/>
    <n v="100000"/>
    <s v="Activo"/>
    <n v="100000"/>
    <x v="17"/>
  </r>
  <r>
    <n v="2026"/>
    <n v="6"/>
    <s v="04-06-2026"/>
    <n v="8086"/>
    <s v="1106-07"/>
    <n v="682770"/>
    <n v="0"/>
    <s v="0765406986 transf a t-link spa"/>
    <n v="682770"/>
    <s v="Activo"/>
    <n v="682770"/>
    <x v="17"/>
  </r>
  <r>
    <n v="2026"/>
    <n v="6"/>
    <s v="04-06-2026"/>
    <n v="8360"/>
    <s v="1106-07"/>
    <n v="0"/>
    <n v="145000"/>
    <s v="Centralización pagos junio 2026 #719 - #719"/>
    <n v="-145000"/>
    <s v="Activo"/>
    <n v="-145000"/>
    <x v="17"/>
  </r>
  <r>
    <n v="2026"/>
    <n v="6"/>
    <s v="06-06-2026"/>
    <n v="8417"/>
    <s v="1106-07"/>
    <n v="0"/>
    <n v="50000"/>
    <s v="Centralización pagos junio 2026 #767 - #767"/>
    <n v="-50000"/>
    <s v="Activo"/>
    <n v="-50000"/>
    <x v="17"/>
  </r>
  <r>
    <n v="2026"/>
    <n v="6"/>
    <s v="08-06-2026"/>
    <n v="8071"/>
    <s v="1106-07"/>
    <n v="100000"/>
    <n v="0"/>
    <s v="0765406986 transf a t-link spa"/>
    <n v="100000"/>
    <s v="Activo"/>
    <n v="100000"/>
    <x v="17"/>
  </r>
  <r>
    <n v="2026"/>
    <n v="6"/>
    <s v="08-06-2026"/>
    <n v="8358"/>
    <s v="1106-07"/>
    <n v="0"/>
    <n v="25000"/>
    <s v="Centralización pagos junio 2026 #714 - #714"/>
    <n v="-25000"/>
    <s v="Activo"/>
    <n v="-25000"/>
    <x v="17"/>
  </r>
  <r>
    <n v="2026"/>
    <n v="6"/>
    <s v="09-06-2026"/>
    <n v="8287"/>
    <s v="1106-07"/>
    <n v="0"/>
    <n v="47700"/>
    <s v="Compras nacionales copec asistido"/>
    <n v="-47700"/>
    <s v="Activo"/>
    <n v="-47700"/>
    <x v="17"/>
  </r>
  <r>
    <n v="2026"/>
    <n v="6"/>
    <s v="09-06-2026"/>
    <n v="8363"/>
    <s v="1106-07"/>
    <n v="0"/>
    <n v="47416"/>
    <s v="Centralización pagos junio 2026 #736 - #736"/>
    <n v="-47416"/>
    <s v="Activo"/>
    <n v="-47416"/>
    <x v="17"/>
  </r>
  <r>
    <n v="2026"/>
    <n v="6"/>
    <s v="10-06-2026"/>
    <n v="8054"/>
    <s v="1106-07"/>
    <n v="200000"/>
    <n v="0"/>
    <s v="0765406986 transf a t-link spa"/>
    <n v="200000"/>
    <s v="Activo"/>
    <n v="200000"/>
    <x v="17"/>
  </r>
  <r>
    <n v="2026"/>
    <n v="6"/>
    <s v="10-06-2026"/>
    <n v="8357"/>
    <s v="1106-07"/>
    <n v="0"/>
    <n v="25000"/>
    <s v="Centralización pagos junio 2026 #713 - #713"/>
    <n v="-25000"/>
    <s v="Activo"/>
    <n v="-25000"/>
    <x v="17"/>
  </r>
  <r>
    <n v="2026"/>
    <n v="6"/>
    <s v="11-06-2026"/>
    <n v="8288"/>
    <s v="1106-07"/>
    <n v="0"/>
    <n v="104720"/>
    <s v="Compras nacionales mercadopago ulk"/>
    <n v="-104720"/>
    <s v="Activo"/>
    <n v="-104720"/>
    <x v="17"/>
  </r>
  <r>
    <n v="2026"/>
    <n v="6"/>
    <s v="11-06-2026"/>
    <n v="8361"/>
    <s v="1106-07"/>
    <n v="0"/>
    <n v="94800"/>
    <s v="Centralización pagos junio 2026 #724 - #724"/>
    <n v="-94800"/>
    <s v="Activo"/>
    <n v="-94800"/>
    <x v="17"/>
  </r>
  <r>
    <n v="2026"/>
    <n v="6"/>
    <s v="11-06-2026"/>
    <n v="8420"/>
    <s v="1106-07"/>
    <n v="0"/>
    <n v="50000"/>
    <s v="Centralización pagos junio 2026 #798 - #798"/>
    <n v="-50000"/>
    <s v="Activo"/>
    <n v="-50000"/>
    <x v="17"/>
  </r>
  <r>
    <n v="2026"/>
    <n v="6"/>
    <s v="12-06-2026"/>
    <n v="8026"/>
    <s v="1106-07"/>
    <n v="200000"/>
    <n v="0"/>
    <s v="0765406986 transf a t-link spa"/>
    <n v="200000"/>
    <s v="Activo"/>
    <n v="200000"/>
    <x v="17"/>
  </r>
  <r>
    <n v="2026"/>
    <n v="6"/>
    <s v="12-06-2026"/>
    <n v="8365"/>
    <s v="1106-07"/>
    <n v="0"/>
    <n v="40907"/>
    <s v="Centralización pagos junio 2026 #756 - #756"/>
    <n v="-40907"/>
    <s v="Activo"/>
    <n v="-40907"/>
    <x v="17"/>
  </r>
  <r>
    <n v="2026"/>
    <n v="6"/>
    <s v="14-06-2026"/>
    <n v="8418"/>
    <s v="1106-07"/>
    <n v="0"/>
    <n v="47416"/>
    <s v="Centralización pagos junio 2026 #771 - #771"/>
    <n v="-47416"/>
    <s v="Activo"/>
    <n v="-47416"/>
    <x v="17"/>
  </r>
  <r>
    <n v="2026"/>
    <n v="6"/>
    <s v="15-06-2026"/>
    <n v="8356"/>
    <s v="1106-07"/>
    <n v="0"/>
    <n v="20000"/>
    <s v="Centralización pagos junio 2026 #708 - #708"/>
    <n v="-20000"/>
    <s v="Activo"/>
    <n v="-20000"/>
    <x v="17"/>
  </r>
  <r>
    <n v="2026"/>
    <n v="6"/>
    <s v="15-06-2026"/>
    <n v="8364"/>
    <s v="1106-07"/>
    <n v="0"/>
    <n v="24896"/>
    <s v="Centralización pagos junio 2026 #753 - #753"/>
    <n v="-24896"/>
    <s v="Activo"/>
    <n v="-24896"/>
    <x v="17"/>
  </r>
  <r>
    <n v="2026"/>
    <n v="6"/>
    <s v="15-06-2026"/>
    <n v="8425"/>
    <s v="1106-07"/>
    <n v="0"/>
    <n v="110000"/>
    <s v="Centralización pagos junio 2026 #817 - #817"/>
    <n v="-110000"/>
    <s v="Activo"/>
    <n v="-110000"/>
    <x v="17"/>
  </r>
  <r>
    <n v="2026"/>
    <n v="6"/>
    <s v="16-06-2026"/>
    <n v="8355"/>
    <s v="1106-07"/>
    <n v="0"/>
    <n v="8790"/>
    <s v="Centralización pagos junio 2026 #704 - #704"/>
    <n v="-8790"/>
    <s v="Activo"/>
    <n v="-8790"/>
    <x v="17"/>
  </r>
  <r>
    <n v="2026"/>
    <n v="6"/>
    <s v="16-06-2026"/>
    <n v="8416"/>
    <s v="1106-07"/>
    <n v="0"/>
    <n v="94800"/>
    <s v="Centralización pagos junio 2026 #758 - #758"/>
    <n v="-94800"/>
    <s v="Activo"/>
    <n v="-94800"/>
    <x v="17"/>
  </r>
  <r>
    <n v="2026"/>
    <n v="6"/>
    <s v="17-06-2026"/>
    <n v="8351"/>
    <s v="1106-07"/>
    <n v="0"/>
    <n v="13200"/>
    <s v="Centralización pagos junio 2026 #700 - #700"/>
    <n v="-13200"/>
    <s v="Activo"/>
    <n v="-13200"/>
    <x v="17"/>
  </r>
  <r>
    <n v="2026"/>
    <n v="6"/>
    <s v="19-06-2026"/>
    <n v="8354"/>
    <s v="1106-07"/>
    <n v="0"/>
    <n v="15900"/>
    <s v="Centralización pagos junio 2026 #703 - #703"/>
    <n v="-15900"/>
    <s v="Activo"/>
    <n v="-15900"/>
    <x v="17"/>
  </r>
  <r>
    <n v="2026"/>
    <n v="6"/>
    <s v="19-06-2026"/>
    <n v="8421"/>
    <s v="1106-07"/>
    <n v="0"/>
    <n v="47416"/>
    <s v="Centralización pagos junio 2026 #801 - #801"/>
    <n v="-47416"/>
    <s v="Activo"/>
    <n v="-47416"/>
    <x v="17"/>
  </r>
  <r>
    <n v="2026"/>
    <n v="6"/>
    <s v="21-06-2026"/>
    <n v="8419"/>
    <s v="1106-07"/>
    <n v="0"/>
    <n v="94800"/>
    <s v="Centralización pagos junio 2026 #789 - #789"/>
    <n v="-94800"/>
    <s v="Activo"/>
    <n v="-94800"/>
    <x v="17"/>
  </r>
  <r>
    <n v="2026"/>
    <n v="6"/>
    <s v="24-06-2026"/>
    <n v="7980"/>
    <s v="1106-07"/>
    <n v="150000"/>
    <n v="0"/>
    <s v="0765406986 transf a t-link spa"/>
    <n v="150000"/>
    <s v="Activo"/>
    <n v="150000"/>
    <x v="17"/>
  </r>
  <r>
    <n v="2026"/>
    <n v="6"/>
    <s v="24-06-2026"/>
    <n v="8353"/>
    <s v="1106-07"/>
    <n v="0"/>
    <n v="14200"/>
    <s v="Centralización pagos junio 2026 #702 - #702"/>
    <n v="-14200"/>
    <s v="Activo"/>
    <n v="-14200"/>
    <x v="17"/>
  </r>
  <r>
    <n v="2026"/>
    <n v="6"/>
    <s v="26-06-2026"/>
    <n v="8212"/>
    <s v="1106-07"/>
    <n v="0"/>
    <n v="120000"/>
    <s v="Soledad del carmen maldonado z"/>
    <n v="-120000"/>
    <s v="Activo"/>
    <n v="-120000"/>
    <x v="17"/>
  </r>
  <r>
    <n v="2026"/>
    <n v="6"/>
    <s v="26-06-2026"/>
    <n v="8352"/>
    <s v="1106-07"/>
    <n v="0"/>
    <n v="10000"/>
    <s v="Centralización pagos junio 2026 #701 - #701"/>
    <n v="-10000"/>
    <s v="Activo"/>
    <n v="-10000"/>
    <x v="17"/>
  </r>
  <r>
    <n v="2026"/>
    <n v="6"/>
    <s v="27-06-2026"/>
    <n v="8359"/>
    <s v="1106-07"/>
    <n v="0"/>
    <n v="50000"/>
    <s v="Centralización pagos junio 2026 #717 - #717"/>
    <n v="-50000"/>
    <s v="Activo"/>
    <n v="-50000"/>
    <x v="17"/>
  </r>
  <r>
    <n v="2026"/>
    <n v="1"/>
    <s v="01-01-2026"/>
    <n v="9827"/>
    <s v="1106-08"/>
    <n v="1890000"/>
    <n v="0"/>
    <s v=""/>
    <n v="1890000"/>
    <s v="Activo"/>
    <n v="1890000"/>
    <x v="18"/>
  </r>
  <r>
    <n v="2026"/>
    <n v="2"/>
    <s v="13-02-2026"/>
    <n v="7202"/>
    <s v="1106-09"/>
    <n v="800000"/>
    <n v="0"/>
    <s v="Rodrigo bernar anticipo mes de febrero 2026 tlink"/>
    <n v="800000"/>
    <s v="Activo"/>
    <n v="800000"/>
    <x v="19"/>
  </r>
  <r>
    <n v="2026"/>
    <n v="2"/>
    <s v="26-02-2026"/>
    <n v="7277"/>
    <s v="1106-09"/>
    <n v="322729"/>
    <n v="0"/>
    <s v="Alvaro millan diferencia remuneracion enero 2026"/>
    <n v="322729"/>
    <s v="Activo"/>
    <n v="322729"/>
    <x v="19"/>
  </r>
  <r>
    <n v="2026"/>
    <n v="2"/>
    <s v="26-02-2026"/>
    <n v="7279"/>
    <s v="1106-09"/>
    <n v="203524"/>
    <n v="0"/>
    <s v="Poslin joachin pago saldo pendiente remuneracion enero 2026"/>
    <n v="203524"/>
    <s v="Activo"/>
    <n v="203524"/>
    <x v="19"/>
  </r>
  <r>
    <n v="2026"/>
    <n v="2"/>
    <s v="28-02-2026"/>
    <n v="9813"/>
    <s v="1106-09"/>
    <n v="0"/>
    <n v="1326253"/>
    <s v="Centralizacion remuneraciones febrero"/>
    <n v="-1326253"/>
    <s v="Activo"/>
    <n v="-1326253"/>
    <x v="19"/>
  </r>
  <r>
    <n v="2026"/>
    <n v="3"/>
    <s v="31-03-2026"/>
    <n v="10744"/>
    <s v="1106-09"/>
    <n v="0"/>
    <n v="59000"/>
    <s v="Centralizacion remuneraciones marzo"/>
    <n v="-59000"/>
    <s v="Activo"/>
    <n v="-59000"/>
    <x v="19"/>
  </r>
  <r>
    <n v="2026"/>
    <n v="4"/>
    <s v="02-04-2026"/>
    <n v="7500"/>
    <s v="1106-09"/>
    <n v="59000"/>
    <n v="0"/>
    <s v="Pago anticipado"/>
    <n v="59000"/>
    <s v="Activo"/>
    <n v="59000"/>
    <x v="19"/>
  </r>
  <r>
    <n v="2026"/>
    <n v="4"/>
    <s v="28-04-2026"/>
    <n v="7664"/>
    <s v="1106-09"/>
    <n v="2250000"/>
    <n v="0"/>
    <s v="Pago anticipado a rodrigo riffo"/>
    <n v="2250000"/>
    <s v="Activo"/>
    <n v="2250000"/>
    <x v="19"/>
  </r>
  <r>
    <n v="2026"/>
    <n v="4"/>
    <s v="30-04-2026"/>
    <n v="10757"/>
    <s v="1106-09"/>
    <n v="0"/>
    <n v="2250000"/>
    <s v="Centralizacion remuneraciones abril"/>
    <n v="-2250000"/>
    <s v="Activo"/>
    <n v="-2250000"/>
    <x v="19"/>
  </r>
  <r>
    <n v="2026"/>
    <n v="6"/>
    <s v="15-06-2026"/>
    <n v="7936"/>
    <s v="1106-09"/>
    <n v="113801"/>
    <n v="0"/>
    <s v="Anticipo edgard bernardo godoy lavín"/>
    <n v="113801"/>
    <s v="Activo"/>
    <n v="113801"/>
    <x v="19"/>
  </r>
  <r>
    <n v="2026"/>
    <n v="6"/>
    <s v="24-06-2026"/>
    <n v="7918"/>
    <s v="1106-09"/>
    <n v="400000"/>
    <n v="0"/>
    <s v="Anticipo jaime orlando ñanculef pacheco"/>
    <n v="400000"/>
    <s v="Activo"/>
    <n v="400000"/>
    <x v="19"/>
  </r>
  <r>
    <n v="2026"/>
    <n v="6"/>
    <s v="30-06-2026"/>
    <n v="10802"/>
    <s v="1106-09"/>
    <n v="0"/>
    <n v="513801"/>
    <s v="Centralizacion remuneraciones junio"/>
    <n v="-513801"/>
    <s v="Activo"/>
    <n v="-513801"/>
    <x v="19"/>
  </r>
  <r>
    <n v="2026"/>
    <n v="7"/>
    <s v="20-07-2026"/>
    <n v="8530"/>
    <s v="1106-09"/>
    <n v="160000"/>
    <n v="0"/>
    <s v="Anticipo patricio díaz"/>
    <n v="160000"/>
    <s v="Activo"/>
    <n v="160000"/>
    <x v="19"/>
  </r>
  <r>
    <n v="2026"/>
    <n v="7"/>
    <s v="23-07-2026"/>
    <n v="8553"/>
    <s v="1106-09"/>
    <n v="600000"/>
    <n v="0"/>
    <s v="Anticipo rodrigo bernar"/>
    <n v="600000"/>
    <s v="Activo"/>
    <n v="600000"/>
    <x v="19"/>
  </r>
  <r>
    <n v="2026"/>
    <n v="7"/>
    <s v="31-07-2026"/>
    <n v="12633"/>
    <s v="1106-09"/>
    <n v="0"/>
    <n v="971150"/>
    <s v="Centralizacion remuneraciones julio"/>
    <n v="-971150"/>
    <s v="Activo"/>
    <n v="-971150"/>
    <x v="19"/>
  </r>
  <r>
    <n v="2026"/>
    <n v="1"/>
    <s v="01-01-2026"/>
    <n v="9827"/>
    <s v="1108-01"/>
    <n v="41346440"/>
    <n v="0"/>
    <s v=""/>
    <n v="41346440"/>
    <s v="Activo"/>
    <n v="41346440"/>
    <x v="20"/>
  </r>
  <r>
    <n v="2026"/>
    <n v="1"/>
    <s v="31-01-2026"/>
    <n v="10770"/>
    <s v="1108-01"/>
    <n v="3613104"/>
    <n v="0"/>
    <s v="Centralización f29 enero"/>
    <n v="3613104"/>
    <s v="Activo"/>
    <n v="3613104"/>
    <x v="20"/>
  </r>
  <r>
    <n v="2026"/>
    <n v="2"/>
    <s v="28-02-2026"/>
    <n v="10771"/>
    <s v="1108-01"/>
    <n v="3835125"/>
    <n v="0"/>
    <s v="Centralización f29 febrero"/>
    <n v="3835125"/>
    <s v="Activo"/>
    <n v="3835125"/>
    <x v="20"/>
  </r>
  <r>
    <n v="2026"/>
    <n v="3"/>
    <s v="31-03-2026"/>
    <n v="10772"/>
    <s v="1108-01"/>
    <n v="3712048"/>
    <n v="0"/>
    <s v="Centralización f29 marzo"/>
    <n v="3712048"/>
    <s v="Activo"/>
    <n v="3712048"/>
    <x v="20"/>
  </r>
  <r>
    <n v="2026"/>
    <n v="4"/>
    <s v="30-04-2026"/>
    <n v="10769"/>
    <s v="1108-01"/>
    <n v="3858602"/>
    <n v="0"/>
    <s v="Centralización f29 abril"/>
    <n v="3858602"/>
    <s v="Activo"/>
    <n v="3858602"/>
    <x v="20"/>
  </r>
  <r>
    <n v="2026"/>
    <n v="4"/>
    <s v="30-04-2026"/>
    <n v="10778"/>
    <s v="1108-01"/>
    <n v="0"/>
    <n v="41346440"/>
    <s v="Impuesto a la renta at 2026"/>
    <n v="-41346440"/>
    <s v="Activo"/>
    <n v="-41346440"/>
    <x v="20"/>
  </r>
  <r>
    <n v="2026"/>
    <n v="5"/>
    <s v="31-05-2026"/>
    <n v="10784"/>
    <s v="1108-01"/>
    <n v="3951725"/>
    <n v="0"/>
    <s v="Centralizacion f29 mayo "/>
    <n v="3951725"/>
    <s v="Activo"/>
    <n v="3951725"/>
    <x v="20"/>
  </r>
  <r>
    <n v="2026"/>
    <n v="6"/>
    <s v="30-06-2026"/>
    <n v="10841"/>
    <s v="1108-01"/>
    <n v="3989064"/>
    <n v="0"/>
    <s v="Centralizacion f29 junio"/>
    <n v="3989064"/>
    <s v="Activo"/>
    <n v="3989064"/>
    <x v="20"/>
  </r>
  <r>
    <n v="2026"/>
    <n v="6"/>
    <s v="30-06-2026"/>
    <n v="10849"/>
    <s v="1108-01"/>
    <n v="363230"/>
    <n v="0"/>
    <s v="Ccmm ppm al 30-06-2026"/>
    <n v="363230"/>
    <s v="Activo"/>
    <n v="363230"/>
    <x v="20"/>
  </r>
  <r>
    <n v="2026"/>
    <n v="1"/>
    <s v="01-01-2026"/>
    <n v="8098"/>
    <s v="1108-02"/>
    <n v="0"/>
    <n v="77042"/>
    <s v="Otros impuestos"/>
    <n v="-77042"/>
    <s v="Activo"/>
    <n v="-77042"/>
    <x v="21"/>
  </r>
  <r>
    <n v="2026"/>
    <n v="1"/>
    <s v="01-01-2026"/>
    <n v="9827"/>
    <s v="1108-02"/>
    <n v="77042"/>
    <n v="0"/>
    <s v=""/>
    <n v="77042"/>
    <s v="Activo"/>
    <n v="77042"/>
    <x v="21"/>
  </r>
  <r>
    <n v="2026"/>
    <n v="1"/>
    <s v="31-01-2026"/>
    <n v="9814"/>
    <s v="1108-02"/>
    <n v="11778898"/>
    <n v="0"/>
    <s v="Centralización compras enero 2026 - iva crédito fiscal"/>
    <n v="11778898"/>
    <s v="Activo"/>
    <n v="11778898"/>
    <x v="21"/>
  </r>
  <r>
    <n v="2026"/>
    <n v="1"/>
    <s v="31-01-2026"/>
    <n v="9814"/>
    <s v="1108-02"/>
    <n v="0"/>
    <n v="1919098"/>
    <s v="Centralización compras enero 2026 - iva crédito fiscal"/>
    <n v="-1919098"/>
    <s v="Activo"/>
    <n v="-1919098"/>
    <x v="21"/>
  </r>
  <r>
    <n v="2026"/>
    <n v="1"/>
    <s v="31-01-2026"/>
    <n v="10770"/>
    <s v="1108-02"/>
    <n v="0"/>
    <n v="9859800"/>
    <s v="Centralización f29 enero"/>
    <n v="-9859800"/>
    <s v="Activo"/>
    <n v="-9859800"/>
    <x v="21"/>
  </r>
  <r>
    <n v="2026"/>
    <n v="2"/>
    <s v="28-02-2026"/>
    <n v="9815"/>
    <s v="1108-02"/>
    <n v="13451091"/>
    <n v="0"/>
    <s v="Centralización compras febrero 2026 - iva crédito fiscal"/>
    <n v="13451091"/>
    <s v="Activo"/>
    <n v="13451091"/>
    <x v="21"/>
  </r>
  <r>
    <n v="2026"/>
    <n v="2"/>
    <s v="28-02-2026"/>
    <n v="9815"/>
    <s v="1108-02"/>
    <n v="0"/>
    <n v="101564"/>
    <s v="Centralización compras febrero 2026 - iva crédito fiscal"/>
    <n v="-101564"/>
    <s v="Activo"/>
    <n v="-101564"/>
    <x v="21"/>
  </r>
  <r>
    <n v="2026"/>
    <n v="2"/>
    <s v="28-02-2026"/>
    <n v="10771"/>
    <s v="1108-02"/>
    <n v="0"/>
    <n v="13039943"/>
    <s v="Centralización f29 febrero"/>
    <n v="-13039943"/>
    <s v="Activo"/>
    <n v="-13039943"/>
    <x v="21"/>
  </r>
  <r>
    <n v="2026"/>
    <n v="3"/>
    <s v="31-03-2026"/>
    <n v="10743"/>
    <s v="1108-02"/>
    <n v="489712"/>
    <n v="0"/>
    <s v="Centralización compras marzo 2026 - iva crédito fiscal"/>
    <n v="489712"/>
    <s v="Activo"/>
    <n v="489712"/>
    <x v="21"/>
  </r>
  <r>
    <n v="2026"/>
    <n v="3"/>
    <s v="31-03-2026"/>
    <n v="10753"/>
    <s v="1108-02"/>
    <n v="27730838"/>
    <n v="0"/>
    <s v="Centralización compras marzo 2026 - iva crédito fiscal"/>
    <n v="27730838"/>
    <s v="Activo"/>
    <n v="27730838"/>
    <x v="21"/>
  </r>
  <r>
    <n v="2026"/>
    <n v="3"/>
    <s v="31-03-2026"/>
    <n v="10753"/>
    <s v="1108-02"/>
    <n v="0"/>
    <n v="22179"/>
    <s v="Centralización compras marzo 2026 - iva crédito fiscal"/>
    <n v="-22179"/>
    <s v="Activo"/>
    <n v="-22179"/>
    <x v="21"/>
  </r>
  <r>
    <n v="2026"/>
    <n v="3"/>
    <s v="31-03-2026"/>
    <n v="10772"/>
    <s v="1108-02"/>
    <n v="0"/>
    <n v="27800790"/>
    <s v="Centralización f29 marzo"/>
    <n v="-27800790"/>
    <s v="Activo"/>
    <n v="-27800790"/>
    <x v="21"/>
  </r>
  <r>
    <n v="2026"/>
    <n v="4"/>
    <s v="30-04-2026"/>
    <n v="10758"/>
    <s v="1108-02"/>
    <n v="25473363"/>
    <n v="0"/>
    <s v="Centralización compras abril 2026 - iva crédito fiscal"/>
    <n v="25473363"/>
    <s v="Activo"/>
    <n v="25473363"/>
    <x v="21"/>
  </r>
  <r>
    <n v="2026"/>
    <n v="4"/>
    <s v="30-04-2026"/>
    <n v="10758"/>
    <s v="1108-02"/>
    <n v="0"/>
    <n v="10603523"/>
    <s v="Centralización compras abril 2026 - iva crédito fiscal"/>
    <n v="-10603523"/>
    <s v="Activo"/>
    <n v="-10603523"/>
    <x v="21"/>
  </r>
  <r>
    <n v="2026"/>
    <n v="4"/>
    <s v="30-04-2026"/>
    <n v="10769"/>
    <s v="1108-02"/>
    <n v="0"/>
    <n v="14869839"/>
    <s v="Centralización f29 abril"/>
    <n v="-14869839"/>
    <s v="Activo"/>
    <n v="-14869839"/>
    <x v="21"/>
  </r>
  <r>
    <n v="2026"/>
    <n v="5"/>
    <s v="31-05-2026"/>
    <n v="10784"/>
    <s v="1108-02"/>
    <n v="0"/>
    <n v="12622763"/>
    <s v="Centralizacion f29 mayo "/>
    <n v="-12622763"/>
    <s v="Activo"/>
    <n v="-12622763"/>
    <x v="21"/>
  </r>
  <r>
    <n v="2026"/>
    <n v="5"/>
    <s v="31-05-2026"/>
    <n v="10790"/>
    <s v="1108-02"/>
    <n v="13261534"/>
    <n v="0"/>
    <s v="Centralización compras mayo 2026 - iva crédito fiscal"/>
    <n v="13261534"/>
    <s v="Activo"/>
    <n v="13261534"/>
    <x v="21"/>
  </r>
  <r>
    <n v="2026"/>
    <n v="5"/>
    <s v="31-05-2026"/>
    <n v="10790"/>
    <s v="1108-02"/>
    <n v="0"/>
    <n v="638771"/>
    <s v="Centralización compras mayo 2026 - iva crédito fiscal"/>
    <n v="-638771"/>
    <s v="Activo"/>
    <n v="-638771"/>
    <x v="21"/>
  </r>
  <r>
    <n v="2026"/>
    <n v="6"/>
    <s v="30-06-2026"/>
    <n v="10798"/>
    <s v="1108-02"/>
    <n v="15631030"/>
    <n v="0"/>
    <s v="Centralización compras junio 2026 - iva crédito fiscal"/>
    <n v="15631030"/>
    <s v="Activo"/>
    <n v="15631030"/>
    <x v="21"/>
  </r>
  <r>
    <n v="2026"/>
    <n v="6"/>
    <s v="30-06-2026"/>
    <n v="10798"/>
    <s v="1108-02"/>
    <n v="0"/>
    <n v="782574"/>
    <s v="Centralización compras junio 2026 - iva crédito fiscal"/>
    <n v="-782574"/>
    <s v="Activo"/>
    <n v="-782574"/>
    <x v="21"/>
  </r>
  <r>
    <n v="2026"/>
    <n v="6"/>
    <s v="30-06-2026"/>
    <n v="10841"/>
    <s v="1108-02"/>
    <n v="0"/>
    <n v="13077787"/>
    <s v="Centralizacion f29 junio"/>
    <n v="-13077787"/>
    <s v="Activo"/>
    <n v="-13077787"/>
    <x v="21"/>
  </r>
  <r>
    <n v="2026"/>
    <n v="6"/>
    <s v="30-06-2026"/>
    <n v="10843"/>
    <s v="1108-02"/>
    <n v="0"/>
    <n v="1770669"/>
    <s v="Centralizacion compras junio 2026 602"/>
    <n v="-1770669"/>
    <s v="Activo"/>
    <n v="-1770669"/>
    <x v="21"/>
  </r>
  <r>
    <n v="2026"/>
    <n v="7"/>
    <s v="31-07-2026"/>
    <n v="10852"/>
    <s v="1108-02"/>
    <n v="13510885"/>
    <n v="0"/>
    <s v="Centralización compras julio 2026 - iva crédito fiscal"/>
    <n v="13510885"/>
    <s v="Activo"/>
    <n v="13510885"/>
    <x v="21"/>
  </r>
  <r>
    <n v="2026"/>
    <n v="7"/>
    <s v="31-07-2026"/>
    <n v="10852"/>
    <s v="1108-02"/>
    <n v="0"/>
    <n v="884695"/>
    <s v="Centralización compras julio 2026 - iva crédito fiscal"/>
    <n v="-884695"/>
    <s v="Activo"/>
    <n v="-884695"/>
    <x v="21"/>
  </r>
  <r>
    <n v="2026"/>
    <n v="1"/>
    <s v="01-01-2026"/>
    <n v="9827"/>
    <s v="1108-06"/>
    <n v="1474666"/>
    <n v="0"/>
    <s v=""/>
    <n v="1474666"/>
    <s v="Activo"/>
    <n v="1474666"/>
    <x v="22"/>
  </r>
  <r>
    <n v="2026"/>
    <n v="4"/>
    <s v="30-04-2026"/>
    <n v="10778"/>
    <s v="1108-06"/>
    <n v="0"/>
    <n v="56644"/>
    <s v="Impuesto a la renta at 2026"/>
    <n v="-56644"/>
    <s v="Activo"/>
    <n v="-56644"/>
    <x v="22"/>
  </r>
  <r>
    <n v="2026"/>
    <n v="1"/>
    <s v="01-01-2026"/>
    <n v="8213"/>
    <s v="1109-03"/>
    <n v="5665"/>
    <n v="0"/>
    <s v="Centralizacion compras junio 2026 602"/>
    <n v="5665"/>
    <s v="Activo"/>
    <n v="5665"/>
    <x v="23"/>
  </r>
  <r>
    <n v="2026"/>
    <n v="6"/>
    <s v="30-06-2026"/>
    <n v="10843"/>
    <s v="1109-03"/>
    <n v="1770669"/>
    <n v="0"/>
    <s v="Centralizacion compras junio 2026 602"/>
    <n v="1770669"/>
    <s v="Activo"/>
    <n v="1770669"/>
    <x v="23"/>
  </r>
  <r>
    <n v="2026"/>
    <n v="1"/>
    <s v="01-01-2026"/>
    <n v="9827"/>
    <s v="1109-05"/>
    <n v="138332373"/>
    <n v="0"/>
    <s v=""/>
    <n v="138332373"/>
    <s v="Activo"/>
    <n v="138332373"/>
    <x v="24"/>
  </r>
  <r>
    <n v="2026"/>
    <n v="1"/>
    <s v="31-01-2026"/>
    <n v="10770"/>
    <s v="1109-05"/>
    <n v="352251"/>
    <n v="0"/>
    <s v="Centralización f29 enero"/>
    <n v="352251"/>
    <s v="Activo"/>
    <n v="352251"/>
    <x v="24"/>
  </r>
  <r>
    <n v="2026"/>
    <n v="4"/>
    <s v="30-04-2026"/>
    <n v="10758"/>
    <s v="1109-05"/>
    <n v="7032024"/>
    <n v="0"/>
    <s v="Centralización compras abril 2026 - valor neto"/>
    <n v="7032024"/>
    <s v="Activo"/>
    <n v="7032024"/>
    <x v="24"/>
  </r>
  <r>
    <n v="2026"/>
    <n v="4"/>
    <s v="30-04-2026"/>
    <n v="10769"/>
    <s v="1109-05"/>
    <n v="967968"/>
    <n v="0"/>
    <s v="Centralización f29 abril"/>
    <n v="967968"/>
    <s v="Activo"/>
    <n v="967968"/>
    <x v="24"/>
  </r>
  <r>
    <n v="2026"/>
    <n v="5"/>
    <s v="25-05-2026"/>
    <n v="10786"/>
    <s v="1109-05"/>
    <n v="1883768"/>
    <n v="0"/>
    <s v="Paypal ebay us"/>
    <n v="1883768"/>
    <s v="Activo"/>
    <n v="1883768"/>
    <x v="24"/>
  </r>
  <r>
    <n v="2026"/>
    <n v="5"/>
    <s v="25-05-2026"/>
    <n v="10787"/>
    <s v="1109-05"/>
    <n v="123000"/>
    <n v="0"/>
    <s v="Paypal ebay us"/>
    <n v="123000"/>
    <s v="Activo"/>
    <n v="123000"/>
    <x v="24"/>
  </r>
  <r>
    <n v="2026"/>
    <n v="6"/>
    <s v="30-06-2026"/>
    <n v="10798"/>
    <s v="1109-05"/>
    <n v="5522880"/>
    <n v="0"/>
    <s v="Centralización compras junio 2026 - valor neto"/>
    <n v="5522880"/>
    <s v="Activo"/>
    <n v="5522880"/>
    <x v="24"/>
  </r>
  <r>
    <n v="2026"/>
    <n v="7"/>
    <s v="23-07-2026"/>
    <n v="8587"/>
    <s v="1109-05"/>
    <n v="18473"/>
    <n v="0"/>
    <s v="Electronica retail lim"/>
    <n v="18473"/>
    <s v="Activo"/>
    <n v="18473"/>
    <x v="24"/>
  </r>
  <r>
    <n v="2026"/>
    <n v="7"/>
    <s v="07-07-2026"/>
    <n v="8465"/>
    <s v="1110-02"/>
    <n v="250000"/>
    <n v="0"/>
    <s v="Pago bh 207 julio orlando chaparro cares"/>
    <n v="250000"/>
    <s v="Activo"/>
    <n v="250000"/>
    <x v="25"/>
  </r>
  <r>
    <n v="2026"/>
    <n v="7"/>
    <s v="07-07-2026"/>
    <n v="8467"/>
    <s v="1110-02"/>
    <n v="120000"/>
    <n v="0"/>
    <s v="Pago bh 113 soledad del carmen maldonado z"/>
    <n v="120000"/>
    <s v="Activo"/>
    <n v="120000"/>
    <x v="25"/>
  </r>
  <r>
    <n v="2026"/>
    <n v="1"/>
    <s v="01-01-2026"/>
    <n v="9827"/>
    <s v="1110-03"/>
    <n v="6590"/>
    <n v="0"/>
    <s v=""/>
    <n v="6590"/>
    <s v="Activo"/>
    <n v="6590"/>
    <x v="26"/>
  </r>
  <r>
    <n v="2026"/>
    <n v="1"/>
    <s v="01-01-2026"/>
    <n v="10842"/>
    <s v="1110-03"/>
    <n v="0"/>
    <n v="6590"/>
    <s v="Centralización compras enero 2026 - valor neto"/>
    <n v="-6590"/>
    <s v="Activo"/>
    <n v="-6590"/>
    <x v="26"/>
  </r>
  <r>
    <n v="2026"/>
    <n v="1"/>
    <s v="01-01-2026"/>
    <n v="8100"/>
    <s v="1110-08"/>
    <n v="0"/>
    <n v="271508"/>
    <s v="Centralización pagos enero 2026 #616 - #616"/>
    <n v="-271508"/>
    <s v="Activo"/>
    <n v="-271508"/>
    <x v="27"/>
  </r>
  <r>
    <n v="2026"/>
    <n v="1"/>
    <s v="01-01-2026"/>
    <n v="8102"/>
    <s v="1110-08"/>
    <n v="0"/>
    <n v="245083"/>
    <s v="Centralización pagos enero 2026 #621 - #621"/>
    <n v="-245083"/>
    <s v="Activo"/>
    <n v="-245083"/>
    <x v="27"/>
  </r>
  <r>
    <n v="2026"/>
    <n v="1"/>
    <s v="01-01-2026"/>
    <n v="8103"/>
    <s v="1110-08"/>
    <n v="0"/>
    <n v="192957"/>
    <s v="Centralización pagos enero 2026 #623 - #623"/>
    <n v="-192957"/>
    <s v="Activo"/>
    <n v="-192957"/>
    <x v="27"/>
  </r>
  <r>
    <n v="2026"/>
    <n v="1"/>
    <s v="01-01-2026"/>
    <n v="8104"/>
    <s v="1110-08"/>
    <n v="0"/>
    <n v="55228"/>
    <s v="Centralización pagos enero 2026 #625 - #625"/>
    <n v="-55228"/>
    <s v="Activo"/>
    <n v="-55228"/>
    <x v="27"/>
  </r>
  <r>
    <n v="2026"/>
    <n v="1"/>
    <s v="01-01-2026"/>
    <n v="8106"/>
    <s v="1110-08"/>
    <n v="0"/>
    <n v="14081"/>
    <s v="Centralización pagos enero 2026 #630 - #630"/>
    <n v="-14081"/>
    <s v="Activo"/>
    <n v="-14081"/>
    <x v="27"/>
  </r>
  <r>
    <n v="2026"/>
    <n v="1"/>
    <s v="01-01-2026"/>
    <n v="8107"/>
    <s v="1110-08"/>
    <n v="0"/>
    <n v="47000"/>
    <s v="Centralización pagos enero 2026 #631 - #631"/>
    <n v="-47000"/>
    <s v="Activo"/>
    <n v="-47000"/>
    <x v="27"/>
  </r>
  <r>
    <n v="2026"/>
    <n v="1"/>
    <s v="01-01-2026"/>
    <n v="8108"/>
    <s v="1110-08"/>
    <n v="0"/>
    <n v="260591"/>
    <s v="Centralización pagos enero 2026 #632 - #632"/>
    <n v="-260591"/>
    <s v="Activo"/>
    <n v="-260591"/>
    <x v="27"/>
  </r>
  <r>
    <n v="2026"/>
    <n v="1"/>
    <s v="01-01-2026"/>
    <n v="8109"/>
    <s v="1110-08"/>
    <n v="0"/>
    <n v="235990"/>
    <s v="Centralización pagos enero 2026 #633 - #633"/>
    <n v="-235990"/>
    <s v="Activo"/>
    <n v="-235990"/>
    <x v="27"/>
  </r>
  <r>
    <n v="2026"/>
    <n v="1"/>
    <s v="01-01-2026"/>
    <n v="8110"/>
    <s v="1110-08"/>
    <n v="0"/>
    <n v="115938"/>
    <s v="Centralización pagos enero 2026 #634 - #634"/>
    <n v="-115938"/>
    <s v="Activo"/>
    <n v="-115938"/>
    <x v="27"/>
  </r>
  <r>
    <n v="2026"/>
    <n v="1"/>
    <s v="01-01-2026"/>
    <n v="8111"/>
    <s v="1110-08"/>
    <n v="0"/>
    <n v="24500"/>
    <s v="Centralización pagos enero 2026 #635 - #635"/>
    <n v="-24500"/>
    <s v="Activo"/>
    <n v="-24500"/>
    <x v="27"/>
  </r>
  <r>
    <n v="2026"/>
    <n v="1"/>
    <s v="01-01-2026"/>
    <n v="8112"/>
    <s v="1110-08"/>
    <n v="0"/>
    <n v="10838"/>
    <s v="Centralización pagos enero 2026 #639 - #639"/>
    <n v="-10838"/>
    <s v="Activo"/>
    <n v="-10838"/>
    <x v="27"/>
  </r>
  <r>
    <n v="2026"/>
    <n v="1"/>
    <s v="01-01-2026"/>
    <n v="8113"/>
    <s v="1110-08"/>
    <n v="0"/>
    <n v="142324"/>
    <s v="Centralización pagos enero 2026 #640 - #640"/>
    <n v="-142324"/>
    <s v="Activo"/>
    <n v="-142324"/>
    <x v="27"/>
  </r>
  <r>
    <n v="2026"/>
    <n v="1"/>
    <s v="01-01-2026"/>
    <n v="8114"/>
    <s v="1110-08"/>
    <n v="0"/>
    <n v="18816"/>
    <s v="Centralización pagos enero 2026 #642 - #642"/>
    <n v="-18816"/>
    <s v="Activo"/>
    <n v="-18816"/>
    <x v="27"/>
  </r>
  <r>
    <n v="2026"/>
    <n v="1"/>
    <s v="01-01-2026"/>
    <n v="8117"/>
    <s v="1110-08"/>
    <n v="0"/>
    <n v="191945"/>
    <s v="Centralización pagos enero 2026 #649 - #649"/>
    <n v="-191945"/>
    <s v="Activo"/>
    <n v="-191945"/>
    <x v="27"/>
  </r>
  <r>
    <n v="2026"/>
    <n v="1"/>
    <s v="01-01-2026"/>
    <n v="8119"/>
    <s v="1110-08"/>
    <n v="0"/>
    <n v="2280"/>
    <s v="Centralización pagos enero 2026 #652 - #652"/>
    <n v="-2280"/>
    <s v="Activo"/>
    <n v="-2280"/>
    <x v="27"/>
  </r>
  <r>
    <n v="2026"/>
    <n v="1"/>
    <s v="01-01-2026"/>
    <n v="8120"/>
    <s v="1110-08"/>
    <n v="0"/>
    <n v="4487014"/>
    <s v="Centralización pagos enero 2026 #653 - #653"/>
    <n v="-4487014"/>
    <s v="Activo"/>
    <n v="-4487014"/>
    <x v="27"/>
  </r>
  <r>
    <n v="2026"/>
    <n v="1"/>
    <s v="01-01-2026"/>
    <n v="8121"/>
    <s v="1110-08"/>
    <n v="0"/>
    <n v="812"/>
    <s v="Centralización pagos enero 2026 #654 - #654"/>
    <n v="-812"/>
    <s v="Activo"/>
    <n v="-812"/>
    <x v="27"/>
  </r>
  <r>
    <n v="2026"/>
    <n v="1"/>
    <s v="01-01-2026"/>
    <n v="8123"/>
    <s v="1110-08"/>
    <n v="0"/>
    <n v="142800"/>
    <s v="Centralización pagos enero 2026 #656 - #656"/>
    <n v="-142800"/>
    <s v="Activo"/>
    <n v="-142800"/>
    <x v="27"/>
  </r>
  <r>
    <n v="2026"/>
    <n v="1"/>
    <s v="01-01-2026"/>
    <n v="8125"/>
    <s v="1110-08"/>
    <n v="0"/>
    <n v="875964"/>
    <s v="Centralización pagos enero 2026 #660 - #660"/>
    <n v="-875964"/>
    <s v="Activo"/>
    <n v="-875964"/>
    <x v="27"/>
  </r>
  <r>
    <n v="2026"/>
    <n v="1"/>
    <s v="01-01-2026"/>
    <n v="8127"/>
    <s v="1110-08"/>
    <n v="0"/>
    <n v="119025"/>
    <s v="Centralización pagos enero 2026 #663 - #663"/>
    <n v="-119025"/>
    <s v="Activo"/>
    <n v="-119025"/>
    <x v="27"/>
  </r>
  <r>
    <n v="2026"/>
    <n v="1"/>
    <s v="01-01-2026"/>
    <n v="8128"/>
    <s v="1110-08"/>
    <n v="0"/>
    <n v="700575"/>
    <s v="Centralización pagos enero 2026 #667 - #667"/>
    <n v="-700575"/>
    <s v="Activo"/>
    <n v="-700575"/>
    <x v="27"/>
  </r>
  <r>
    <n v="2026"/>
    <n v="1"/>
    <s v="01-01-2026"/>
    <n v="8129"/>
    <s v="1110-08"/>
    <n v="0"/>
    <n v="892500"/>
    <s v="Centralización pagos enero 2026 #669 - #669"/>
    <n v="-892500"/>
    <s v="Activo"/>
    <n v="-892500"/>
    <x v="27"/>
  </r>
  <r>
    <n v="2026"/>
    <n v="1"/>
    <s v="01-01-2026"/>
    <n v="8130"/>
    <s v="1110-08"/>
    <n v="0"/>
    <n v="12400"/>
    <s v="Centralización pagos enero 2026 #670 - #670"/>
    <n v="-12400"/>
    <s v="Activo"/>
    <n v="-12400"/>
    <x v="27"/>
  </r>
  <r>
    <n v="2026"/>
    <n v="1"/>
    <s v="01-01-2026"/>
    <n v="8131"/>
    <s v="1110-08"/>
    <n v="0"/>
    <n v="109980"/>
    <s v="Centralización pagos enero 2026 #671 - #671"/>
    <n v="-109980"/>
    <s v="Activo"/>
    <n v="-109980"/>
    <x v="27"/>
  </r>
  <r>
    <n v="2026"/>
    <n v="1"/>
    <s v="01-01-2026"/>
    <n v="9827"/>
    <s v="1110-08"/>
    <n v="14610460"/>
    <n v="0"/>
    <s v=""/>
    <n v="14610460"/>
    <s v="Activo"/>
    <n v="14610460"/>
    <x v="27"/>
  </r>
  <r>
    <n v="2026"/>
    <n v="1"/>
    <s v="02-01-2026"/>
    <n v="8116"/>
    <s v="1110-08"/>
    <n v="0"/>
    <n v="65940"/>
    <s v="Centralización pagos enero 2026 #648 - #648"/>
    <n v="-65940"/>
    <s v="Activo"/>
    <n v="-65940"/>
    <x v="27"/>
  </r>
  <r>
    <n v="2026"/>
    <n v="1"/>
    <s v="02-01-2026"/>
    <n v="8118"/>
    <s v="1110-08"/>
    <n v="0"/>
    <n v="18990"/>
    <s v="Centralización pagos enero 2026 #651 - #651"/>
    <n v="-18990"/>
    <s v="Activo"/>
    <n v="-18990"/>
    <x v="27"/>
  </r>
  <r>
    <n v="2026"/>
    <n v="1"/>
    <s v="05-01-2026"/>
    <n v="7697"/>
    <s v="1110-08"/>
    <n v="5000000"/>
    <n v="0"/>
    <s v="Tef de cuenta propia n. 35500021347"/>
    <n v="5000000"/>
    <s v="Activo"/>
    <n v="5000000"/>
    <x v="27"/>
  </r>
  <r>
    <n v="2026"/>
    <n v="1"/>
    <s v="13-01-2026"/>
    <n v="7019"/>
    <s v="1110-08"/>
    <n v="1939700"/>
    <n v="0"/>
    <s v="0775321636 transf a hayex tecnolog"/>
    <n v="1939700"/>
    <s v="Activo"/>
    <n v="1939700"/>
    <x v="27"/>
  </r>
  <r>
    <n v="2026"/>
    <n v="1"/>
    <s v="13-01-2026"/>
    <n v="8122"/>
    <s v="1110-08"/>
    <n v="0"/>
    <n v="1614"/>
    <s v="Centralización pagos enero 2026 #655 - #655"/>
    <n v="-1614"/>
    <s v="Activo"/>
    <n v="-1614"/>
    <x v="27"/>
  </r>
  <r>
    <n v="2026"/>
    <n v="1"/>
    <s v="16-01-2026"/>
    <n v="8105"/>
    <s v="1110-08"/>
    <n v="0"/>
    <n v="15790"/>
    <s v="Centralización pagos enero 2026 #626 - #626"/>
    <n v="-15790"/>
    <s v="Activo"/>
    <n v="-15790"/>
    <x v="27"/>
  </r>
  <r>
    <n v="2026"/>
    <n v="1"/>
    <s v="25-01-2026"/>
    <n v="8115"/>
    <s v="1110-08"/>
    <n v="0"/>
    <n v="14"/>
    <s v="Centralización pagos enero 2026 #644 - #644"/>
    <n v="-14"/>
    <s v="Activo"/>
    <n v="-14"/>
    <x v="27"/>
  </r>
  <r>
    <n v="2026"/>
    <n v="1"/>
    <s v="26-01-2026"/>
    <n v="8124"/>
    <s v="1110-08"/>
    <n v="0"/>
    <n v="219734"/>
    <s v="Centralización pagos enero 2026 #657 - #657"/>
    <n v="-219734"/>
    <s v="Activo"/>
    <n v="-219734"/>
    <x v="27"/>
  </r>
  <r>
    <n v="2026"/>
    <n v="1"/>
    <s v="26-01-2026"/>
    <n v="8126"/>
    <s v="1110-08"/>
    <n v="0"/>
    <n v="874766"/>
    <s v="Centralización pagos enero 2026 #661 - #661"/>
    <n v="-874766"/>
    <s v="Activo"/>
    <n v="-874766"/>
    <x v="27"/>
  </r>
  <r>
    <n v="2026"/>
    <n v="1"/>
    <s v="28-01-2026"/>
    <n v="7077"/>
    <s v="1110-08"/>
    <n v="3606871"/>
    <n v="0"/>
    <s v="0774546138 transf a optictimes spa"/>
    <n v="3606871"/>
    <s v="Activo"/>
    <n v="3606871"/>
    <x v="27"/>
  </r>
  <r>
    <n v="2026"/>
    <n v="1"/>
    <s v="28-01-2026"/>
    <n v="7081"/>
    <s v="1110-08"/>
    <n v="416500"/>
    <n v="0"/>
    <s v="0774546138 transf a optictimes spa"/>
    <n v="416500"/>
    <s v="Activo"/>
    <n v="416500"/>
    <x v="27"/>
  </r>
  <r>
    <n v="2026"/>
    <n v="1"/>
    <s v="31-01-2026"/>
    <n v="8101"/>
    <s v="1110-08"/>
    <n v="0"/>
    <n v="159104"/>
    <s v="Centralización pagos enero 2026 #618 - #618"/>
    <n v="-159104"/>
    <s v="Activo"/>
    <n v="-159104"/>
    <x v="27"/>
  </r>
  <r>
    <n v="2026"/>
    <n v="1"/>
    <s v="31-01-2026"/>
    <n v="9825"/>
    <s v="1110-08"/>
    <n v="92368"/>
    <n v="0"/>
    <s v="Zapier.comcharge fc 111"/>
    <n v="92368"/>
    <s v="Activo"/>
    <n v="92368"/>
    <x v="27"/>
  </r>
  <r>
    <n v="2026"/>
    <n v="1"/>
    <s v="31-01-2026"/>
    <n v="9825"/>
    <s v="1110-08"/>
    <n v="578677"/>
    <n v="0"/>
    <s v="Sytex.io fc 109"/>
    <n v="578677"/>
    <s v="Activo"/>
    <n v="578677"/>
    <x v="27"/>
  </r>
  <r>
    <n v="2026"/>
    <n v="1"/>
    <s v="31-01-2026"/>
    <n v="9825"/>
    <s v="1110-08"/>
    <n v="578677"/>
    <n v="0"/>
    <s v="Sytex.io fc 109"/>
    <n v="578677"/>
    <s v="Activo"/>
    <n v="578677"/>
    <x v="27"/>
  </r>
  <r>
    <n v="2026"/>
    <n v="1"/>
    <s v="31-01-2026"/>
    <n v="9825"/>
    <s v="1110-08"/>
    <n v="54726"/>
    <n v="0"/>
    <s v="Mercadopago mercadol"/>
    <n v="54726"/>
    <s v="Activo"/>
    <n v="54726"/>
    <x v="27"/>
  </r>
  <r>
    <n v="2026"/>
    <n v="1"/>
    <s v="31-01-2026"/>
    <n v="9825"/>
    <s v="1110-08"/>
    <n v="69100"/>
    <n v="0"/>
    <s v="Mercadopago mercadol"/>
    <n v="69100"/>
    <s v="Activo"/>
    <n v="69100"/>
    <x v="27"/>
  </r>
  <r>
    <n v="2026"/>
    <n v="2"/>
    <s v="10-02-2026"/>
    <n v="8133"/>
    <s v="1110-08"/>
    <n v="0"/>
    <n v="193439"/>
    <s v="Centralización pagos febrero 2026 #624 - #624"/>
    <n v="-193439"/>
    <s v="Activo"/>
    <n v="-193439"/>
    <x v="27"/>
  </r>
  <r>
    <n v="2026"/>
    <n v="2"/>
    <s v="17-02-2026"/>
    <n v="8137"/>
    <s v="1110-08"/>
    <n v="0"/>
    <n v="173517"/>
    <s v="Centralización pagos febrero 2026 #658 - #658"/>
    <n v="-173517"/>
    <s v="Activo"/>
    <n v="-173517"/>
    <x v="27"/>
  </r>
  <r>
    <n v="2026"/>
    <n v="2"/>
    <s v="17-02-2026"/>
    <n v="8138"/>
    <s v="1110-08"/>
    <n v="0"/>
    <n v="83400"/>
    <s v="Centralización pagos febrero 2026 #668 - #668"/>
    <n v="-83400"/>
    <s v="Activo"/>
    <n v="-83400"/>
    <x v="27"/>
  </r>
  <r>
    <n v="2026"/>
    <n v="2"/>
    <s v="18-02-2026"/>
    <n v="8136"/>
    <s v="1110-08"/>
    <n v="0"/>
    <n v="126845"/>
    <s v="Centralización pagos febrero 2026 #650 - #650"/>
    <n v="-126845"/>
    <s v="Activo"/>
    <n v="-126845"/>
    <x v="27"/>
  </r>
  <r>
    <n v="2026"/>
    <n v="2"/>
    <s v="21-02-2026"/>
    <n v="8135"/>
    <s v="1110-08"/>
    <n v="0"/>
    <n v="233000"/>
    <s v="Centralización pagos febrero 2026 #647 - #647"/>
    <n v="-233000"/>
    <s v="Activo"/>
    <n v="-233000"/>
    <x v="27"/>
  </r>
  <r>
    <n v="2026"/>
    <n v="2"/>
    <s v="25-02-2026"/>
    <n v="7245"/>
    <s v="1110-08"/>
    <n v="4656741"/>
    <n v="0"/>
    <s v="Cargo pagos masivos"/>
    <n v="4656741"/>
    <s v="Activo"/>
    <n v="4656741"/>
    <x v="27"/>
  </r>
  <r>
    <n v="2026"/>
    <n v="2"/>
    <s v="25-02-2026"/>
    <n v="7246"/>
    <s v="1110-08"/>
    <n v="1000000"/>
    <n v="0"/>
    <s v="Traspaso internet a t. crédito santander 6647"/>
    <n v="1000000"/>
    <s v="Activo"/>
    <n v="1000000"/>
    <x v="27"/>
  </r>
  <r>
    <n v="2026"/>
    <n v="2"/>
    <s v="25-02-2026"/>
    <n v="7249"/>
    <s v="1110-08"/>
    <n v="240975"/>
    <n v="0"/>
    <s v="0769224815 transf a soluciones grá"/>
    <n v="240975"/>
    <s v="Activo"/>
    <n v="240975"/>
    <x v="27"/>
  </r>
  <r>
    <n v="2026"/>
    <n v="2"/>
    <s v="26-02-2026"/>
    <n v="7275"/>
    <s v="1110-08"/>
    <n v="414809"/>
    <n v="0"/>
    <s v="0799131609 transf a estec f 805425"/>
    <n v="414809"/>
    <s v="Activo"/>
    <n v="414809"/>
    <x v="27"/>
  </r>
  <r>
    <n v="2026"/>
    <n v="2"/>
    <s v="26-02-2026"/>
    <n v="8134"/>
    <s v="1110-08"/>
    <n v="0"/>
    <n v="35801"/>
    <s v="Centralización pagos febrero 2026 #645 - #645"/>
    <n v="-35801"/>
    <s v="Activo"/>
    <n v="-35801"/>
    <x v="27"/>
  </r>
  <r>
    <n v="2026"/>
    <n v="2"/>
    <s v="28-02-2026"/>
    <n v="8132"/>
    <s v="1110-08"/>
    <n v="0"/>
    <n v="150487"/>
    <s v="Centralización pagos febrero 2026 #619 - #619"/>
    <n v="-150487"/>
    <s v="Activo"/>
    <n v="-150487"/>
    <x v="27"/>
  </r>
  <r>
    <n v="2026"/>
    <n v="2"/>
    <s v="28-02-2026"/>
    <n v="10599"/>
    <s v="1110-08"/>
    <n v="24276"/>
    <n v="0"/>
    <s v="Ppro adobe factura marzo"/>
    <n v="24276"/>
    <s v="Activo"/>
    <n v="24276"/>
    <x v="27"/>
  </r>
  <r>
    <n v="2026"/>
    <n v="2"/>
    <s v="28-02-2026"/>
    <n v="10599"/>
    <s v="1110-08"/>
    <n v="32725"/>
    <n v="0"/>
    <s v="Facebk 6kdq3czy92 factura abril"/>
    <n v="32725"/>
    <s v="Activo"/>
    <n v="32725"/>
    <x v="27"/>
  </r>
  <r>
    <n v="2026"/>
    <n v="2"/>
    <s v="28-02-2026"/>
    <n v="10599"/>
    <s v="1110-08"/>
    <n v="60246"/>
    <n v="0"/>
    <s v="Facebk a9da9bhy92 factura abril"/>
    <n v="60246"/>
    <s v="Activo"/>
    <n v="60246"/>
    <x v="27"/>
  </r>
  <r>
    <n v="2026"/>
    <n v="2"/>
    <s v="28-02-2026"/>
    <n v="10599"/>
    <s v="1110-08"/>
    <n v="60246"/>
    <n v="0"/>
    <s v="Facebk y9s3jady92 factura abril"/>
    <n v="60246"/>
    <s v="Activo"/>
    <n v="60246"/>
    <x v="27"/>
  </r>
  <r>
    <n v="2026"/>
    <n v="2"/>
    <s v="28-02-2026"/>
    <n v="10599"/>
    <s v="1110-08"/>
    <n v="60246"/>
    <n v="0"/>
    <s v="Facebk ubdy8a9y92 factura abril"/>
    <n v="60246"/>
    <s v="Activo"/>
    <n v="60246"/>
    <x v="27"/>
  </r>
  <r>
    <n v="2026"/>
    <n v="2"/>
    <s v="28-02-2026"/>
    <n v="10600"/>
    <s v="1110-08"/>
    <n v="18990"/>
    <n v="0"/>
    <s v="Apple.combill factura marzo"/>
    <n v="18990"/>
    <s v="Activo"/>
    <n v="18990"/>
    <x v="27"/>
  </r>
  <r>
    <n v="2026"/>
    <n v="2"/>
    <s v="28-02-2026"/>
    <n v="10600"/>
    <s v="1110-08"/>
    <n v="10990"/>
    <n v="0"/>
    <s v="Apple.combill factura marzo"/>
    <n v="10990"/>
    <s v="Activo"/>
    <n v="10990"/>
    <x v="27"/>
  </r>
  <r>
    <n v="2026"/>
    <n v="2"/>
    <s v="28-02-2026"/>
    <n v="10601"/>
    <s v="1110-08"/>
    <n v="13632"/>
    <n v="0"/>
    <s v="Paypal cloudns"/>
    <n v="13632"/>
    <s v="Activo"/>
    <n v="13632"/>
    <x v="27"/>
  </r>
  <r>
    <n v="2026"/>
    <n v="2"/>
    <s v="28-02-2026"/>
    <n v="10601"/>
    <s v="1110-08"/>
    <n v="92069"/>
    <n v="0"/>
    <s v="Zapier.comcharge factura abril"/>
    <n v="92069"/>
    <s v="Activo"/>
    <n v="92069"/>
    <x v="27"/>
  </r>
  <r>
    <n v="2026"/>
    <n v="2"/>
    <s v="28-02-2026"/>
    <n v="10601"/>
    <s v="1110-08"/>
    <n v="71700"/>
    <n v="0"/>
    <s v="Fs docugen.io"/>
    <n v="71700"/>
    <s v="Activo"/>
    <n v="71700"/>
    <x v="27"/>
  </r>
  <r>
    <n v="2026"/>
    <n v="2"/>
    <s v="28-02-2026"/>
    <n v="10601"/>
    <s v="1110-08"/>
    <n v="323766"/>
    <n v="0"/>
    <s v="Paypal smartolt factura marzo"/>
    <n v="323766"/>
    <s v="Activo"/>
    <n v="323766"/>
    <x v="27"/>
  </r>
  <r>
    <n v="2026"/>
    <n v="2"/>
    <s v="28-02-2026"/>
    <n v="10601"/>
    <s v="1110-08"/>
    <n v="6385"/>
    <n v="0"/>
    <s v="Microsoftñg137933402 factura marzo"/>
    <n v="6385"/>
    <s v="Activo"/>
    <n v="6385"/>
    <x v="27"/>
  </r>
  <r>
    <n v="2026"/>
    <n v="2"/>
    <s v="28-02-2026"/>
    <n v="10601"/>
    <s v="1110-08"/>
    <n v="36635"/>
    <n v="0"/>
    <s v="Twilio sendgrid f113"/>
    <n v="36635"/>
    <s v="Activo"/>
    <n v="36635"/>
    <x v="27"/>
  </r>
  <r>
    <n v="2026"/>
    <n v="2"/>
    <s v="28-02-2026"/>
    <n v="10601"/>
    <s v="1110-08"/>
    <n v="26300"/>
    <n v="0"/>
    <s v="Paypal jivrus.tech"/>
    <n v="26300"/>
    <s v="Activo"/>
    <n v="26300"/>
    <x v="27"/>
  </r>
  <r>
    <n v="2026"/>
    <n v="2"/>
    <s v="28-02-2026"/>
    <n v="10601"/>
    <s v="1110-08"/>
    <n v="73768"/>
    <n v="0"/>
    <s v="Ppro adobe factura marzo"/>
    <n v="73768"/>
    <s v="Activo"/>
    <n v="73768"/>
    <x v="27"/>
  </r>
  <r>
    <n v="2026"/>
    <n v="2"/>
    <s v="28-02-2026"/>
    <n v="10601"/>
    <s v="1110-08"/>
    <n v="4406"/>
    <n v="0"/>
    <s v="Microsoftñg139068660 factura marzo"/>
    <n v="4406"/>
    <s v="Activo"/>
    <n v="4406"/>
    <x v="27"/>
  </r>
  <r>
    <n v="2026"/>
    <n v="2"/>
    <s v="28-02-2026"/>
    <n v="10601"/>
    <s v="1110-08"/>
    <n v="95188"/>
    <n v="0"/>
    <s v="Microsoft-g140343999 factura marzo"/>
    <n v="95188"/>
    <s v="Activo"/>
    <n v="95188"/>
    <x v="27"/>
  </r>
  <r>
    <n v="2026"/>
    <n v="2"/>
    <s v="28-02-2026"/>
    <n v="10601"/>
    <s v="1110-08"/>
    <n v="122799"/>
    <n v="0"/>
    <s v="Zapier.comcharge factura abril"/>
    <n v="122799"/>
    <s v="Activo"/>
    <n v="122799"/>
    <x v="27"/>
  </r>
  <r>
    <n v="2026"/>
    <n v="3"/>
    <s v="06-03-2026"/>
    <n v="8140"/>
    <s v="1110-08"/>
    <n v="0"/>
    <n v="16202"/>
    <s v="Centralización pagos marzo 2026 #627 - #627"/>
    <n v="-16202"/>
    <s v="Activo"/>
    <n v="-16202"/>
    <x v="27"/>
  </r>
  <r>
    <n v="2026"/>
    <n v="3"/>
    <s v="09-03-2026"/>
    <n v="8145"/>
    <s v="1110-08"/>
    <n v="0"/>
    <n v="240975"/>
    <s v="Centralización pagos marzo 2026 #592 - #592"/>
    <n v="-240975"/>
    <s v="Activo"/>
    <n v="-240975"/>
    <x v="27"/>
  </r>
  <r>
    <n v="2026"/>
    <n v="3"/>
    <s v="09-03-2026"/>
    <n v="8146"/>
    <s v="1110-08"/>
    <n v="0"/>
    <n v="414809"/>
    <s v="Centralización pagos marzo 2026 #593 - #593"/>
    <n v="-414809"/>
    <s v="Activo"/>
    <n v="-414809"/>
    <x v="27"/>
  </r>
  <r>
    <n v="2026"/>
    <n v="3"/>
    <s v="10-03-2026"/>
    <n v="8149"/>
    <s v="1110-08"/>
    <n v="0"/>
    <n v="853314"/>
    <s v="Centralización pagos marzo 2026 #662 - #662"/>
    <n v="-853314"/>
    <s v="Activo"/>
    <n v="-853314"/>
    <x v="27"/>
  </r>
  <r>
    <n v="2026"/>
    <n v="3"/>
    <s v="10-03-2026"/>
    <n v="8150"/>
    <s v="1110-08"/>
    <n v="0"/>
    <n v="110524"/>
    <s v="Centralización pagos marzo 2026 #664 - #664"/>
    <n v="-110524"/>
    <s v="Activo"/>
    <n v="-110524"/>
    <x v="27"/>
  </r>
  <r>
    <n v="2026"/>
    <n v="3"/>
    <s v="10-03-2026"/>
    <n v="8151"/>
    <s v="1110-08"/>
    <n v="0"/>
    <n v="14990"/>
    <s v="Centralización pagos marzo 2026 #672 - #672"/>
    <n v="-14990"/>
    <s v="Activo"/>
    <n v="-14990"/>
    <x v="27"/>
  </r>
  <r>
    <n v="2026"/>
    <n v="3"/>
    <s v="11-03-2026"/>
    <n v="8143"/>
    <s v="1110-08"/>
    <n v="0"/>
    <n v="15900"/>
    <s v="Centralización pagos marzo 2026 #637 - #637"/>
    <n v="-15900"/>
    <s v="Activo"/>
    <n v="-15900"/>
    <x v="27"/>
  </r>
  <r>
    <n v="2026"/>
    <n v="3"/>
    <s v="18-03-2026"/>
    <n v="7411"/>
    <s v="1110-08"/>
    <n v="100000"/>
    <n v="0"/>
    <s v="0145502578 transf a gerardo corval"/>
    <n v="100000"/>
    <s v="Activo"/>
    <n v="100000"/>
    <x v="27"/>
  </r>
  <r>
    <n v="2026"/>
    <n v="3"/>
    <s v="19-03-2026"/>
    <n v="8147"/>
    <s v="1110-08"/>
    <n v="0"/>
    <n v="2617250"/>
    <s v="Centralización pagos marzo 2026 #641 - #641"/>
    <n v="-2617250"/>
    <s v="Activo"/>
    <n v="-2617250"/>
    <x v="27"/>
  </r>
  <r>
    <n v="2026"/>
    <n v="3"/>
    <s v="20-03-2026"/>
    <n v="8141"/>
    <s v="1110-08"/>
    <n v="0"/>
    <n v="16431"/>
    <s v="Centralización pagos marzo 2026 #628 - #628"/>
    <n v="-16431"/>
    <s v="Activo"/>
    <n v="-16431"/>
    <x v="27"/>
  </r>
  <r>
    <n v="2026"/>
    <n v="3"/>
    <s v="20-03-2026"/>
    <n v="8144"/>
    <s v="1110-08"/>
    <n v="0"/>
    <n v="14260"/>
    <s v="Centralización pagos marzo 2026 #638 - #638"/>
    <n v="-14260"/>
    <s v="Activo"/>
    <n v="-14260"/>
    <x v="27"/>
  </r>
  <r>
    <n v="2026"/>
    <n v="3"/>
    <s v="23-03-2026"/>
    <n v="7442"/>
    <s v="1110-08"/>
    <n v="1000000"/>
    <n v="0"/>
    <s v="0127181888 transf a izzie moyano"/>
    <n v="1000000"/>
    <s v="Activo"/>
    <n v="1000000"/>
    <x v="27"/>
  </r>
  <r>
    <n v="2026"/>
    <n v="3"/>
    <s v="26-03-2026"/>
    <n v="8148"/>
    <s v="1110-08"/>
    <n v="0"/>
    <n v="35857"/>
    <s v="Centralización pagos marzo 2026 #646 - #646"/>
    <n v="-35857"/>
    <s v="Activo"/>
    <n v="-35857"/>
    <x v="27"/>
  </r>
  <r>
    <n v="2026"/>
    <n v="3"/>
    <s v="30-03-2026"/>
    <n v="8142"/>
    <s v="1110-08"/>
    <n v="0"/>
    <n v="10000"/>
    <s v="Centralización pagos marzo 2026 #636 - #636"/>
    <n v="-10000"/>
    <s v="Activo"/>
    <n v="-10000"/>
    <x v="27"/>
  </r>
  <r>
    <n v="2026"/>
    <n v="3"/>
    <s v="31-03-2026"/>
    <n v="7463"/>
    <s v="1110-08"/>
    <n v="500000"/>
    <n v="0"/>
    <s v="Traspaso internet a t. crédito"/>
    <n v="500000"/>
    <s v="Activo"/>
    <n v="500000"/>
    <x v="27"/>
  </r>
  <r>
    <n v="2026"/>
    <n v="3"/>
    <s v="31-03-2026"/>
    <n v="8139"/>
    <s v="1110-08"/>
    <n v="0"/>
    <n v="170534"/>
    <s v="Centralización pagos marzo 2026 #620 - #620"/>
    <n v="-170534"/>
    <s v="Activo"/>
    <n v="-170534"/>
    <x v="27"/>
  </r>
  <r>
    <n v="2026"/>
    <n v="3"/>
    <s v="31-03-2026"/>
    <n v="8178"/>
    <s v="1110-08"/>
    <n v="0"/>
    <n v="4171267"/>
    <s v="Centralización pagos marzo 2026 - #677"/>
    <n v="-4171267"/>
    <s v="Activo"/>
    <n v="-4171267"/>
    <x v="27"/>
  </r>
  <r>
    <n v="2026"/>
    <n v="3"/>
    <s v="31-03-2026"/>
    <n v="10748"/>
    <s v="1110-08"/>
    <n v="97104"/>
    <n v="0"/>
    <s v="Adobe"/>
    <n v="97104"/>
    <s v="Activo"/>
    <n v="97104"/>
    <x v="27"/>
  </r>
  <r>
    <n v="2026"/>
    <n v="3"/>
    <s v="31-03-2026"/>
    <n v="10748"/>
    <s v="1110-08"/>
    <n v="24276"/>
    <n v="0"/>
    <s v="Adobe"/>
    <n v="24276"/>
    <s v="Activo"/>
    <n v="24276"/>
    <x v="27"/>
  </r>
  <r>
    <n v="2026"/>
    <n v="3"/>
    <s v="31-03-2026"/>
    <n v="10748"/>
    <s v="1110-08"/>
    <n v="37072"/>
    <n v="0"/>
    <s v="Facebk km4e7dvy92"/>
    <n v="37072"/>
    <s v="Activo"/>
    <n v="37072"/>
    <x v="27"/>
  </r>
  <r>
    <n v="2026"/>
    <n v="3"/>
    <s v="31-03-2026"/>
    <n v="10748"/>
    <s v="1110-08"/>
    <n v="60246"/>
    <n v="0"/>
    <s v="Facebk 29zz8dry92"/>
    <n v="60246"/>
    <s v="Activo"/>
    <n v="60246"/>
    <x v="27"/>
  </r>
  <r>
    <n v="2026"/>
    <n v="3"/>
    <s v="31-03-2026"/>
    <n v="10748"/>
    <s v="1110-08"/>
    <n v="60246"/>
    <n v="0"/>
    <s v="Facebk hfzpqb5y92"/>
    <n v="60246"/>
    <s v="Activo"/>
    <n v="60246"/>
    <x v="27"/>
  </r>
  <r>
    <n v="2026"/>
    <n v="3"/>
    <s v="31-03-2026"/>
    <n v="10748"/>
    <s v="1110-08"/>
    <n v="226618"/>
    <n v="0"/>
    <s v="Paypal devoz llc devo"/>
    <n v="226618"/>
    <s v="Activo"/>
    <n v="226618"/>
    <x v="27"/>
  </r>
  <r>
    <n v="2026"/>
    <n v="3"/>
    <s v="31-03-2026"/>
    <n v="10748"/>
    <s v="1110-08"/>
    <n v="60246"/>
    <n v="0"/>
    <s v="Facebk 3ege5cry92"/>
    <n v="60246"/>
    <s v="Activo"/>
    <n v="60246"/>
    <x v="27"/>
  </r>
  <r>
    <n v="2026"/>
    <n v="3"/>
    <s v="31-03-2026"/>
    <n v="10748"/>
    <s v="1110-08"/>
    <n v="60246"/>
    <n v="0"/>
    <s v="Facebk 23dy8ehy92"/>
    <n v="60246"/>
    <s v="Activo"/>
    <n v="60246"/>
    <x v="27"/>
  </r>
  <r>
    <n v="2026"/>
    <n v="3"/>
    <s v="31-03-2026"/>
    <n v="10748"/>
    <s v="1110-08"/>
    <n v="85495"/>
    <n v="0"/>
    <s v="Mikrotik.com"/>
    <n v="85495"/>
    <s v="Activo"/>
    <n v="85495"/>
    <x v="27"/>
  </r>
  <r>
    <n v="2026"/>
    <n v="3"/>
    <s v="31-03-2026"/>
    <n v="10749"/>
    <s v="1110-08"/>
    <n v="8990"/>
    <n v="0"/>
    <s v="Ppgoogle google one"/>
    <n v="8990"/>
    <s v="Activo"/>
    <n v="8990"/>
    <x v="27"/>
  </r>
  <r>
    <n v="2026"/>
    <n v="3"/>
    <s v="31-03-2026"/>
    <n v="10749"/>
    <s v="1110-08"/>
    <n v="41294"/>
    <n v="0"/>
    <s v="Paypal mikrotik"/>
    <n v="41294"/>
    <s v="Activo"/>
    <n v="41294"/>
    <x v="27"/>
  </r>
  <r>
    <n v="2026"/>
    <n v="3"/>
    <s v="31-03-2026"/>
    <n v="10749"/>
    <s v="1110-08"/>
    <n v="18990"/>
    <n v="0"/>
    <s v="Apple.combill"/>
    <n v="18990"/>
    <s v="Activo"/>
    <n v="18990"/>
    <x v="27"/>
  </r>
  <r>
    <n v="2026"/>
    <n v="3"/>
    <s v="31-03-2026"/>
    <n v="10749"/>
    <s v="1110-08"/>
    <n v="10990"/>
    <n v="0"/>
    <s v="Apple.combill"/>
    <n v="10990"/>
    <s v="Activo"/>
    <n v="10990"/>
    <x v="27"/>
  </r>
  <r>
    <n v="2026"/>
    <n v="3"/>
    <s v="31-03-2026"/>
    <n v="10750"/>
    <s v="1110-08"/>
    <n v="488731"/>
    <n v="0"/>
    <s v="E-commerce monday.c"/>
    <n v="488731"/>
    <s v="Activo"/>
    <n v="488731"/>
    <x v="27"/>
  </r>
  <r>
    <n v="2026"/>
    <n v="3"/>
    <s v="31-03-2026"/>
    <n v="10750"/>
    <s v="1110-08"/>
    <n v="4678"/>
    <n v="0"/>
    <s v="Microsoft-g144796471"/>
    <n v="4678"/>
    <s v="Activo"/>
    <n v="4678"/>
    <x v="27"/>
  </r>
  <r>
    <n v="2026"/>
    <n v="3"/>
    <s v="31-03-2026"/>
    <n v="10750"/>
    <s v="1110-08"/>
    <n v="106048"/>
    <n v="0"/>
    <s v="Microsoftñg146013628"/>
    <n v="106048"/>
    <s v="Activo"/>
    <n v="106048"/>
    <x v="27"/>
  </r>
  <r>
    <n v="2026"/>
    <n v="3"/>
    <s v="31-03-2026"/>
    <n v="10750"/>
    <s v="1110-08"/>
    <n v="1148812"/>
    <n v="0"/>
    <s v="Ministra pro"/>
    <n v="1148812"/>
    <s v="Activo"/>
    <n v="1148812"/>
    <x v="27"/>
  </r>
  <r>
    <n v="2026"/>
    <n v="3"/>
    <s v="31-03-2026"/>
    <n v="10750"/>
    <s v="1110-08"/>
    <n v="69311"/>
    <n v="0"/>
    <s v="Zapier.comcharge"/>
    <n v="69311"/>
    <s v="Activo"/>
    <n v="69311"/>
    <x v="27"/>
  </r>
  <r>
    <n v="2026"/>
    <n v="3"/>
    <s v="31-03-2026"/>
    <n v="10750"/>
    <s v="1110-08"/>
    <n v="243642"/>
    <n v="0"/>
    <s v="Paypal devoz llc devo"/>
    <n v="243642"/>
    <s v="Activo"/>
    <n v="243642"/>
    <x v="27"/>
  </r>
  <r>
    <n v="2026"/>
    <n v="3"/>
    <s v="31-03-2026"/>
    <n v="10750"/>
    <s v="1110-08"/>
    <n v="18691"/>
    <n v="0"/>
    <s v="Mercadopago mercadol"/>
    <n v="18691"/>
    <s v="Activo"/>
    <n v="18691"/>
    <x v="27"/>
  </r>
  <r>
    <n v="2026"/>
    <n v="3"/>
    <s v="31-03-2026"/>
    <n v="10750"/>
    <s v="1110-08"/>
    <n v="88728"/>
    <n v="0"/>
    <s v="Googleworkspace csa-i"/>
    <n v="88728"/>
    <s v="Activo"/>
    <n v="88728"/>
    <x v="27"/>
  </r>
  <r>
    <n v="2026"/>
    <n v="3"/>
    <s v="31-03-2026"/>
    <n v="10750"/>
    <s v="1110-08"/>
    <n v="597321"/>
    <n v="0"/>
    <s v="Sytex.io"/>
    <n v="597321"/>
    <s v="Activo"/>
    <n v="597321"/>
    <x v="27"/>
  </r>
  <r>
    <n v="2026"/>
    <n v="3"/>
    <s v="31-03-2026"/>
    <n v="10750"/>
    <s v="1110-08"/>
    <n v="6412"/>
    <n v="0"/>
    <s v="Microsoft-g143815662"/>
    <n v="6412"/>
    <s v="Activo"/>
    <n v="6412"/>
    <x v="27"/>
  </r>
  <r>
    <n v="2026"/>
    <n v="3"/>
    <s v="31-03-2026"/>
    <n v="10750"/>
    <s v="1110-08"/>
    <n v="322015"/>
    <n v="0"/>
    <s v="Paypal smartolt"/>
    <n v="322015"/>
    <s v="Activo"/>
    <n v="322015"/>
    <x v="27"/>
  </r>
  <r>
    <n v="2026"/>
    <n v="3"/>
    <s v="31-03-2026"/>
    <n v="10750"/>
    <s v="1110-08"/>
    <n v="152054"/>
    <n v="0"/>
    <s v="Paypal freddy.tabali"/>
    <n v="152054"/>
    <s v="Activo"/>
    <n v="152054"/>
    <x v="27"/>
  </r>
  <r>
    <n v="2026"/>
    <n v="3"/>
    <s v="31-03-2026"/>
    <n v="10750"/>
    <s v="1110-08"/>
    <n v="27733"/>
    <n v="0"/>
    <s v="Paypal jivrus.tech"/>
    <n v="27733"/>
    <s v="Activo"/>
    <n v="27733"/>
    <x v="27"/>
  </r>
  <r>
    <n v="2026"/>
    <n v="3"/>
    <s v="31-03-2026"/>
    <n v="10750"/>
    <s v="1110-08"/>
    <n v="73768"/>
    <n v="0"/>
    <s v="Adobe adobe"/>
    <n v="73768"/>
    <s v="Activo"/>
    <n v="73768"/>
    <x v="27"/>
  </r>
  <r>
    <n v="2026"/>
    <n v="3"/>
    <s v="31-03-2026"/>
    <n v="10750"/>
    <s v="1110-08"/>
    <n v="45999"/>
    <n v="0"/>
    <s v="Linkedin linkedin"/>
    <n v="45999"/>
    <s v="Activo"/>
    <n v="45999"/>
    <x v="27"/>
  </r>
  <r>
    <n v="2026"/>
    <n v="3"/>
    <s v="31-03-2026"/>
    <n v="10750"/>
    <s v="1110-08"/>
    <n v="233000"/>
    <n v="0"/>
    <s v="Dlstarlink"/>
    <n v="233000"/>
    <s v="Activo"/>
    <n v="233000"/>
    <x v="27"/>
  </r>
  <r>
    <n v="2026"/>
    <n v="3"/>
    <s v="31-03-2026"/>
    <n v="10750"/>
    <s v="1110-08"/>
    <n v="1116772"/>
    <n v="0"/>
    <s v="Ministra pro"/>
    <n v="1116772"/>
    <s v="Activo"/>
    <n v="1116772"/>
    <x v="27"/>
  </r>
  <r>
    <n v="2026"/>
    <n v="3"/>
    <s v="31-03-2026"/>
    <n v="10750"/>
    <s v="1110-08"/>
    <n v="41700"/>
    <n v="0"/>
    <s v="Fs docugen.io"/>
    <n v="41700"/>
    <s v="Activo"/>
    <n v="41700"/>
    <x v="27"/>
  </r>
  <r>
    <n v="2026"/>
    <n v="3"/>
    <s v="31-03-2026"/>
    <n v="10751"/>
    <s v="1110-08"/>
    <n v="0"/>
    <n v="1000000"/>
    <s v="Anticipo tc"/>
    <n v="-1000000"/>
    <s v="Activo"/>
    <n v="-1000000"/>
    <x v="27"/>
  </r>
  <r>
    <n v="2026"/>
    <n v="4"/>
    <s v="05-04-2026"/>
    <n v="8156"/>
    <s v="1110-08"/>
    <n v="0"/>
    <n v="2034485"/>
    <s v="Centralización pagos abril 2026 #675 - #675"/>
    <n v="-2034485"/>
    <s v="Activo"/>
    <n v="-2034485"/>
    <x v="27"/>
  </r>
  <r>
    <n v="2026"/>
    <n v="4"/>
    <s v="06-04-2026"/>
    <n v="8154"/>
    <s v="1110-08"/>
    <n v="0"/>
    <n v="491519"/>
    <s v="Centralización pagos abril 2026 #659 - #659"/>
    <n v="-491519"/>
    <s v="Activo"/>
    <n v="-491519"/>
    <x v="27"/>
  </r>
  <r>
    <n v="2026"/>
    <n v="4"/>
    <s v="06-04-2026"/>
    <n v="8155"/>
    <s v="1110-08"/>
    <n v="0"/>
    <n v="223117"/>
    <s v="Centralización pagos abril 2026 #665 - #665"/>
    <n v="-223117"/>
    <s v="Activo"/>
    <n v="-223117"/>
    <x v="27"/>
  </r>
  <r>
    <n v="2026"/>
    <n v="4"/>
    <s v="09-04-2026"/>
    <n v="8152"/>
    <s v="1110-08"/>
    <n v="0"/>
    <n v="53706"/>
    <s v="Centralización pagos abril 2026 #622 - #622"/>
    <n v="-53706"/>
    <s v="Activo"/>
    <n v="-53706"/>
    <x v="27"/>
  </r>
  <r>
    <n v="2026"/>
    <n v="4"/>
    <s v="17-04-2026"/>
    <n v="8153"/>
    <s v="1110-08"/>
    <n v="0"/>
    <n v="15821"/>
    <s v="Centralización pagos abril 2026 #629 - #629"/>
    <n v="-15821"/>
    <s v="Activo"/>
    <n v="-15821"/>
    <x v="27"/>
  </r>
  <r>
    <n v="2026"/>
    <n v="4"/>
    <s v="20-04-2026"/>
    <n v="7636"/>
    <s v="1110-08"/>
    <n v="301070"/>
    <n v="0"/>
    <s v="0775846143 transf a sfplus spa fact 241"/>
    <n v="301070"/>
    <s v="Activo"/>
    <n v="301070"/>
    <x v="27"/>
  </r>
  <r>
    <n v="2026"/>
    <n v="4"/>
    <s v="22-04-2026"/>
    <n v="10775"/>
    <s v="1110-08"/>
    <n v="0"/>
    <n v="500000"/>
    <s v="Traspaso internet a t. crédito"/>
    <n v="-500000"/>
    <s v="Activo"/>
    <n v="-500000"/>
    <x v="27"/>
  </r>
  <r>
    <n v="2026"/>
    <n v="5"/>
    <s v="01-05-2026"/>
    <n v="8182"/>
    <s v="1110-08"/>
    <n v="0"/>
    <n v="14617"/>
    <s v="Centralización pagos mayo 2026 #643 - #643"/>
    <n v="-14617"/>
    <s v="Activo"/>
    <n v="-14617"/>
    <x v="27"/>
  </r>
  <r>
    <n v="2026"/>
    <n v="5"/>
    <s v="04-05-2026"/>
    <n v="7706"/>
    <s v="1110-08"/>
    <n v="920325"/>
    <n v="0"/>
    <s v="Compra google workspace"/>
    <n v="920325"/>
    <s v="Activo"/>
    <n v="920325"/>
    <x v="27"/>
  </r>
  <r>
    <n v="2026"/>
    <n v="5"/>
    <s v="05-05-2026"/>
    <n v="8181"/>
    <s v="1110-08"/>
    <n v="0"/>
    <n v="301070"/>
    <s v="Centralización pagos mayo 2026 #594 - #594"/>
    <n v="-301070"/>
    <s v="Activo"/>
    <n v="-301070"/>
    <x v="27"/>
  </r>
  <r>
    <n v="2026"/>
    <n v="5"/>
    <s v="14-05-2026"/>
    <n v="8183"/>
    <s v="1110-08"/>
    <n v="0"/>
    <n v="14004"/>
    <s v="Centralización pagos mayo 2026 #673 - #673"/>
    <n v="-14004"/>
    <s v="Activo"/>
    <n v="-14004"/>
    <x v="27"/>
  </r>
  <r>
    <n v="2026"/>
    <n v="5"/>
    <s v="25-05-2026"/>
    <n v="10787"/>
    <s v="1110-08"/>
    <n v="5600"/>
    <n v="0"/>
    <s v="Apple.combill"/>
    <n v="5600"/>
    <s v="Activo"/>
    <n v="5600"/>
    <x v="27"/>
  </r>
  <r>
    <n v="2026"/>
    <n v="5"/>
    <s v="25-05-2026"/>
    <n v="10787"/>
    <s v="1110-08"/>
    <n v="8990"/>
    <n v="0"/>
    <s v="Ppgoogle google one"/>
    <n v="8990"/>
    <s v="Activo"/>
    <n v="8990"/>
    <x v="27"/>
  </r>
  <r>
    <n v="2026"/>
    <n v="5"/>
    <s v="25-05-2026"/>
    <n v="10788"/>
    <s v="1110-08"/>
    <n v="13946"/>
    <n v="0"/>
    <s v="Paypal cloudns"/>
    <n v="13946"/>
    <s v="Activo"/>
    <n v="13946"/>
    <x v="27"/>
  </r>
  <r>
    <n v="2026"/>
    <n v="5"/>
    <s v="25-05-2026"/>
    <n v="10788"/>
    <s v="1110-08"/>
    <n v="41700"/>
    <n v="0"/>
    <s v="Fs docugen.io"/>
    <n v="41700"/>
    <s v="Activo"/>
    <n v="41700"/>
    <x v="27"/>
  </r>
  <r>
    <n v="2026"/>
    <n v="5"/>
    <s v="25-05-2026"/>
    <n v="10788"/>
    <s v="1110-08"/>
    <n v="107681"/>
    <n v="0"/>
    <s v="Pppp fs wmspanel"/>
    <n v="107681"/>
    <s v="Activo"/>
    <n v="107681"/>
    <x v="27"/>
  </r>
  <r>
    <n v="2026"/>
    <n v="5"/>
    <s v="25-05-2026"/>
    <n v="10788"/>
    <s v="1110-08"/>
    <n v="6582"/>
    <n v="0"/>
    <s v="Microsoft-g155646183"/>
    <n v="6582"/>
    <s v="Activo"/>
    <n v="6582"/>
    <x v="27"/>
  </r>
  <r>
    <n v="2026"/>
    <n v="5"/>
    <s v="25-05-2026"/>
    <n v="10788"/>
    <s v="1110-08"/>
    <n v="27386"/>
    <n v="0"/>
    <s v="Paypal jivrus.tech"/>
    <n v="27386"/>
    <s v="Activo"/>
    <n v="27386"/>
    <x v="27"/>
  </r>
  <r>
    <n v="2026"/>
    <n v="5"/>
    <s v="25-05-2026"/>
    <n v="10788"/>
    <s v="1110-08"/>
    <n v="38928"/>
    <n v="0"/>
    <s v="Twilio sendgrid"/>
    <n v="38928"/>
    <s v="Activo"/>
    <n v="38928"/>
    <x v="27"/>
  </r>
  <r>
    <n v="2026"/>
    <n v="5"/>
    <s v="25-05-2026"/>
    <n v="10788"/>
    <s v="1110-08"/>
    <n v="45999"/>
    <n v="0"/>
    <s v="Linkedin linkedin"/>
    <n v="45999"/>
    <s v="Activo"/>
    <n v="45999"/>
    <x v="27"/>
  </r>
  <r>
    <n v="2026"/>
    <n v="5"/>
    <s v="25-05-2026"/>
    <n v="10788"/>
    <s v="1110-08"/>
    <n v="152632"/>
    <n v="0"/>
    <s v="Paypal freddy.tabali"/>
    <n v="152632"/>
    <s v="Activo"/>
    <n v="152632"/>
    <x v="27"/>
  </r>
  <r>
    <n v="2026"/>
    <n v="5"/>
    <s v="25-05-2026"/>
    <n v="10788"/>
    <s v="1110-08"/>
    <n v="484593"/>
    <n v="0"/>
    <s v="E-commerce monday.c"/>
    <n v="484593"/>
    <s v="Activo"/>
    <n v="484593"/>
    <x v="27"/>
  </r>
  <r>
    <n v="2026"/>
    <n v="5"/>
    <s v="25-05-2026"/>
    <n v="10788"/>
    <s v="1110-08"/>
    <n v="4535"/>
    <n v="0"/>
    <s v="Microsoft-g156743697"/>
    <n v="4535"/>
    <s v="Activo"/>
    <n v="4535"/>
    <x v="27"/>
  </r>
  <r>
    <n v="2026"/>
    <n v="5"/>
    <s v="25-05-2026"/>
    <n v="10788"/>
    <s v="1110-08"/>
    <n v="18990"/>
    <n v="0"/>
    <s v="Apple.combill"/>
    <n v="18990"/>
    <s v="Activo"/>
    <n v="18990"/>
    <x v="27"/>
  </r>
  <r>
    <n v="2026"/>
    <n v="5"/>
    <s v="25-05-2026"/>
    <n v="10788"/>
    <s v="1110-08"/>
    <n v="103622"/>
    <n v="0"/>
    <s v="Microsoft-g158128450"/>
    <n v="103622"/>
    <s v="Activo"/>
    <n v="103622"/>
    <x v="27"/>
  </r>
  <r>
    <n v="2026"/>
    <n v="5"/>
    <s v="25-05-2026"/>
    <n v="10788"/>
    <s v="1110-08"/>
    <n v="53991"/>
    <n v="0"/>
    <s v="Mercadopago mercadol"/>
    <n v="53991"/>
    <s v="Activo"/>
    <n v="53991"/>
    <x v="27"/>
  </r>
  <r>
    <n v="2026"/>
    <n v="5"/>
    <s v="25-05-2026"/>
    <n v="10788"/>
    <s v="1110-08"/>
    <n v="10990"/>
    <n v="0"/>
    <s v="Apple.combill"/>
    <n v="10990"/>
    <s v="Activo"/>
    <n v="10990"/>
    <x v="27"/>
  </r>
  <r>
    <n v="2026"/>
    <n v="5"/>
    <s v="25-05-2026"/>
    <n v="10788"/>
    <s v="1110-08"/>
    <n v="20172"/>
    <n v="0"/>
    <s v="Dlocal godaddy.com"/>
    <n v="20172"/>
    <s v="Activo"/>
    <n v="20172"/>
    <x v="27"/>
  </r>
  <r>
    <n v="2026"/>
    <n v="5"/>
    <s v="25-05-2026"/>
    <n v="10788"/>
    <s v="1110-08"/>
    <n v="53991"/>
    <n v="0"/>
    <s v="Mercadopago mercadol"/>
    <n v="53991"/>
    <s v="Activo"/>
    <n v="53991"/>
    <x v="27"/>
  </r>
  <r>
    <n v="2026"/>
    <n v="5"/>
    <s v="25-05-2026"/>
    <n v="10788"/>
    <s v="1110-08"/>
    <n v="66932"/>
    <n v="0"/>
    <s v="Zapier.comcharge"/>
    <n v="66932"/>
    <s v="Activo"/>
    <n v="66932"/>
    <x v="27"/>
  </r>
  <r>
    <n v="2026"/>
    <n v="5"/>
    <s v="25-05-2026"/>
    <n v="10788"/>
    <s v="1110-08"/>
    <n v="0"/>
    <n v="53991"/>
    <s v="Nota de credito"/>
    <n v="-53991"/>
    <s v="Activo"/>
    <n v="-53991"/>
    <x v="27"/>
  </r>
  <r>
    <n v="2026"/>
    <n v="5"/>
    <s v="29-05-2026"/>
    <n v="7705"/>
    <s v="1110-08"/>
    <n v="2172679"/>
    <n v="0"/>
    <s v="Remesa transf extranjero web"/>
    <n v="2172679"/>
    <s v="Activo"/>
    <n v="2172679"/>
    <x v="27"/>
  </r>
  <r>
    <n v="2026"/>
    <n v="5"/>
    <s v="29-05-2026"/>
    <n v="7857"/>
    <s v="1110-08"/>
    <n v="598177"/>
    <n v="0"/>
    <s v="0762517582 transf a comercial iman"/>
    <n v="598177"/>
    <s v="Activo"/>
    <n v="598177"/>
    <x v="27"/>
  </r>
  <r>
    <n v="2026"/>
    <n v="5"/>
    <s v="29-05-2026"/>
    <n v="8180"/>
    <s v="1110-08"/>
    <n v="0"/>
    <n v="2172679"/>
    <s v="Centralización pagos mayo 2026 #595 - #595"/>
    <n v="-2172679"/>
    <s v="Activo"/>
    <n v="-2172679"/>
    <x v="27"/>
  </r>
  <r>
    <n v="2026"/>
    <n v="5"/>
    <s v="31-05-2026"/>
    <n v="8179"/>
    <s v="1110-08"/>
    <n v="0"/>
    <n v="3482356"/>
    <s v="Centralización pagos mayo 2026 #676 - #676"/>
    <n v="-3482356"/>
    <s v="Activo"/>
    <n v="-3482356"/>
    <x v="27"/>
  </r>
  <r>
    <n v="2026"/>
    <n v="6"/>
    <s v="01-06-2026"/>
    <n v="7969"/>
    <s v="1110-08"/>
    <n v="500000"/>
    <n v="0"/>
    <s v="Muevo copec empresas fact 32108767"/>
    <n v="500000"/>
    <s v="Activo"/>
    <n v="500000"/>
    <x v="27"/>
  </r>
  <r>
    <n v="2026"/>
    <n v="6"/>
    <s v="03-06-2026"/>
    <n v="7966"/>
    <s v="1110-08"/>
    <n v="500000"/>
    <n v="0"/>
    <s v="Muevo copec empresas fact 32108767"/>
    <n v="500000"/>
    <s v="Activo"/>
    <n v="500000"/>
    <x v="27"/>
  </r>
  <r>
    <n v="2026"/>
    <n v="6"/>
    <s v="04-06-2026"/>
    <n v="8203"/>
    <s v="1110-08"/>
    <n v="0"/>
    <n v="648633"/>
    <s v="Centralización pagos junio 2026 #674 - #674"/>
    <n v="-648633"/>
    <s v="Activo"/>
    <n v="-648633"/>
    <x v="27"/>
  </r>
  <r>
    <n v="2026"/>
    <n v="6"/>
    <s v="05-06-2026"/>
    <n v="7961"/>
    <s v="1110-08"/>
    <n v="500000"/>
    <n v="0"/>
    <s v="Muevo copec empresas fact 32108767"/>
    <n v="500000"/>
    <s v="Activo"/>
    <n v="500000"/>
    <x v="27"/>
  </r>
  <r>
    <n v="2026"/>
    <n v="6"/>
    <s v="08-06-2026"/>
    <n v="7952"/>
    <s v="1110-08"/>
    <n v="500000"/>
    <n v="0"/>
    <s v="Muevo copec empresas fact 32108767"/>
    <n v="500000"/>
    <s v="Activo"/>
    <n v="500000"/>
    <x v="27"/>
  </r>
  <r>
    <n v="2026"/>
    <n v="6"/>
    <s v="08-06-2026"/>
    <n v="8062"/>
    <s v="1110-08"/>
    <n v="86282"/>
    <n v="0"/>
    <s v="Pago f 39439 imporgrafica ltda"/>
    <n v="86282"/>
    <s v="Activo"/>
    <n v="86282"/>
    <x v="27"/>
  </r>
  <r>
    <n v="2026"/>
    <n v="6"/>
    <s v="10-06-2026"/>
    <n v="7949"/>
    <s v="1110-08"/>
    <n v="500000"/>
    <n v="0"/>
    <s v="Muevo copec empresas fact 32108767"/>
    <n v="500000"/>
    <s v="Activo"/>
    <n v="500000"/>
    <x v="27"/>
  </r>
  <r>
    <n v="2026"/>
    <n v="6"/>
    <s v="12-06-2026"/>
    <n v="7937"/>
    <s v="1110-08"/>
    <n v="500000"/>
    <n v="0"/>
    <s v="Muevo copec empresas fact 32108767"/>
    <n v="500000"/>
    <s v="Activo"/>
    <n v="500000"/>
    <x v="27"/>
  </r>
  <r>
    <n v="2026"/>
    <n v="6"/>
    <s v="15-06-2026"/>
    <n v="7896"/>
    <s v="1110-08"/>
    <n v="1509844"/>
    <n v="0"/>
    <s v="Remesa transf extranjero web"/>
    <n v="1509844"/>
    <s v="Activo"/>
    <n v="1509844"/>
    <x v="27"/>
  </r>
  <r>
    <n v="2026"/>
    <n v="6"/>
    <s v="15-06-2026"/>
    <n v="7934"/>
    <s v="1110-08"/>
    <n v="500000"/>
    <n v="0"/>
    <s v="Muevo copec empresas fact 32108767"/>
    <n v="500000"/>
    <s v="Activo"/>
    <n v="500000"/>
    <x v="27"/>
  </r>
  <r>
    <n v="2026"/>
    <n v="6"/>
    <s v="17-06-2026"/>
    <n v="7930"/>
    <s v="1110-08"/>
    <n v="500000"/>
    <n v="0"/>
    <s v="Muevo copec empresas fact 32108767"/>
    <n v="500000"/>
    <s v="Activo"/>
    <n v="500000"/>
    <x v="27"/>
  </r>
  <r>
    <n v="2026"/>
    <n v="6"/>
    <s v="19-06-2026"/>
    <n v="7925"/>
    <s v="1110-08"/>
    <n v="500000"/>
    <n v="0"/>
    <s v="Muevo copec empresas fact 32108767"/>
    <n v="500000"/>
    <s v="Activo"/>
    <n v="500000"/>
    <x v="27"/>
  </r>
  <r>
    <n v="2026"/>
    <n v="6"/>
    <s v="22-06-2026"/>
    <n v="8202"/>
    <s v="1110-08"/>
    <n v="0"/>
    <n v="230695"/>
    <s v="Centralización pagos junio 2026 #666 - #666"/>
    <n v="-230695"/>
    <s v="Activo"/>
    <n v="-230695"/>
    <x v="27"/>
  </r>
  <r>
    <n v="2026"/>
    <n v="6"/>
    <s v="23-06-2026"/>
    <n v="7919"/>
    <s v="1110-08"/>
    <n v="500000"/>
    <n v="0"/>
    <s v="0995200007 transf a muevo copec empresas"/>
    <n v="500000"/>
    <s v="Activo"/>
    <n v="500000"/>
    <x v="27"/>
  </r>
  <r>
    <n v="2026"/>
    <n v="6"/>
    <s v="23-06-2026"/>
    <n v="10846"/>
    <s v="1110-08"/>
    <n v="56474"/>
    <n v="0"/>
    <s v="Facebk lauuznzy92 - cuota 0612"/>
    <n v="56474"/>
    <s v="Activo"/>
    <n v="56474"/>
    <x v="27"/>
  </r>
  <r>
    <n v="2026"/>
    <n v="6"/>
    <s v="23-06-2026"/>
    <n v="10846"/>
    <s v="1110-08"/>
    <n v="60245"/>
    <n v="0"/>
    <s v="Facebk yajtrmry92"/>
    <n v="60245"/>
    <s v="Activo"/>
    <n v="60245"/>
    <x v="27"/>
  </r>
  <r>
    <n v="2026"/>
    <n v="6"/>
    <s v="23-06-2026"/>
    <n v="10846"/>
    <s v="1110-08"/>
    <n v="60245"/>
    <n v="0"/>
    <s v="Facebk rdke6nvy92"/>
    <n v="60245"/>
    <s v="Activo"/>
    <n v="60245"/>
    <x v="27"/>
  </r>
  <r>
    <n v="2026"/>
    <n v="6"/>
    <s v="23-06-2026"/>
    <n v="10846"/>
    <s v="1110-08"/>
    <n v="60245"/>
    <n v="0"/>
    <s v="Facebk 933dpnmy92"/>
    <n v="60245"/>
    <s v="Activo"/>
    <n v="60245"/>
    <x v="27"/>
  </r>
  <r>
    <n v="2026"/>
    <n v="6"/>
    <s v="23-06-2026"/>
    <n v="10846"/>
    <s v="1110-08"/>
    <n v="60245"/>
    <n v="0"/>
    <s v="Facebk sx8zjqdy92"/>
    <n v="60245"/>
    <s v="Activo"/>
    <n v="60245"/>
    <x v="27"/>
  </r>
  <r>
    <n v="2026"/>
    <n v="6"/>
    <s v="23-06-2026"/>
    <n v="10848"/>
    <s v="1110-08"/>
    <n v="98180"/>
    <n v="0"/>
    <s v="Mercadopago alipaysi cuota comercio 0,00 - cuota 0203"/>
    <n v="98180"/>
    <s v="Activo"/>
    <n v="98180"/>
    <x v="27"/>
  </r>
  <r>
    <n v="2026"/>
    <n v="6"/>
    <s v="23-06-2026"/>
    <n v="10848"/>
    <s v="1110-08"/>
    <n v="41700"/>
    <n v="0"/>
    <s v="Fs docugen.io"/>
    <n v="41700"/>
    <s v="Activo"/>
    <n v="41700"/>
    <x v="27"/>
  </r>
  <r>
    <n v="2026"/>
    <n v="6"/>
    <s v="23-06-2026"/>
    <n v="10848"/>
    <s v="1110-08"/>
    <n v="105830"/>
    <n v="0"/>
    <s v="Pppp fs wmspanel"/>
    <n v="105830"/>
    <s v="Activo"/>
    <n v="105830"/>
    <x v="27"/>
  </r>
  <r>
    <n v="2026"/>
    <n v="6"/>
    <s v="23-06-2026"/>
    <n v="10848"/>
    <s v="1110-08"/>
    <n v="6529"/>
    <n v="0"/>
    <s v="Microsoft-g161633448"/>
    <n v="6529"/>
    <s v="Activo"/>
    <n v="6529"/>
    <x v="27"/>
  </r>
  <r>
    <n v="2026"/>
    <n v="6"/>
    <s v="23-06-2026"/>
    <n v="10848"/>
    <s v="1110-08"/>
    <n v="351280"/>
    <n v="0"/>
    <s v="Paypal smartolt"/>
    <n v="351280"/>
    <s v="Activo"/>
    <n v="351280"/>
    <x v="27"/>
  </r>
  <r>
    <n v="2026"/>
    <n v="6"/>
    <s v="23-06-2026"/>
    <n v="10848"/>
    <s v="1110-08"/>
    <n v="38196"/>
    <n v="0"/>
    <s v="Twilio sendgrid"/>
    <n v="38196"/>
    <s v="Activo"/>
    <n v="38196"/>
    <x v="27"/>
  </r>
  <r>
    <n v="2026"/>
    <n v="6"/>
    <s v="23-06-2026"/>
    <n v="10848"/>
    <s v="1110-08"/>
    <n v="108469"/>
    <n v="0"/>
    <s v="Adobe adobe"/>
    <n v="108469"/>
    <s v="Activo"/>
    <n v="108469"/>
    <x v="27"/>
  </r>
  <r>
    <n v="2026"/>
    <n v="6"/>
    <s v="23-06-2026"/>
    <n v="10848"/>
    <s v="1110-08"/>
    <n v="45999"/>
    <n v="0"/>
    <s v="Linkedin"/>
    <n v="45999"/>
    <s v="Activo"/>
    <n v="45999"/>
    <x v="27"/>
  </r>
  <r>
    <n v="2026"/>
    <n v="6"/>
    <s v="23-06-2026"/>
    <n v="10848"/>
    <s v="1110-08"/>
    <n v="488677"/>
    <n v="0"/>
    <s v="E-commerce monday.c compras p.a.t."/>
    <n v="488677"/>
    <s v="Activo"/>
    <n v="488677"/>
    <x v="27"/>
  </r>
  <r>
    <n v="2026"/>
    <n v="6"/>
    <s v="23-06-2026"/>
    <n v="10848"/>
    <s v="1110-08"/>
    <n v="4690"/>
    <n v="0"/>
    <s v="Microsoftng162884470"/>
    <n v="4690"/>
    <s v="Activo"/>
    <n v="4690"/>
    <x v="27"/>
  </r>
  <r>
    <n v="2026"/>
    <n v="6"/>
    <s v="23-06-2026"/>
    <n v="10848"/>
    <s v="1110-08"/>
    <n v="18990"/>
    <n v="0"/>
    <s v="Apple.combill"/>
    <n v="18990"/>
    <s v="Activo"/>
    <n v="18990"/>
    <x v="27"/>
  </r>
  <r>
    <n v="2026"/>
    <n v="6"/>
    <s v="23-06-2026"/>
    <n v="10848"/>
    <s v="1110-08"/>
    <n v="107267"/>
    <n v="0"/>
    <s v="Microsoftñg164242619"/>
    <n v="107267"/>
    <s v="Activo"/>
    <n v="107267"/>
    <x v="27"/>
  </r>
  <r>
    <n v="2026"/>
    <n v="6"/>
    <s v="23-06-2026"/>
    <n v="10848"/>
    <s v="1110-08"/>
    <n v="10990"/>
    <n v="0"/>
    <s v="Apple.combill"/>
    <n v="10990"/>
    <s v="Activo"/>
    <n v="10990"/>
    <x v="27"/>
  </r>
  <r>
    <n v="2026"/>
    <n v="6"/>
    <s v="23-06-2026"/>
    <n v="10848"/>
    <s v="1110-08"/>
    <n v="22407"/>
    <n v="0"/>
    <s v="Anthropic claude sub"/>
    <n v="22407"/>
    <s v="Activo"/>
    <n v="22407"/>
    <x v="27"/>
  </r>
  <r>
    <n v="2026"/>
    <n v="6"/>
    <s v="23-06-2026"/>
    <n v="10848"/>
    <s v="1110-08"/>
    <n v="1157601"/>
    <n v="0"/>
    <s v="Ministra pro"/>
    <n v="1157601"/>
    <s v="Activo"/>
    <n v="1157601"/>
    <x v="27"/>
  </r>
  <r>
    <n v="2026"/>
    <n v="6"/>
    <s v="23-06-2026"/>
    <n v="10848"/>
    <s v="1110-08"/>
    <n v="153860"/>
    <n v="0"/>
    <s v="Paypal freddy.tabali"/>
    <n v="153860"/>
    <s v="Activo"/>
    <n v="153860"/>
    <x v="27"/>
  </r>
  <r>
    <n v="2026"/>
    <n v="6"/>
    <s v="23-06-2026"/>
    <n v="10848"/>
    <s v="1110-08"/>
    <n v="67826"/>
    <n v="0"/>
    <s v="Zapier.comcharge"/>
    <n v="67826"/>
    <s v="Activo"/>
    <n v="67826"/>
    <x v="27"/>
  </r>
  <r>
    <n v="2026"/>
    <n v="6"/>
    <s v="26-06-2026"/>
    <n v="7914"/>
    <s v="1110-08"/>
    <n v="500000"/>
    <n v="0"/>
    <s v="0995200007 transf a muevo copec empresas"/>
    <n v="500000"/>
    <s v="Activo"/>
    <n v="500000"/>
    <x v="27"/>
  </r>
  <r>
    <n v="2026"/>
    <n v="6"/>
    <s v="26-06-2026"/>
    <n v="10800"/>
    <s v="1110-08"/>
    <n v="3117031"/>
    <n v="0"/>
    <s v="Pago mora 000000000006063087"/>
    <n v="3117031"/>
    <s v="Activo"/>
    <n v="3117031"/>
    <x v="27"/>
  </r>
  <r>
    <n v="2026"/>
    <n v="6"/>
    <s v="30-06-2026"/>
    <n v="8099"/>
    <s v="1110-08"/>
    <n v="0"/>
    <n v="11604755"/>
    <s v="Centralización pagos junio 2026 - #596; 597"/>
    <n v="-11604755"/>
    <s v="Activo"/>
    <n v="-11604755"/>
    <x v="27"/>
  </r>
  <r>
    <n v="2026"/>
    <n v="6"/>
    <s v="30-06-2026"/>
    <n v="8184"/>
    <s v="1110-08"/>
    <n v="0"/>
    <n v="138418"/>
    <s v="Centralización pagos junio 2026 #617 - #617"/>
    <n v="-138418"/>
    <s v="Activo"/>
    <n v="-138418"/>
    <x v="27"/>
  </r>
  <r>
    <n v="2026"/>
    <n v="6"/>
    <s v="30-06-2026"/>
    <n v="8185"/>
    <s v="1110-08"/>
    <n v="0"/>
    <n v="93561"/>
    <s v="Centralización pagos junio 2026 #603 - #603"/>
    <n v="-93561"/>
    <s v="Activo"/>
    <n v="-93561"/>
    <x v="27"/>
  </r>
  <r>
    <n v="2026"/>
    <n v="6"/>
    <s v="30-06-2026"/>
    <n v="8186"/>
    <s v="1110-08"/>
    <n v="0"/>
    <n v="20000"/>
    <s v="Centralización pagos junio 2026 #607 - #607"/>
    <n v="-20000"/>
    <s v="Activo"/>
    <n v="-20000"/>
    <x v="27"/>
  </r>
  <r>
    <n v="2026"/>
    <n v="6"/>
    <s v="30-06-2026"/>
    <n v="8187"/>
    <s v="1110-08"/>
    <n v="0"/>
    <n v="225743"/>
    <s v="Centralización pagos junio 2026 #612 - #612"/>
    <n v="-225743"/>
    <s v="Activo"/>
    <n v="-225743"/>
    <x v="27"/>
  </r>
  <r>
    <n v="2026"/>
    <n v="6"/>
    <s v="30-06-2026"/>
    <n v="8188"/>
    <s v="1110-08"/>
    <n v="0"/>
    <n v="63190"/>
    <s v="Centralización pagos junio 2026 #613 - #613"/>
    <n v="-63190"/>
    <s v="Activo"/>
    <n v="-63190"/>
    <x v="27"/>
  </r>
  <r>
    <n v="2026"/>
    <n v="6"/>
    <s v="30-06-2026"/>
    <n v="8189"/>
    <s v="1110-08"/>
    <n v="0"/>
    <n v="63526"/>
    <s v="Centralización pagos junio 2026 #615 - #615"/>
    <n v="-63526"/>
    <s v="Activo"/>
    <n v="-63526"/>
    <x v="27"/>
  </r>
  <r>
    <n v="2026"/>
    <n v="6"/>
    <s v="30-06-2026"/>
    <n v="8190"/>
    <s v="1110-08"/>
    <n v="0"/>
    <n v="60000"/>
    <s v="Centralización pagos junio 2026 #598 - #598"/>
    <n v="-60000"/>
    <s v="Activo"/>
    <n v="-60000"/>
    <x v="27"/>
  </r>
  <r>
    <n v="2026"/>
    <n v="6"/>
    <s v="30-06-2026"/>
    <n v="8191"/>
    <s v="1110-08"/>
    <n v="0"/>
    <n v="343624"/>
    <s v="Centralización pagos junio 2026 #599 - #599"/>
    <n v="-343624"/>
    <s v="Activo"/>
    <n v="-343624"/>
    <x v="27"/>
  </r>
  <r>
    <n v="2026"/>
    <n v="6"/>
    <s v="30-06-2026"/>
    <n v="8192"/>
    <s v="1110-08"/>
    <n v="0"/>
    <n v="59960"/>
    <s v="Centralización pagos junio 2026 #600 - #600"/>
    <n v="-59960"/>
    <s v="Activo"/>
    <n v="-59960"/>
    <x v="27"/>
  </r>
  <r>
    <n v="2026"/>
    <n v="6"/>
    <s v="30-06-2026"/>
    <n v="8193"/>
    <s v="1110-08"/>
    <n v="0"/>
    <n v="20451"/>
    <s v="Centralización pagos junio 2026 #602 - #602"/>
    <n v="-20451"/>
    <s v="Activo"/>
    <n v="-20451"/>
    <x v="27"/>
  </r>
  <r>
    <n v="2026"/>
    <n v="6"/>
    <s v="30-06-2026"/>
    <n v="8194"/>
    <s v="1110-08"/>
    <n v="0"/>
    <n v="3091678"/>
    <s v="Centralización pagos junio 2026 #604 - #604"/>
    <n v="-3091678"/>
    <s v="Activo"/>
    <n v="-3091678"/>
    <x v="27"/>
  </r>
  <r>
    <n v="2026"/>
    <n v="6"/>
    <s v="30-06-2026"/>
    <n v="8195"/>
    <s v="1110-08"/>
    <n v="0"/>
    <n v="10000"/>
    <s v="Centralización pagos junio 2026 #605 - #605"/>
    <n v="-10000"/>
    <s v="Activo"/>
    <n v="-10000"/>
    <x v="27"/>
  </r>
  <r>
    <n v="2026"/>
    <n v="6"/>
    <s v="30-06-2026"/>
    <n v="8196"/>
    <s v="1110-08"/>
    <n v="0"/>
    <n v="14300"/>
    <s v="Centralización pagos junio 2026 #606 - #606"/>
    <n v="-14300"/>
    <s v="Activo"/>
    <n v="-14300"/>
    <x v="27"/>
  </r>
  <r>
    <n v="2026"/>
    <n v="6"/>
    <s v="30-06-2026"/>
    <n v="8197"/>
    <s v="1110-08"/>
    <n v="0"/>
    <n v="766242"/>
    <s v="Centralización pagos junio 2026 #608 - #608"/>
    <n v="-766242"/>
    <s v="Activo"/>
    <n v="-766242"/>
    <x v="27"/>
  </r>
  <r>
    <n v="2026"/>
    <n v="6"/>
    <s v="30-06-2026"/>
    <n v="8198"/>
    <s v="1110-08"/>
    <n v="0"/>
    <n v="29670"/>
    <s v="Centralización pagos junio 2026 #609 - #609"/>
    <n v="-29670"/>
    <s v="Activo"/>
    <n v="-29670"/>
    <x v="27"/>
  </r>
  <r>
    <n v="2026"/>
    <n v="6"/>
    <s v="30-06-2026"/>
    <n v="8199"/>
    <s v="1110-08"/>
    <n v="0"/>
    <n v="5890"/>
    <s v="Centralización pagos junio 2026 #610 - #610"/>
    <n v="-5890"/>
    <s v="Activo"/>
    <n v="-5890"/>
    <x v="27"/>
  </r>
  <r>
    <n v="2026"/>
    <n v="6"/>
    <s v="30-06-2026"/>
    <n v="8200"/>
    <s v="1110-08"/>
    <n v="0"/>
    <n v="113490"/>
    <s v="Centralización pagos junio 2026 #611 - #611"/>
    <n v="-113490"/>
    <s v="Activo"/>
    <n v="-113490"/>
    <x v="27"/>
  </r>
  <r>
    <n v="2026"/>
    <n v="6"/>
    <s v="30-06-2026"/>
    <n v="8201"/>
    <s v="1110-08"/>
    <n v="0"/>
    <n v="121361"/>
    <s v="Centralización pagos junio 2026 #614 - #614"/>
    <n v="-121361"/>
    <s v="Activo"/>
    <n v="-121361"/>
    <x v="27"/>
  </r>
  <r>
    <n v="2026"/>
    <n v="6"/>
    <s v="30-06-2026"/>
    <n v="8204"/>
    <s v="1110-08"/>
    <n v="0"/>
    <n v="3150130"/>
    <s v="Centralización pagos junio 2026 - #678"/>
    <n v="-3150130"/>
    <s v="Activo"/>
    <n v="-3150130"/>
    <x v="27"/>
  </r>
  <r>
    <n v="2026"/>
    <n v="6"/>
    <s v="30-06-2026"/>
    <n v="8205"/>
    <s v="1110-08"/>
    <n v="0"/>
    <n v="86282"/>
    <s v="Centralización pagos junio 2026 - #679"/>
    <n v="-86282"/>
    <s v="Activo"/>
    <n v="-86282"/>
    <x v="27"/>
  </r>
  <r>
    <n v="2026"/>
    <n v="7"/>
    <s v="01-07-2026"/>
    <n v="8441"/>
    <s v="1110-08"/>
    <n v="958958"/>
    <n v="0"/>
    <s v="Compra google workspace"/>
    <n v="958958"/>
    <s v="Activo"/>
    <n v="958958"/>
    <x v="27"/>
  </r>
  <r>
    <n v="2026"/>
    <n v="7"/>
    <s v="01-07-2026"/>
    <n v="8442"/>
    <s v="1110-08"/>
    <n v="500000"/>
    <n v="0"/>
    <s v="Compra copec"/>
    <n v="500000"/>
    <s v="Activo"/>
    <n v="500000"/>
    <x v="27"/>
  </r>
  <r>
    <n v="2026"/>
    <n v="7"/>
    <s v="01-07-2026"/>
    <n v="8668"/>
    <s v="1110-08"/>
    <n v="0"/>
    <n v="3117031"/>
    <s v="Devolucion cuota"/>
    <n v="-3117031"/>
    <s v="Activo"/>
    <n v="-3117031"/>
    <x v="27"/>
  </r>
  <r>
    <n v="2026"/>
    <n v="7"/>
    <s v="02-07-2026"/>
    <n v="8602"/>
    <s v="1110-08"/>
    <n v="366846"/>
    <n v="0"/>
    <s v="Pago smartolt"/>
    <n v="366846"/>
    <s v="Activo"/>
    <n v="366846"/>
    <x v="27"/>
  </r>
  <r>
    <n v="2026"/>
    <n v="7"/>
    <s v="02-07-2026"/>
    <n v="8635"/>
    <s v="1110-08"/>
    <n v="6775"/>
    <n v="0"/>
    <s v="Pago microsoft"/>
    <n v="6775"/>
    <s v="Activo"/>
    <n v="6775"/>
    <x v="27"/>
  </r>
  <r>
    <n v="2026"/>
    <n v="7"/>
    <s v="02-07-2026"/>
    <n v="8636"/>
    <s v="1110-08"/>
    <n v="19990"/>
    <n v="0"/>
    <s v="Pago apple"/>
    <n v="19990"/>
    <s v="Activo"/>
    <n v="19990"/>
    <x v="27"/>
  </r>
  <r>
    <n v="2026"/>
    <n v="7"/>
    <s v="03-07-2026"/>
    <n v="8447"/>
    <s v="1110-08"/>
    <n v="500000"/>
    <n v="0"/>
    <s v="Compra copec"/>
    <n v="500000"/>
    <s v="Activo"/>
    <n v="500000"/>
    <x v="27"/>
  </r>
  <r>
    <n v="2026"/>
    <n v="7"/>
    <s v="03-07-2026"/>
    <n v="8637"/>
    <s v="1110-08"/>
    <n v="39350"/>
    <n v="0"/>
    <s v="Pago twilio sendgrid"/>
    <n v="39350"/>
    <s v="Activo"/>
    <n v="39350"/>
    <x v="27"/>
  </r>
  <r>
    <n v="2026"/>
    <n v="7"/>
    <s v="04-07-2026"/>
    <n v="8623"/>
    <s v="1110-08"/>
    <n v="70000"/>
    <n v="0"/>
    <s v="Ebw tcom sim"/>
    <n v="70000"/>
    <s v="Activo"/>
    <n v="70000"/>
    <x v="27"/>
  </r>
  <r>
    <n v="2026"/>
    <n v="7"/>
    <s v="04-07-2026"/>
    <n v="8638"/>
    <s v="1110-08"/>
    <n v="28139"/>
    <n v="0"/>
    <s v="Pago jivrus.tech"/>
    <n v="28139"/>
    <s v="Activo"/>
    <n v="28139"/>
    <x v="27"/>
  </r>
  <r>
    <n v="2026"/>
    <n v="7"/>
    <s v="05-07-2026"/>
    <n v="8639"/>
    <s v="1110-08"/>
    <n v="45999"/>
    <n v="0"/>
    <s v="Pago linkedin"/>
    <n v="45999"/>
    <s v="Activo"/>
    <n v="45999"/>
    <x v="27"/>
  </r>
  <r>
    <n v="2026"/>
    <n v="7"/>
    <s v="05-07-2026"/>
    <n v="8640"/>
    <s v="1110-08"/>
    <n v="108469"/>
    <n v="0"/>
    <s v="Pago adobe"/>
    <n v="108469"/>
    <s v="Activo"/>
    <n v="108469"/>
    <x v="27"/>
  </r>
  <r>
    <n v="2026"/>
    <n v="7"/>
    <s v="06-07-2026"/>
    <n v="8642"/>
    <s v="1110-08"/>
    <n v="492633"/>
    <n v="0"/>
    <s v="Pago monday.c"/>
    <n v="492633"/>
    <s v="Activo"/>
    <n v="492633"/>
    <x v="27"/>
  </r>
  <r>
    <n v="2026"/>
    <n v="7"/>
    <s v="07-07-2026"/>
    <n v="8463"/>
    <s v="1110-08"/>
    <n v="500000"/>
    <n v="0"/>
    <s v="Compra copec"/>
    <n v="500000"/>
    <s v="Activo"/>
    <n v="500000"/>
    <x v="27"/>
  </r>
  <r>
    <n v="2026"/>
    <n v="7"/>
    <s v="07-07-2026"/>
    <n v="8604"/>
    <s v="1110-08"/>
    <n v="33491"/>
    <n v="0"/>
    <s v="Facebk sycccs9y92"/>
    <n v="33491"/>
    <s v="Activo"/>
    <n v="33491"/>
    <x v="27"/>
  </r>
  <r>
    <n v="2026"/>
    <n v="7"/>
    <s v="08-07-2026"/>
    <n v="8607"/>
    <s v="1110-08"/>
    <n v="388743"/>
    <n v="0"/>
    <s v="Pago wpforms"/>
    <n v="388743"/>
    <s v="Activo"/>
    <n v="388743"/>
    <x v="27"/>
  </r>
  <r>
    <n v="2026"/>
    <n v="7"/>
    <s v="08-07-2026"/>
    <n v="8643"/>
    <s v="1110-08"/>
    <n v="4771"/>
    <n v="0"/>
    <s v="Pago microsoft"/>
    <n v="4771"/>
    <s v="Activo"/>
    <n v="4771"/>
    <x v="27"/>
  </r>
  <r>
    <n v="2026"/>
    <n v="7"/>
    <s v="09-07-2026"/>
    <n v="8476"/>
    <s v="1110-08"/>
    <n v="500000"/>
    <n v="0"/>
    <s v="Compra copec"/>
    <n v="500000"/>
    <s v="Activo"/>
    <n v="500000"/>
    <x v="27"/>
  </r>
  <r>
    <n v="2026"/>
    <n v="7"/>
    <s v="09-07-2026"/>
    <n v="8644"/>
    <s v="1110-08"/>
    <n v="108537"/>
    <n v="0"/>
    <s v="Pago microsoft"/>
    <n v="108537"/>
    <s v="Activo"/>
    <n v="108537"/>
    <x v="27"/>
  </r>
  <r>
    <n v="2026"/>
    <n v="7"/>
    <s v="09-07-2026"/>
    <n v="8645"/>
    <s v="1110-08"/>
    <n v="18990"/>
    <n v="0"/>
    <s v="Pago apple"/>
    <n v="18990"/>
    <s v="Activo"/>
    <n v="18990"/>
    <x v="27"/>
  </r>
  <r>
    <n v="2026"/>
    <n v="7"/>
    <s v="09-07-2026"/>
    <n v="8661"/>
    <s v="1110-08"/>
    <n v="170534"/>
    <n v="0"/>
    <s v="Pago facturas varias"/>
    <n v="170534"/>
    <s v="Activo"/>
    <n v="170534"/>
    <x v="27"/>
  </r>
  <r>
    <n v="2026"/>
    <n v="7"/>
    <s v="10-07-2026"/>
    <n v="8646"/>
    <s v="1110-08"/>
    <n v="10990"/>
    <n v="0"/>
    <s v="Pago apple"/>
    <n v="10990"/>
    <s v="Activo"/>
    <n v="10990"/>
    <x v="27"/>
  </r>
  <r>
    <n v="2026"/>
    <n v="7"/>
    <s v="10-07-2026"/>
    <n v="8647"/>
    <s v="1110-08"/>
    <n v="22524"/>
    <n v="0"/>
    <s v="Pago claude"/>
    <n v="22524"/>
    <s v="Activo"/>
    <n v="22524"/>
    <x v="27"/>
  </r>
  <r>
    <n v="2026"/>
    <n v="7"/>
    <s v="12-07-2026"/>
    <n v="8610"/>
    <s v="1110-08"/>
    <n v="60245"/>
    <n v="0"/>
    <s v="Facebk qqxqysvy92"/>
    <n v="60245"/>
    <s v="Activo"/>
    <n v="60245"/>
    <x v="27"/>
  </r>
  <r>
    <n v="2026"/>
    <n v="7"/>
    <s v="13-07-2026"/>
    <n v="8509"/>
    <s v="1110-08"/>
    <n v="500000"/>
    <n v="0"/>
    <s v="Compra copec"/>
    <n v="500000"/>
    <s v="Activo"/>
    <n v="500000"/>
    <x v="27"/>
  </r>
  <r>
    <n v="2026"/>
    <n v="7"/>
    <s v="13-07-2026"/>
    <n v="8648"/>
    <s v="1110-08"/>
    <n v="107057"/>
    <n v="0"/>
    <s v="Pago zapier"/>
    <n v="107057"/>
    <s v="Activo"/>
    <n v="107057"/>
    <x v="27"/>
  </r>
  <r>
    <n v="2026"/>
    <n v="7"/>
    <s v="14-07-2026"/>
    <n v="8649"/>
    <s v="1110-08"/>
    <n v="156161"/>
    <n v="0"/>
    <s v="Pago plataforma"/>
    <n v="156161"/>
    <s v="Activo"/>
    <n v="156161"/>
    <x v="27"/>
  </r>
  <r>
    <n v="2026"/>
    <n v="7"/>
    <s v="14-07-2026"/>
    <n v="8650"/>
    <s v="1110-08"/>
    <n v="687976"/>
    <n v="0"/>
    <s v="Pago sytex"/>
    <n v="687976"/>
    <s v="Activo"/>
    <n v="687976"/>
    <x v="27"/>
  </r>
  <r>
    <n v="2026"/>
    <n v="7"/>
    <s v="14-07-2026"/>
    <n v="8651"/>
    <s v="1110-08"/>
    <n v="650513"/>
    <n v="0"/>
    <s v="Pago sytex"/>
    <n v="650513"/>
    <s v="Activo"/>
    <n v="650513"/>
    <x v="27"/>
  </r>
  <r>
    <n v="2026"/>
    <n v="7"/>
    <s v="15-07-2026"/>
    <n v="8515"/>
    <s v="1110-08"/>
    <n v="500000"/>
    <n v="0"/>
    <s v="Compra copec"/>
    <n v="500000"/>
    <s v="Activo"/>
    <n v="500000"/>
    <x v="27"/>
  </r>
  <r>
    <n v="2026"/>
    <n v="7"/>
    <s v="21-07-2026"/>
    <n v="8544"/>
    <s v="1110-08"/>
    <n v="500000"/>
    <n v="0"/>
    <s v="Compra copec"/>
    <n v="500000"/>
    <s v="Activo"/>
    <n v="500000"/>
    <x v="27"/>
  </r>
  <r>
    <n v="2026"/>
    <n v="7"/>
    <s v="23-07-2026"/>
    <n v="8595"/>
    <s v="1110-08"/>
    <n v="60246"/>
    <n v="0"/>
    <s v="Facebk prdn9rvy92"/>
    <n v="60246"/>
    <s v="Activo"/>
    <n v="60246"/>
    <x v="27"/>
  </r>
  <r>
    <n v="2026"/>
    <n v="7"/>
    <s v="23-07-2026"/>
    <n v="8630"/>
    <s v="1110-08"/>
    <n v="98179"/>
    <n v="0"/>
    <s v="Platforma ultima cuota"/>
    <n v="98179"/>
    <s v="Activo"/>
    <n v="98179"/>
    <x v="27"/>
  </r>
  <r>
    <n v="2026"/>
    <n v="7"/>
    <s v="23-07-2026"/>
    <n v="8633"/>
    <s v="1110-08"/>
    <n v="41700"/>
    <n v="0"/>
    <s v="Plataforma"/>
    <n v="41700"/>
    <s v="Activo"/>
    <n v="41700"/>
    <x v="27"/>
  </r>
  <r>
    <n v="2026"/>
    <n v="7"/>
    <s v="27-07-2026"/>
    <n v="8566"/>
    <s v="1110-08"/>
    <n v="500000"/>
    <n v="0"/>
    <s v="Compra copec"/>
    <n v="500000"/>
    <s v="Activo"/>
    <n v="500000"/>
    <x v="27"/>
  </r>
  <r>
    <n v="2026"/>
    <n v="7"/>
    <s v="27-07-2026"/>
    <n v="8567"/>
    <s v="1110-08"/>
    <n v="500000"/>
    <n v="0"/>
    <s v="Compra copec"/>
    <n v="500000"/>
    <s v="Activo"/>
    <n v="500000"/>
    <x v="27"/>
  </r>
  <r>
    <n v="2026"/>
    <n v="7"/>
    <s v="30-07-2026"/>
    <n v="8571"/>
    <s v="1110-08"/>
    <n v="1000000"/>
    <n v="0"/>
    <s v="Transf a virec spa"/>
    <n v="1000000"/>
    <s v="Activo"/>
    <n v="1000000"/>
    <x v="27"/>
  </r>
  <r>
    <n v="2026"/>
    <n v="7"/>
    <s v="31-07-2026"/>
    <n v="8583"/>
    <s v="1110-08"/>
    <n v="500000"/>
    <n v="0"/>
    <s v="Compra copec"/>
    <n v="500000"/>
    <s v="Activo"/>
    <n v="500000"/>
    <x v="27"/>
  </r>
  <r>
    <n v="2026"/>
    <n v="7"/>
    <s v="31-07-2026"/>
    <n v="8669"/>
    <s v="1110-08"/>
    <n v="0"/>
    <n v="822083"/>
    <s v="Td los heroes"/>
    <n v="-822083"/>
    <s v="Activo"/>
    <n v="-822083"/>
    <x v="27"/>
  </r>
  <r>
    <n v="2026"/>
    <n v="1"/>
    <s v="01-01-2026"/>
    <n v="8670"/>
    <s v="1111-01"/>
    <n v="0"/>
    <n v="142870740"/>
    <s v="Reversa retiros 2025"/>
    <n v="-142870740"/>
    <s v="Activo"/>
    <n v="-142870740"/>
    <x v="28"/>
  </r>
  <r>
    <n v="2026"/>
    <n v="1"/>
    <s v="01-01-2026"/>
    <n v="9827"/>
    <s v="1111-01"/>
    <n v="142870740"/>
    <n v="0"/>
    <s v=""/>
    <n v="142870740"/>
    <s v="Activo"/>
    <n v="142870740"/>
    <x v="28"/>
  </r>
  <r>
    <n v="2026"/>
    <n v="1"/>
    <s v="02-01-2026"/>
    <n v="6919"/>
    <s v="1111-01"/>
    <n v="5000000"/>
    <n v="0"/>
    <s v="0774344497 transf a botsch spa"/>
    <n v="5000000"/>
    <s v="Activo"/>
    <n v="5000000"/>
    <x v="28"/>
  </r>
  <r>
    <n v="2026"/>
    <n v="1"/>
    <s v="02-01-2026"/>
    <n v="6920"/>
    <s v="1111-01"/>
    <n v="5000000"/>
    <n v="0"/>
    <s v="012646150k transf a ambiado olivar"/>
    <n v="5000000"/>
    <s v="Activo"/>
    <n v="5000000"/>
    <x v="28"/>
  </r>
  <r>
    <n v="2026"/>
    <n v="1"/>
    <s v="02-01-2026"/>
    <n v="6922"/>
    <s v="1111-01"/>
    <n v="4264900"/>
    <n v="0"/>
    <s v="012646150k transf a ambiado olivar"/>
    <n v="4264900"/>
    <s v="Activo"/>
    <n v="4264900"/>
    <x v="28"/>
  </r>
  <r>
    <n v="2026"/>
    <n v="1"/>
    <s v="02-01-2026"/>
    <n v="6923"/>
    <s v="1111-01"/>
    <n v="2543389"/>
    <n v="0"/>
    <s v="0774344497 transf a botsch spa"/>
    <n v="2543389"/>
    <s v="Activo"/>
    <n v="2543389"/>
    <x v="28"/>
  </r>
  <r>
    <n v="2026"/>
    <n v="1"/>
    <s v="30-01-2026"/>
    <n v="7090"/>
    <s v="1111-01"/>
    <n v="5000000"/>
    <n v="0"/>
    <s v="0774344497 transf a botsch spa"/>
    <n v="5000000"/>
    <s v="Activo"/>
    <n v="5000000"/>
    <x v="28"/>
  </r>
  <r>
    <n v="2026"/>
    <n v="1"/>
    <s v="30-01-2026"/>
    <n v="7091"/>
    <s v="1111-01"/>
    <n v="5000000"/>
    <n v="0"/>
    <s v="0774344497 transf a botsch spa"/>
    <n v="5000000"/>
    <s v="Activo"/>
    <n v="5000000"/>
    <x v="28"/>
  </r>
  <r>
    <n v="2026"/>
    <n v="1"/>
    <s v="30-01-2026"/>
    <n v="7092"/>
    <s v="1111-01"/>
    <n v="5000000"/>
    <n v="0"/>
    <s v="012646150k transf a ambiado olivar"/>
    <n v="5000000"/>
    <s v="Activo"/>
    <n v="5000000"/>
    <x v="28"/>
  </r>
  <r>
    <n v="2026"/>
    <n v="1"/>
    <s v="30-01-2026"/>
    <n v="7093"/>
    <s v="1111-01"/>
    <n v="5000000"/>
    <n v="0"/>
    <s v="0774344497 transf a botsch spa"/>
    <n v="5000000"/>
    <s v="Activo"/>
    <n v="5000000"/>
    <x v="28"/>
  </r>
  <r>
    <n v="2026"/>
    <n v="1"/>
    <s v="30-01-2026"/>
    <n v="7094"/>
    <s v="1111-01"/>
    <n v="4264900"/>
    <n v="0"/>
    <s v="012646150k transf a ambiado olivar"/>
    <n v="4264900"/>
    <s v="Activo"/>
    <n v="4264900"/>
    <x v="28"/>
  </r>
  <r>
    <n v="2026"/>
    <n v="1"/>
    <s v="30-01-2026"/>
    <n v="7095"/>
    <s v="1111-01"/>
    <n v="2543389"/>
    <n v="0"/>
    <s v="0774344497 transf a botsch spa"/>
    <n v="2543389"/>
    <s v="Activo"/>
    <n v="2543389"/>
    <x v="28"/>
  </r>
  <r>
    <n v="2026"/>
    <n v="2"/>
    <s v="16-02-2026"/>
    <n v="7209"/>
    <s v="1111-01"/>
    <n v="3500000"/>
    <n v="0"/>
    <s v="0774344497 transf a botsch spa"/>
    <n v="3500000"/>
    <s v="Activo"/>
    <n v="3500000"/>
    <x v="28"/>
  </r>
  <r>
    <n v="2026"/>
    <n v="2"/>
    <s v="16-02-2026"/>
    <n v="7210"/>
    <s v="1111-01"/>
    <n v="2000000"/>
    <n v="0"/>
    <s v="0774344497 transf a botsch spa"/>
    <n v="2000000"/>
    <s v="Activo"/>
    <n v="2000000"/>
    <x v="28"/>
  </r>
  <r>
    <n v="2026"/>
    <n v="2"/>
    <s v="27-02-2026"/>
    <n v="7297"/>
    <s v="1111-01"/>
    <n v="5000000"/>
    <n v="0"/>
    <s v="012646150k transf a ambiado olivar"/>
    <n v="5000000"/>
    <s v="Activo"/>
    <n v="5000000"/>
    <x v="28"/>
  </r>
  <r>
    <n v="2026"/>
    <n v="2"/>
    <s v="27-02-2026"/>
    <n v="7298"/>
    <s v="1111-01"/>
    <n v="5000000"/>
    <n v="0"/>
    <s v="0774344497 transf a botsch spa"/>
    <n v="5000000"/>
    <s v="Activo"/>
    <n v="5000000"/>
    <x v="28"/>
  </r>
  <r>
    <n v="2026"/>
    <n v="2"/>
    <s v="27-02-2026"/>
    <n v="7299"/>
    <s v="1111-01"/>
    <n v="5000000"/>
    <n v="0"/>
    <s v="0774344497 transf a botsch spa"/>
    <n v="5000000"/>
    <s v="Activo"/>
    <n v="5000000"/>
    <x v="28"/>
  </r>
  <r>
    <n v="2026"/>
    <n v="2"/>
    <s v="27-02-2026"/>
    <n v="7300"/>
    <s v="1111-01"/>
    <n v="4264900"/>
    <n v="0"/>
    <s v="012646150k transf a ambiado olivar"/>
    <n v="4264900"/>
    <s v="Activo"/>
    <n v="4264900"/>
    <x v="28"/>
  </r>
  <r>
    <n v="2026"/>
    <n v="2"/>
    <s v="27-02-2026"/>
    <n v="7302"/>
    <s v="1111-01"/>
    <n v="1117524"/>
    <n v="0"/>
    <s v="0774344497 transf a botsch spa"/>
    <n v="1117524"/>
    <s v="Activo"/>
    <n v="1117524"/>
    <x v="28"/>
  </r>
  <r>
    <n v="2026"/>
    <n v="3"/>
    <s v="06-03-2026"/>
    <n v="7324"/>
    <s v="1111-01"/>
    <n v="5000000"/>
    <n v="0"/>
    <s v="0774344497 transf a botsch spa"/>
    <n v="5000000"/>
    <s v="Activo"/>
    <n v="5000000"/>
    <x v="28"/>
  </r>
  <r>
    <n v="2026"/>
    <n v="3"/>
    <s v="31-03-2026"/>
    <n v="7462"/>
    <s v="1111-01"/>
    <n v="7494647"/>
    <n v="0"/>
    <s v="0774344497 transf a botsch spa"/>
    <n v="7494647"/>
    <s v="Activo"/>
    <n v="7494647"/>
    <x v="28"/>
  </r>
  <r>
    <n v="2026"/>
    <n v="4"/>
    <s v="02-04-2026"/>
    <n v="7490"/>
    <s v="1111-01"/>
    <n v="5000000"/>
    <n v="0"/>
    <s v="012646150k transf a ambiado olivar"/>
    <n v="5000000"/>
    <s v="Activo"/>
    <n v="5000000"/>
    <x v="28"/>
  </r>
  <r>
    <n v="2026"/>
    <n v="4"/>
    <s v="02-04-2026"/>
    <n v="7491"/>
    <s v="1111-01"/>
    <n v="4264900"/>
    <n v="0"/>
    <s v="012646150k transf a ambiado olivar"/>
    <n v="4264900"/>
    <s v="Activo"/>
    <n v="4264900"/>
    <x v="28"/>
  </r>
  <r>
    <n v="2026"/>
    <n v="4"/>
    <s v="13-04-2026"/>
    <n v="7588"/>
    <s v="1111-01"/>
    <n v="5000000"/>
    <n v="0"/>
    <s v="0774344497 transf a botsch spa"/>
    <n v="5000000"/>
    <s v="Activo"/>
    <n v="5000000"/>
    <x v="28"/>
  </r>
  <r>
    <n v="2026"/>
    <n v="4"/>
    <s v="30-04-2026"/>
    <n v="7668"/>
    <s v="1111-01"/>
    <n v="5000000"/>
    <n v="0"/>
    <s v="0774344497 transf a botsch spa"/>
    <n v="5000000"/>
    <s v="Activo"/>
    <n v="5000000"/>
    <x v="28"/>
  </r>
  <r>
    <n v="2026"/>
    <n v="4"/>
    <s v="30-04-2026"/>
    <n v="7669"/>
    <s v="1111-01"/>
    <n v="5000000"/>
    <n v="0"/>
    <s v="012646150k transf a ambiado olivar"/>
    <n v="5000000"/>
    <s v="Activo"/>
    <n v="5000000"/>
    <x v="28"/>
  </r>
  <r>
    <n v="2026"/>
    <n v="4"/>
    <s v="30-04-2026"/>
    <n v="7671"/>
    <s v="1111-01"/>
    <n v="4242441"/>
    <n v="0"/>
    <s v="012646150k transf a ambiado olivar"/>
    <n v="4242441"/>
    <s v="Activo"/>
    <n v="4242441"/>
    <x v="28"/>
  </r>
  <r>
    <n v="2026"/>
    <n v="4"/>
    <s v="30-04-2026"/>
    <n v="7672"/>
    <s v="1111-01"/>
    <n v="3113617"/>
    <n v="0"/>
    <s v="0774344497 transf a botsch spa"/>
    <n v="3113617"/>
    <s v="Activo"/>
    <n v="3113617"/>
    <x v="28"/>
  </r>
  <r>
    <n v="2026"/>
    <n v="4"/>
    <s v="30-04-2026"/>
    <n v="7673"/>
    <s v="1111-01"/>
    <n v="1432222"/>
    <n v="0"/>
    <s v="0774344497 transf a botsch spa"/>
    <n v="1432222"/>
    <s v="Activo"/>
    <n v="1432222"/>
    <x v="28"/>
  </r>
  <r>
    <n v="2026"/>
    <n v="5"/>
    <s v="11-05-2026"/>
    <n v="7771"/>
    <s v="1111-01"/>
    <n v="3000000"/>
    <n v="0"/>
    <s v="0774344497 transf a botsch spa"/>
    <n v="3000000"/>
    <s v="Activo"/>
    <n v="3000000"/>
    <x v="28"/>
  </r>
  <r>
    <n v="2026"/>
    <n v="5"/>
    <s v="12-05-2026"/>
    <n v="7778"/>
    <s v="1111-01"/>
    <n v="2000000"/>
    <n v="0"/>
    <s v="0774344497 transf a botsch spa"/>
    <n v="2000000"/>
    <s v="Activo"/>
    <n v="2000000"/>
    <x v="28"/>
  </r>
  <r>
    <n v="2026"/>
    <n v="5"/>
    <s v="18-05-2026"/>
    <n v="7820"/>
    <s v="1111-01"/>
    <n v="5000000"/>
    <n v="0"/>
    <s v="0774344497 transf a botsch spa"/>
    <n v="5000000"/>
    <s v="Activo"/>
    <n v="5000000"/>
    <x v="28"/>
  </r>
  <r>
    <n v="2026"/>
    <n v="5"/>
    <s v="18-05-2026"/>
    <n v="7821"/>
    <s v="1111-01"/>
    <n v="5000000"/>
    <n v="0"/>
    <s v="0774344497 transf a botsch spa"/>
    <n v="5000000"/>
    <s v="Activo"/>
    <n v="5000000"/>
    <x v="28"/>
  </r>
  <r>
    <n v="2026"/>
    <n v="5"/>
    <s v="20-05-2026"/>
    <n v="7825"/>
    <s v="1111-01"/>
    <n v="5000000"/>
    <n v="0"/>
    <s v="0774344497 transf a botsch spa"/>
    <n v="5000000"/>
    <s v="Activo"/>
    <n v="5000000"/>
    <x v="28"/>
  </r>
  <r>
    <n v="2026"/>
    <n v="5"/>
    <s v="20-05-2026"/>
    <n v="7826"/>
    <s v="1111-01"/>
    <n v="5000000"/>
    <n v="0"/>
    <s v="0774344497 transf a botsch spa"/>
    <n v="5000000"/>
    <s v="Activo"/>
    <n v="5000000"/>
    <x v="28"/>
  </r>
  <r>
    <n v="2026"/>
    <n v="5"/>
    <s v="20-05-2026"/>
    <n v="7827"/>
    <s v="1111-01"/>
    <n v="5000000"/>
    <n v="0"/>
    <s v="0774344497 transf a botsch spa"/>
    <n v="5000000"/>
    <s v="Activo"/>
    <n v="5000000"/>
    <x v="28"/>
  </r>
  <r>
    <n v="2026"/>
    <n v="5"/>
    <s v="20-05-2026"/>
    <n v="7828"/>
    <s v="1111-01"/>
    <n v="5000000"/>
    <n v="0"/>
    <s v="012646150k transf a ambiado olivar"/>
    <n v="5000000"/>
    <s v="Activo"/>
    <n v="5000000"/>
    <x v="28"/>
  </r>
  <r>
    <n v="2026"/>
    <n v="5"/>
    <s v="20-05-2026"/>
    <n v="7829"/>
    <s v="1111-01"/>
    <n v="3377132"/>
    <n v="0"/>
    <s v="012646150k transf a ambiado olivar"/>
    <n v="3377132"/>
    <s v="Activo"/>
    <n v="3377132"/>
    <x v="28"/>
  </r>
  <r>
    <n v="2026"/>
    <n v="5"/>
    <s v="20-05-2026"/>
    <n v="7830"/>
    <s v="1111-01"/>
    <n v="2224791"/>
    <n v="0"/>
    <s v="0774344497 transf a botsch spa"/>
    <n v="2224791"/>
    <s v="Activo"/>
    <n v="2224791"/>
    <x v="28"/>
  </r>
  <r>
    <n v="2026"/>
    <n v="6"/>
    <s v="01-06-2026"/>
    <n v="7967"/>
    <s v="1111-01"/>
    <n v="5000000"/>
    <n v="0"/>
    <s v="012646150k transf a ambiado olivares al"/>
    <n v="5000000"/>
    <s v="Activo"/>
    <n v="5000000"/>
    <x v="28"/>
  </r>
  <r>
    <n v="2026"/>
    <n v="6"/>
    <s v="01-06-2026"/>
    <n v="7968"/>
    <s v="1111-01"/>
    <n v="4150152"/>
    <n v="0"/>
    <s v="012646150k transf a ambiado olivares al"/>
    <n v="4150152"/>
    <s v="Activo"/>
    <n v="4150152"/>
    <x v="28"/>
  </r>
  <r>
    <n v="2026"/>
    <n v="6"/>
    <s v="01-06-2026"/>
    <n v="7972"/>
    <s v="1111-01"/>
    <n v="5000000"/>
    <n v="0"/>
    <s v="0774344497 transf a botsch spa"/>
    <n v="5000000"/>
    <s v="Activo"/>
    <n v="5000000"/>
    <x v="28"/>
  </r>
  <r>
    <n v="2026"/>
    <n v="6"/>
    <s v="01-06-2026"/>
    <n v="7973"/>
    <s v="1111-01"/>
    <n v="5000000"/>
    <n v="0"/>
    <s v="0774344497 transf a botsch spa"/>
    <n v="5000000"/>
    <s v="Activo"/>
    <n v="5000000"/>
    <x v="28"/>
  </r>
  <r>
    <n v="2026"/>
    <n v="6"/>
    <s v="01-06-2026"/>
    <n v="7974"/>
    <s v="1111-01"/>
    <n v="1425049"/>
    <n v="0"/>
    <s v="0774344497 transf a botsch spa"/>
    <n v="1425049"/>
    <s v="Activo"/>
    <n v="1425049"/>
    <x v="28"/>
  </r>
  <r>
    <n v="2026"/>
    <n v="6"/>
    <s v="04-06-2026"/>
    <n v="7963"/>
    <s v="1111-01"/>
    <n v="3000000"/>
    <n v="0"/>
    <s v="0774344497 transf a botsch spa"/>
    <n v="3000000"/>
    <s v="Activo"/>
    <n v="3000000"/>
    <x v="28"/>
  </r>
  <r>
    <n v="2026"/>
    <n v="6"/>
    <s v="08-06-2026"/>
    <n v="7950"/>
    <s v="1111-01"/>
    <n v="2500000"/>
    <n v="0"/>
    <s v="0774344497 transf a botsch spa"/>
    <n v="2500000"/>
    <s v="Activo"/>
    <n v="2500000"/>
    <x v="28"/>
  </r>
  <r>
    <n v="2026"/>
    <n v="6"/>
    <s v="17-06-2026"/>
    <n v="7931"/>
    <s v="1111-01"/>
    <n v="1443419"/>
    <n v="0"/>
    <s v="0774344497 transf a botsch spa"/>
    <n v="1443419"/>
    <s v="Activo"/>
    <n v="1443419"/>
    <x v="28"/>
  </r>
  <r>
    <n v="2026"/>
    <n v="6"/>
    <s v="22-06-2026"/>
    <n v="7923"/>
    <s v="1111-01"/>
    <n v="1000000"/>
    <n v="0"/>
    <s v="0774344497 transf a botsch spa"/>
    <n v="1000000"/>
    <s v="Activo"/>
    <n v="1000000"/>
    <x v="28"/>
  </r>
  <r>
    <n v="2026"/>
    <n v="6"/>
    <s v="30-06-2026"/>
    <n v="7909"/>
    <s v="1111-01"/>
    <n v="5000000"/>
    <n v="0"/>
    <s v="0774344497 transf a botsch spa"/>
    <n v="5000000"/>
    <s v="Activo"/>
    <n v="5000000"/>
    <x v="28"/>
  </r>
  <r>
    <n v="2026"/>
    <n v="6"/>
    <s v="30-06-2026"/>
    <n v="7910"/>
    <s v="1111-01"/>
    <n v="5000000"/>
    <n v="0"/>
    <s v="0774344497 transf a botsch spa"/>
    <n v="5000000"/>
    <s v="Activo"/>
    <n v="5000000"/>
    <x v="28"/>
  </r>
  <r>
    <n v="2026"/>
    <n v="6"/>
    <s v="30-06-2026"/>
    <n v="7911"/>
    <s v="1111-01"/>
    <n v="5000000"/>
    <n v="0"/>
    <s v="0774344497 transf a botsch spa"/>
    <n v="5000000"/>
    <s v="Activo"/>
    <n v="5000000"/>
    <x v="28"/>
  </r>
  <r>
    <n v="2026"/>
    <n v="6"/>
    <s v="30-06-2026"/>
    <n v="7912"/>
    <s v="1111-01"/>
    <n v="211388"/>
    <n v="0"/>
    <s v="0774344497 transf a botsch spa"/>
    <n v="211388"/>
    <s v="Activo"/>
    <n v="211388"/>
    <x v="28"/>
  </r>
  <r>
    <n v="2026"/>
    <n v="7"/>
    <s v="02-07-2026"/>
    <n v="8444"/>
    <s v="1111-01"/>
    <n v="5000000"/>
    <n v="0"/>
    <s v="Transferencia a ambiado olivar"/>
    <n v="5000000"/>
    <s v="Activo"/>
    <n v="5000000"/>
    <x v="28"/>
  </r>
  <r>
    <n v="2026"/>
    <n v="7"/>
    <s v="02-07-2026"/>
    <n v="8445"/>
    <s v="1111-01"/>
    <n v="5000000"/>
    <n v="0"/>
    <s v="Transferencia a ambiado olivar"/>
    <n v="5000000"/>
    <s v="Activo"/>
    <n v="5000000"/>
    <x v="28"/>
  </r>
  <r>
    <n v="2026"/>
    <n v="7"/>
    <s v="02-07-2026"/>
    <n v="8446"/>
    <s v="1111-01"/>
    <n v="2003152"/>
    <n v="0"/>
    <s v="Transferencia a ambiado olivar"/>
    <n v="2003152"/>
    <s v="Activo"/>
    <n v="2003152"/>
    <x v="28"/>
  </r>
  <r>
    <n v="2026"/>
    <n v="7"/>
    <s v="10-07-2026"/>
    <n v="8501"/>
    <s v="1111-01"/>
    <n v="90000"/>
    <n v="0"/>
    <s v="Transferencia a ambiado olivar"/>
    <n v="90000"/>
    <s v="Activo"/>
    <n v="90000"/>
    <x v="28"/>
  </r>
  <r>
    <n v="2026"/>
    <n v="7"/>
    <s v="24-07-2026"/>
    <n v="8565"/>
    <s v="1111-01"/>
    <n v="3000000"/>
    <n v="0"/>
    <s v="Pago dividendo"/>
    <n v="3000000"/>
    <s v="Activo"/>
    <n v="3000000"/>
    <x v="28"/>
  </r>
  <r>
    <n v="2026"/>
    <n v="7"/>
    <s v="31-07-2026"/>
    <n v="8578"/>
    <s v="1111-01"/>
    <n v="5000000"/>
    <n v="0"/>
    <s v="Pago dividendo"/>
    <n v="5000000"/>
    <s v="Activo"/>
    <n v="5000000"/>
    <x v="28"/>
  </r>
  <r>
    <n v="2026"/>
    <n v="7"/>
    <s v="31-07-2026"/>
    <n v="8579"/>
    <s v="1111-01"/>
    <n v="5000000"/>
    <n v="0"/>
    <s v="Pago dividendo"/>
    <n v="5000000"/>
    <s v="Activo"/>
    <n v="5000000"/>
    <x v="28"/>
  </r>
  <r>
    <n v="2026"/>
    <n v="7"/>
    <s v="31-07-2026"/>
    <n v="8580"/>
    <s v="1111-01"/>
    <n v="5000000"/>
    <n v="0"/>
    <s v="Pago dividendo"/>
    <n v="5000000"/>
    <s v="Activo"/>
    <n v="5000000"/>
    <x v="28"/>
  </r>
  <r>
    <n v="2026"/>
    <n v="7"/>
    <s v="31-07-2026"/>
    <n v="8582"/>
    <s v="1111-01"/>
    <n v="3803933"/>
    <n v="0"/>
    <s v="Pago dividendo"/>
    <n v="3803933"/>
    <s v="Activo"/>
    <n v="3803933"/>
    <x v="28"/>
  </r>
  <r>
    <n v="2026"/>
    <n v="1"/>
    <s v="01-01-2026"/>
    <n v="9827"/>
    <s v="1111-03"/>
    <n v="11943864"/>
    <n v="0"/>
    <s v=""/>
    <n v="11943864"/>
    <s v="Activo"/>
    <n v="11943864"/>
    <x v="29"/>
  </r>
  <r>
    <n v="2026"/>
    <n v="1"/>
    <s v="01-01-2026"/>
    <n v="9827"/>
    <s v="1111-04"/>
    <n v="7743881"/>
    <n v="0"/>
    <s v=""/>
    <n v="7743881"/>
    <s v="Activo"/>
    <n v="7743881"/>
    <x v="30"/>
  </r>
  <r>
    <n v="2026"/>
    <n v="1"/>
    <s v="01-01-2026"/>
    <n v="9827"/>
    <s v="1204-01"/>
    <n v="36387014"/>
    <n v="0"/>
    <s v=""/>
    <n v="36387014"/>
    <s v="Activo"/>
    <n v="36387014"/>
    <x v="31"/>
  </r>
  <r>
    <n v="2026"/>
    <n v="1"/>
    <s v="01-01-2026"/>
    <n v="9827"/>
    <s v="1205-01"/>
    <n v="3001682"/>
    <n v="0"/>
    <s v=""/>
    <n v="3001682"/>
    <s v="Activo"/>
    <n v="3001682"/>
    <x v="32"/>
  </r>
  <r>
    <n v="2026"/>
    <n v="2"/>
    <s v="28-02-2026"/>
    <n v="9815"/>
    <s v="1205-01"/>
    <n v="327705"/>
    <n v="0"/>
    <s v="Centralización compras febrero 2026 - valor neto"/>
    <n v="327705"/>
    <s v="Activo"/>
    <n v="327705"/>
    <x v="32"/>
  </r>
  <r>
    <n v="2026"/>
    <n v="1"/>
    <s v="01-01-2026"/>
    <n v="9827"/>
    <s v="1205-02"/>
    <n v="690313605"/>
    <n v="0"/>
    <s v=""/>
    <n v="690313605"/>
    <s v="Activo"/>
    <n v="690313605"/>
    <x v="33"/>
  </r>
  <r>
    <n v="2026"/>
    <n v="1"/>
    <s v="31-01-2026"/>
    <n v="9814"/>
    <s v="1205-02"/>
    <n v="1840000"/>
    <n v="0"/>
    <s v="Centralización compras enero 2026 - valor neto"/>
    <n v="1840000"/>
    <s v="Activo"/>
    <n v="1840000"/>
    <x v="33"/>
  </r>
  <r>
    <n v="2026"/>
    <n v="2"/>
    <s v="28-02-2026"/>
    <n v="9815"/>
    <s v="1205-02"/>
    <n v="21499235"/>
    <n v="0"/>
    <s v="Centralización compras febrero 2026 - valor neto"/>
    <n v="21499235"/>
    <s v="Activo"/>
    <n v="21499235"/>
    <x v="33"/>
  </r>
  <r>
    <n v="2026"/>
    <n v="3"/>
    <s v="31-03-2026"/>
    <n v="10743"/>
    <s v="1205-02"/>
    <n v="2577434"/>
    <n v="0"/>
    <s v="Centralización compras marzo 2026 - valor neto"/>
    <n v="2577434"/>
    <s v="Activo"/>
    <n v="2577434"/>
    <x v="33"/>
  </r>
  <r>
    <n v="2026"/>
    <n v="3"/>
    <s v="31-03-2026"/>
    <n v="10753"/>
    <s v="1205-02"/>
    <n v="89396000"/>
    <n v="0"/>
    <s v="Centralización compras marzo 2026 - valor neto"/>
    <n v="89396000"/>
    <s v="Activo"/>
    <n v="89396000"/>
    <x v="33"/>
  </r>
  <r>
    <n v="2026"/>
    <n v="4"/>
    <s v="30-04-2026"/>
    <n v="10758"/>
    <s v="1205-02"/>
    <n v="55265672"/>
    <n v="0"/>
    <s v="Centralización compras abril 2026 - valor neto"/>
    <n v="55265672"/>
    <s v="Activo"/>
    <n v="55265672"/>
    <x v="33"/>
  </r>
  <r>
    <n v="2026"/>
    <n v="4"/>
    <s v="30-04-2026"/>
    <n v="10758"/>
    <s v="1205-02"/>
    <n v="0"/>
    <n v="53900000"/>
    <s v="Centralización compras abril 2026 - valor neto"/>
    <n v="-53900000"/>
    <s v="Activo"/>
    <n v="-53900000"/>
    <x v="33"/>
  </r>
  <r>
    <n v="2026"/>
    <n v="5"/>
    <s v="31-05-2026"/>
    <n v="10790"/>
    <s v="1205-02"/>
    <n v="7163300"/>
    <n v="0"/>
    <s v="Centralización compras mayo 2026 - valor neto"/>
    <n v="7163300"/>
    <s v="Activo"/>
    <n v="7163300"/>
    <x v="33"/>
  </r>
  <r>
    <n v="2026"/>
    <n v="5"/>
    <s v="31-05-2026"/>
    <n v="10790"/>
    <s v="1205-02"/>
    <n v="0"/>
    <n v="3332900"/>
    <s v="Centralización compras mayo 2026 - valor neto"/>
    <n v="-3332900"/>
    <s v="Activo"/>
    <n v="-3332900"/>
    <x v="33"/>
  </r>
  <r>
    <n v="2026"/>
    <n v="6"/>
    <s v="30-06-2026"/>
    <n v="10798"/>
    <s v="1205-02"/>
    <n v="7711500"/>
    <n v="0"/>
    <s v="Centralización compras junio 2026 - valor neto"/>
    <n v="7711500"/>
    <s v="Activo"/>
    <n v="7711500"/>
    <x v="33"/>
  </r>
  <r>
    <n v="2026"/>
    <n v="7"/>
    <s v="31-07-2026"/>
    <n v="10852"/>
    <s v="1205-02"/>
    <n v="7996567"/>
    <n v="0"/>
    <s v="Centralización compras julio 2026 - valor neto"/>
    <n v="7996567"/>
    <s v="Activo"/>
    <n v="7996567"/>
    <x v="33"/>
  </r>
  <r>
    <n v="2026"/>
    <n v="1"/>
    <s v="01-01-2026"/>
    <n v="9827"/>
    <s v="1205-03"/>
    <n v="32139480"/>
    <n v="0"/>
    <s v=""/>
    <n v="32139480"/>
    <s v="Activo"/>
    <n v="32139480"/>
    <x v="34"/>
  </r>
  <r>
    <n v="2026"/>
    <n v="1"/>
    <s v="01-01-2026"/>
    <n v="9827"/>
    <s v="1205-04"/>
    <n v="201019063"/>
    <n v="0"/>
    <s v=""/>
    <n v="201019063"/>
    <s v="Activo"/>
    <n v="201019063"/>
    <x v="35"/>
  </r>
  <r>
    <n v="2026"/>
    <n v="1"/>
    <s v="01-01-2026"/>
    <n v="9827"/>
    <s v="1205-05"/>
    <n v="4982523"/>
    <n v="0"/>
    <s v=""/>
    <n v="4982523"/>
    <s v="Activo"/>
    <n v="4982523"/>
    <x v="36"/>
  </r>
  <r>
    <n v="2026"/>
    <n v="1"/>
    <s v="31-01-2026"/>
    <n v="9814"/>
    <s v="1205-05"/>
    <n v="1276986"/>
    <n v="0"/>
    <s v="Centralización compras enero 2026 - valor neto"/>
    <n v="1276986"/>
    <s v="Activo"/>
    <n v="1276986"/>
    <x v="36"/>
  </r>
  <r>
    <n v="2026"/>
    <n v="2"/>
    <s v="28-02-2026"/>
    <n v="9815"/>
    <s v="1205-05"/>
    <n v="628185"/>
    <n v="0"/>
    <s v="Centralización compras febrero 2026 - valor neto"/>
    <n v="628185"/>
    <s v="Activo"/>
    <n v="628185"/>
    <x v="36"/>
  </r>
  <r>
    <n v="2026"/>
    <n v="3"/>
    <s v="31-03-2026"/>
    <n v="10753"/>
    <s v="1205-05"/>
    <n v="842760"/>
    <n v="0"/>
    <s v="Centralización compras marzo 2026 - valor neto"/>
    <n v="842760"/>
    <s v="Activo"/>
    <n v="842760"/>
    <x v="36"/>
  </r>
  <r>
    <n v="2026"/>
    <n v="4"/>
    <s v="30-04-2026"/>
    <n v="10758"/>
    <s v="1205-05"/>
    <n v="10622"/>
    <n v="0"/>
    <s v="Centralización compras abril 2026 - valor neto"/>
    <n v="10622"/>
    <s v="Activo"/>
    <n v="10622"/>
    <x v="36"/>
  </r>
  <r>
    <n v="2026"/>
    <n v="5"/>
    <s v="31-05-2026"/>
    <n v="10790"/>
    <s v="1205-05"/>
    <n v="8558230"/>
    <n v="0"/>
    <s v="Centralización compras mayo 2026 - valor neto"/>
    <n v="8558230"/>
    <s v="Activo"/>
    <n v="8558230"/>
    <x v="36"/>
  </r>
  <r>
    <n v="2026"/>
    <n v="6"/>
    <s v="30-06-2026"/>
    <n v="10798"/>
    <s v="1205-05"/>
    <n v="5821128"/>
    <n v="0"/>
    <s v="Centralización compras junio 2026 - valor neto"/>
    <n v="5821128"/>
    <s v="Activo"/>
    <n v="5821128"/>
    <x v="36"/>
  </r>
  <r>
    <n v="2026"/>
    <n v="7"/>
    <s v="31-07-2026"/>
    <n v="10852"/>
    <s v="1205-05"/>
    <n v="631096"/>
    <n v="0"/>
    <s v="Centralización compras julio 2026 - valor neto"/>
    <n v="631096"/>
    <s v="Activo"/>
    <n v="631096"/>
    <x v="36"/>
  </r>
  <r>
    <n v="2026"/>
    <n v="1"/>
    <s v="01-01-2026"/>
    <n v="9827"/>
    <s v="1207-02"/>
    <n v="0"/>
    <n v="150546141"/>
    <s v=""/>
    <n v="-150546141"/>
    <s v="Activo"/>
    <n v="-150546141"/>
    <x v="37"/>
  </r>
  <r>
    <n v="2026"/>
    <n v="1"/>
    <s v="31-01-2026"/>
    <n v="9826"/>
    <s v="1207-02"/>
    <n v="0"/>
    <n v="6947590"/>
    <s v="Depreciación al 31-01-2026"/>
    <n v="-6947590"/>
    <s v="Activo"/>
    <n v="-6947590"/>
    <x v="37"/>
  </r>
  <r>
    <n v="2026"/>
    <n v="2"/>
    <s v="28-02-2026"/>
    <n v="10598"/>
    <s v="1207-02"/>
    <n v="0"/>
    <n v="7041069"/>
    <s v="Depreciacion al 28-02-2026"/>
    <n v="-7041069"/>
    <s v="Activo"/>
    <n v="-7041069"/>
    <x v="37"/>
  </r>
  <r>
    <n v="2026"/>
    <n v="3"/>
    <s v="31-03-2026"/>
    <n v="10752"/>
    <s v="1207-02"/>
    <n v="0"/>
    <n v="7148229"/>
    <s v="Depreciacion al 31-03-2026"/>
    <n v="-7148229"/>
    <s v="Activo"/>
    <n v="-7148229"/>
    <x v="37"/>
  </r>
  <r>
    <n v="2026"/>
    <n v="4"/>
    <s v="30-04-2026"/>
    <n v="10776"/>
    <s v="1207-02"/>
    <n v="0"/>
    <n v="8160910"/>
    <s v="Depreciación al 30-04-2026"/>
    <n v="-8160910"/>
    <s v="Activo"/>
    <n v="-8160910"/>
    <x v="37"/>
  </r>
  <r>
    <n v="2026"/>
    <n v="5"/>
    <s v="31-05-2026"/>
    <n v="10789"/>
    <s v="1207-02"/>
    <n v="0"/>
    <n v="9678276"/>
    <s v="Depreciacion al 31-05-2026"/>
    <n v="-9678276"/>
    <s v="Activo"/>
    <n v="-9678276"/>
    <x v="37"/>
  </r>
  <r>
    <n v="2026"/>
    <n v="6"/>
    <s v="30-06-2026"/>
    <n v="10803"/>
    <s v="1207-02"/>
    <n v="0"/>
    <n v="8000759"/>
    <s v="Depreciacion al 30-06-2026"/>
    <n v="-8000759"/>
    <s v="Activo"/>
    <n v="-8000759"/>
    <x v="37"/>
  </r>
  <r>
    <n v="2026"/>
    <n v="7"/>
    <s v="31-07-2026"/>
    <n v="12634"/>
    <s v="1207-02"/>
    <n v="0"/>
    <n v="8013147"/>
    <s v="Depreciacion al 31-07-2026"/>
    <n v="-8013147"/>
    <s v="Activo"/>
    <n v="-8013147"/>
    <x v="37"/>
  </r>
  <r>
    <n v="2026"/>
    <n v="1"/>
    <s v="01-01-2026"/>
    <n v="9827"/>
    <s v="1207-03"/>
    <n v="0"/>
    <n v="12850776"/>
    <s v=""/>
    <n v="-12850776"/>
    <s v="Activo"/>
    <n v="-12850776"/>
    <x v="38"/>
  </r>
  <r>
    <n v="2026"/>
    <n v="1"/>
    <s v="31-01-2026"/>
    <n v="9826"/>
    <s v="1207-03"/>
    <n v="0"/>
    <n v="476907"/>
    <s v="Depreciación al 31-01-2026"/>
    <n v="-476907"/>
    <s v="Activo"/>
    <n v="-476907"/>
    <x v="38"/>
  </r>
  <r>
    <n v="2026"/>
    <n v="2"/>
    <s v="28-02-2026"/>
    <n v="10598"/>
    <s v="1207-03"/>
    <n v="0"/>
    <n v="476907"/>
    <s v="Depreciacion al 28-02-2026"/>
    <n v="-476907"/>
    <s v="Activo"/>
    <n v="-476907"/>
    <x v="38"/>
  </r>
  <r>
    <n v="2026"/>
    <n v="3"/>
    <s v="31-03-2026"/>
    <n v="10752"/>
    <s v="1207-03"/>
    <n v="0"/>
    <n v="476907"/>
    <s v="Depreciacion al 31-03-2026"/>
    <n v="-476907"/>
    <s v="Activo"/>
    <n v="-476907"/>
    <x v="38"/>
  </r>
  <r>
    <n v="2026"/>
    <n v="4"/>
    <s v="30-04-2026"/>
    <n v="10776"/>
    <s v="1207-03"/>
    <n v="0"/>
    <n v="476907"/>
    <s v="Depreciación al 30-04-2026"/>
    <n v="-476907"/>
    <s v="Activo"/>
    <n v="-476907"/>
    <x v="38"/>
  </r>
  <r>
    <n v="2026"/>
    <n v="5"/>
    <s v="31-05-2026"/>
    <n v="10789"/>
    <s v="1207-03"/>
    <n v="0"/>
    <n v="476907"/>
    <s v="Depreciacion al 31-05-2026"/>
    <n v="-476907"/>
    <s v="Activo"/>
    <n v="-476907"/>
    <x v="38"/>
  </r>
  <r>
    <n v="2026"/>
    <n v="6"/>
    <s v="30-06-2026"/>
    <n v="10803"/>
    <s v="1207-03"/>
    <n v="0"/>
    <n v="476907"/>
    <s v="Depreciacion al 30-06-2026"/>
    <n v="-476907"/>
    <s v="Activo"/>
    <n v="-476907"/>
    <x v="38"/>
  </r>
  <r>
    <n v="2026"/>
    <n v="7"/>
    <s v="31-07-2026"/>
    <n v="12634"/>
    <s v="1207-03"/>
    <n v="0"/>
    <n v="476907"/>
    <s v="Depreciacion al 31-07-2026"/>
    <n v="-476907"/>
    <s v="Activo"/>
    <n v="-476907"/>
    <x v="38"/>
  </r>
  <r>
    <n v="2026"/>
    <n v="1"/>
    <s v="01-01-2026"/>
    <n v="9827"/>
    <s v="1207-04"/>
    <n v="0"/>
    <n v="22862313"/>
    <s v=""/>
    <n v="-22862313"/>
    <s v="Activo"/>
    <n v="-22862313"/>
    <x v="39"/>
  </r>
  <r>
    <n v="2026"/>
    <n v="1"/>
    <s v="31-01-2026"/>
    <n v="9826"/>
    <s v="1207-04"/>
    <n v="0"/>
    <n v="1680724"/>
    <s v="Depreciación al 31-01-2026"/>
    <n v="-1680724"/>
    <s v="Activo"/>
    <n v="-1680724"/>
    <x v="39"/>
  </r>
  <r>
    <n v="2026"/>
    <n v="2"/>
    <s v="28-02-2026"/>
    <n v="10598"/>
    <s v="1207-04"/>
    <n v="0"/>
    <n v="1680724"/>
    <s v="Depreciacion al 28-02-2026"/>
    <n v="-1680724"/>
    <s v="Activo"/>
    <n v="-1680724"/>
    <x v="39"/>
  </r>
  <r>
    <n v="2026"/>
    <n v="3"/>
    <s v="31-03-2026"/>
    <n v="10752"/>
    <s v="1207-04"/>
    <n v="0"/>
    <n v="1680724"/>
    <s v="Depreciacion al 31-03-2026"/>
    <n v="-1680724"/>
    <s v="Activo"/>
    <n v="-1680724"/>
    <x v="39"/>
  </r>
  <r>
    <n v="2026"/>
    <n v="4"/>
    <s v="30-04-2026"/>
    <n v="10776"/>
    <s v="1207-04"/>
    <n v="0"/>
    <n v="1680724"/>
    <s v="Depreciación al 30-04-2026"/>
    <n v="-1680724"/>
    <s v="Activo"/>
    <n v="-1680724"/>
    <x v="39"/>
  </r>
  <r>
    <n v="2026"/>
    <n v="5"/>
    <s v="31-05-2026"/>
    <n v="10789"/>
    <s v="1207-04"/>
    <n v="0"/>
    <n v="1680724"/>
    <s v="Depreciacion al 31-05-2026"/>
    <n v="-1680724"/>
    <s v="Activo"/>
    <n v="-1680724"/>
    <x v="39"/>
  </r>
  <r>
    <n v="2026"/>
    <n v="6"/>
    <s v="30-06-2026"/>
    <n v="10803"/>
    <s v="1207-04"/>
    <n v="0"/>
    <n v="1680724"/>
    <s v="Depreciacion al 30-06-2026"/>
    <n v="-1680724"/>
    <s v="Activo"/>
    <n v="-1680724"/>
    <x v="39"/>
  </r>
  <r>
    <n v="2026"/>
    <n v="7"/>
    <s v="31-07-2026"/>
    <n v="12634"/>
    <s v="1207-04"/>
    <n v="0"/>
    <n v="1680724"/>
    <s v="Depreciacion al 31-07-2026"/>
    <n v="-1680724"/>
    <s v="Activo"/>
    <n v="-1680724"/>
    <x v="39"/>
  </r>
  <r>
    <n v="2026"/>
    <n v="1"/>
    <s v="01-01-2026"/>
    <n v="9827"/>
    <s v="1207-05"/>
    <n v="0"/>
    <n v="9715166"/>
    <s v=""/>
    <n v="-9715166"/>
    <s v="Activo"/>
    <n v="-9715166"/>
    <x v="40"/>
  </r>
  <r>
    <n v="2026"/>
    <n v="1"/>
    <s v="31-01-2026"/>
    <n v="9826"/>
    <s v="1207-05"/>
    <n v="0"/>
    <n v="284239"/>
    <s v="Depreciación al 31-01-2026"/>
    <n v="-284239"/>
    <s v="Activo"/>
    <n v="-284239"/>
    <x v="40"/>
  </r>
  <r>
    <n v="2026"/>
    <n v="2"/>
    <s v="28-02-2026"/>
    <n v="10598"/>
    <s v="1207-05"/>
    <n v="0"/>
    <n v="284239"/>
    <s v="Depreciacion al 28-02-2026"/>
    <n v="-284239"/>
    <s v="Activo"/>
    <n v="-284239"/>
    <x v="40"/>
  </r>
  <r>
    <n v="2026"/>
    <n v="3"/>
    <s v="31-03-2026"/>
    <n v="10752"/>
    <s v="1207-05"/>
    <n v="0"/>
    <n v="284239"/>
    <s v="Depreciacion al 31-03-2026"/>
    <n v="-284239"/>
    <s v="Activo"/>
    <n v="-284239"/>
    <x v="40"/>
  </r>
  <r>
    <n v="2026"/>
    <n v="4"/>
    <s v="30-04-2026"/>
    <n v="10776"/>
    <s v="1207-05"/>
    <n v="0"/>
    <n v="284239"/>
    <s v="Depreciación al 30-04-2026"/>
    <n v="-284239"/>
    <s v="Activo"/>
    <n v="-284239"/>
    <x v="40"/>
  </r>
  <r>
    <n v="2026"/>
    <n v="5"/>
    <s v="31-05-2026"/>
    <n v="10789"/>
    <s v="1207-05"/>
    <n v="0"/>
    <n v="284239"/>
    <s v="Depreciacion al 31-05-2026"/>
    <n v="-284239"/>
    <s v="Activo"/>
    <n v="-284239"/>
    <x v="40"/>
  </r>
  <r>
    <n v="2026"/>
    <n v="6"/>
    <s v="30-06-2026"/>
    <n v="10803"/>
    <s v="1207-05"/>
    <n v="0"/>
    <n v="284239"/>
    <s v="Depreciacion al 30-06-2026"/>
    <n v="-284239"/>
    <s v="Activo"/>
    <n v="-284239"/>
    <x v="40"/>
  </r>
  <r>
    <n v="2026"/>
    <n v="7"/>
    <s v="31-07-2026"/>
    <n v="12634"/>
    <s v="1207-05"/>
    <n v="0"/>
    <n v="284239"/>
    <s v="Depreciacion al 31-07-2026"/>
    <n v="-284239"/>
    <s v="Activo"/>
    <n v="-284239"/>
    <x v="40"/>
  </r>
  <r>
    <n v="2026"/>
    <n v="1"/>
    <s v="01-01-2026"/>
    <n v="9827"/>
    <s v="1207-06"/>
    <n v="0"/>
    <n v="4933156"/>
    <s v=""/>
    <n v="-4933156"/>
    <s v="Activo"/>
    <n v="-4933156"/>
    <x v="41"/>
  </r>
  <r>
    <n v="2026"/>
    <n v="1"/>
    <s v="31-01-2026"/>
    <n v="9826"/>
    <s v="1207-06"/>
    <n v="0"/>
    <n v="232440"/>
    <s v="Depreciación al 31-01-2026"/>
    <n v="-232440"/>
    <s v="Activo"/>
    <n v="-232440"/>
    <x v="41"/>
  </r>
  <r>
    <n v="2026"/>
    <n v="2"/>
    <s v="28-02-2026"/>
    <n v="10598"/>
    <s v="1207-06"/>
    <n v="0"/>
    <n v="232440"/>
    <s v="Depreciacion al 28-02-2026"/>
    <n v="-232440"/>
    <s v="Activo"/>
    <n v="-232440"/>
    <x v="41"/>
  </r>
  <r>
    <n v="2026"/>
    <n v="3"/>
    <s v="31-03-2026"/>
    <n v="10752"/>
    <s v="1207-06"/>
    <n v="0"/>
    <n v="232440"/>
    <s v="Depreciacion al 31-03-2026"/>
    <n v="-232440"/>
    <s v="Activo"/>
    <n v="-232440"/>
    <x v="41"/>
  </r>
  <r>
    <n v="2026"/>
    <n v="4"/>
    <s v="30-04-2026"/>
    <n v="10776"/>
    <s v="1207-06"/>
    <n v="0"/>
    <n v="232440"/>
    <s v="Depreciación al 30-04-2026"/>
    <n v="-232440"/>
    <s v="Activo"/>
    <n v="-232440"/>
    <x v="41"/>
  </r>
  <r>
    <n v="2026"/>
    <n v="5"/>
    <s v="31-05-2026"/>
    <n v="10789"/>
    <s v="1207-06"/>
    <n v="0"/>
    <n v="232440"/>
    <s v="Depreciacion al 31-05-2026"/>
    <n v="-232440"/>
    <s v="Activo"/>
    <n v="-232440"/>
    <x v="41"/>
  </r>
  <r>
    <n v="2026"/>
    <n v="6"/>
    <s v="30-06-2026"/>
    <n v="10803"/>
    <s v="1207-06"/>
    <n v="0"/>
    <n v="232440"/>
    <s v="Depreciacion al 30-06-2026"/>
    <n v="-232440"/>
    <s v="Activo"/>
    <n v="-232440"/>
    <x v="41"/>
  </r>
  <r>
    <n v="2026"/>
    <n v="7"/>
    <s v="31-07-2026"/>
    <n v="12634"/>
    <s v="1207-06"/>
    <n v="0"/>
    <n v="232440"/>
    <s v="Depreciacion al 31-07-2026"/>
    <n v="-232440"/>
    <s v="Activo"/>
    <n v="-232440"/>
    <x v="41"/>
  </r>
  <r>
    <n v="2026"/>
    <n v="1"/>
    <s v="01-01-2026"/>
    <n v="9827"/>
    <s v="1207-07"/>
    <n v="0"/>
    <n v="745433"/>
    <s v=""/>
    <n v="-745433"/>
    <s v="Activo"/>
    <n v="-745433"/>
    <x v="42"/>
  </r>
  <r>
    <n v="2026"/>
    <n v="1"/>
    <s v="31-01-2026"/>
    <n v="9826"/>
    <s v="1207-07"/>
    <n v="0"/>
    <n v="86938"/>
    <s v="Depreciación al 31-01-2026"/>
    <n v="-86938"/>
    <s v="Activo"/>
    <n v="-86938"/>
    <x v="42"/>
  </r>
  <r>
    <n v="2026"/>
    <n v="2"/>
    <s v="28-02-2026"/>
    <n v="10598"/>
    <s v="1207-07"/>
    <n v="0"/>
    <n v="95662"/>
    <s v="Depreciacion al 28-02-2026"/>
    <n v="-95662"/>
    <s v="Activo"/>
    <n v="-95662"/>
    <x v="42"/>
  </r>
  <r>
    <n v="2026"/>
    <n v="3"/>
    <s v="31-03-2026"/>
    <n v="10752"/>
    <s v="1207-07"/>
    <n v="0"/>
    <n v="107367"/>
    <s v="Depreciacion al 31-03-2026"/>
    <n v="-107367"/>
    <s v="Activo"/>
    <n v="-107367"/>
    <x v="42"/>
  </r>
  <r>
    <n v="2026"/>
    <n v="4"/>
    <s v="30-04-2026"/>
    <n v="10776"/>
    <s v="1207-07"/>
    <n v="0"/>
    <n v="107515"/>
    <s v="Depreciación al 30-04-2026"/>
    <n v="-107515"/>
    <s v="Activo"/>
    <n v="-107515"/>
    <x v="42"/>
  </r>
  <r>
    <n v="2026"/>
    <n v="5"/>
    <s v="31-05-2026"/>
    <n v="10789"/>
    <s v="1207-07"/>
    <n v="0"/>
    <n v="107515"/>
    <s v="Depreciacion al 31-05-2026"/>
    <n v="-107515"/>
    <s v="Activo"/>
    <n v="-107515"/>
    <x v="42"/>
  </r>
  <r>
    <n v="2026"/>
    <n v="6"/>
    <s v="30-06-2026"/>
    <n v="10803"/>
    <s v="1207-07"/>
    <n v="0"/>
    <n v="270589"/>
    <s v="Depreciacion al 30-06-2026"/>
    <n v="-270589"/>
    <s v="Activo"/>
    <n v="-270589"/>
    <x v="42"/>
  </r>
  <r>
    <n v="2026"/>
    <n v="7"/>
    <s v="31-07-2026"/>
    <n v="12634"/>
    <s v="1207-07"/>
    <n v="0"/>
    <n v="307228"/>
    <s v="Depreciacion al 31-07-2026"/>
    <n v="-307228"/>
    <s v="Activo"/>
    <n v="-307228"/>
    <x v="42"/>
  </r>
  <r>
    <n v="2026"/>
    <n v="1"/>
    <s v="01-01-2026"/>
    <n v="9827"/>
    <s v="1207-08"/>
    <n v="0"/>
    <n v="142521"/>
    <s v=""/>
    <n v="-142521"/>
    <s v="Activo"/>
    <n v="-142521"/>
    <x v="43"/>
  </r>
  <r>
    <n v="2026"/>
    <n v="1"/>
    <s v="31-01-2026"/>
    <n v="9826"/>
    <s v="1207-08"/>
    <n v="0"/>
    <n v="16676"/>
    <s v="Depreciación al 31-01-2026"/>
    <n v="-16676"/>
    <s v="Activo"/>
    <n v="-16676"/>
    <x v="43"/>
  </r>
  <r>
    <n v="2026"/>
    <n v="2"/>
    <s v="28-02-2026"/>
    <n v="10598"/>
    <s v="1207-08"/>
    <n v="0"/>
    <n v="16676"/>
    <s v="Depreciacion al 28-02-2026"/>
    <n v="-16676"/>
    <s v="Activo"/>
    <n v="-16676"/>
    <x v="43"/>
  </r>
  <r>
    <n v="2026"/>
    <n v="3"/>
    <s v="31-03-2026"/>
    <n v="10752"/>
    <s v="1207-08"/>
    <n v="0"/>
    <n v="18634"/>
    <s v="Depreciacion al 31-03-2026"/>
    <n v="-18634"/>
    <s v="Activo"/>
    <n v="-18634"/>
    <x v="43"/>
  </r>
  <r>
    <n v="2026"/>
    <n v="4"/>
    <s v="30-04-2026"/>
    <n v="10776"/>
    <s v="1207-08"/>
    <n v="0"/>
    <n v="18634"/>
    <s v="Depreciación al 30-04-2026"/>
    <n v="-18634"/>
    <s v="Activo"/>
    <n v="-18634"/>
    <x v="43"/>
  </r>
  <r>
    <n v="2026"/>
    <n v="5"/>
    <s v="31-05-2026"/>
    <n v="10789"/>
    <s v="1207-08"/>
    <n v="0"/>
    <n v="18634"/>
    <s v="Depreciacion al 31-05-2026"/>
    <n v="-18634"/>
    <s v="Activo"/>
    <n v="-18634"/>
    <x v="43"/>
  </r>
  <r>
    <n v="2026"/>
    <n v="6"/>
    <s v="30-06-2026"/>
    <n v="10803"/>
    <s v="1207-08"/>
    <n v="0"/>
    <n v="18634"/>
    <s v="Depreciacion al 30-06-2026"/>
    <n v="-18634"/>
    <s v="Activo"/>
    <n v="-18634"/>
    <x v="43"/>
  </r>
  <r>
    <n v="2026"/>
    <n v="7"/>
    <s v="31-07-2026"/>
    <n v="12634"/>
    <s v="1207-08"/>
    <n v="0"/>
    <n v="18634"/>
    <s v="Depreciacion al 31-07-2026"/>
    <n v="-18634"/>
    <s v="Activo"/>
    <n v="-18634"/>
    <x v="43"/>
  </r>
  <r>
    <n v="2026"/>
    <n v="1"/>
    <s v="01-01-2026"/>
    <n v="9827"/>
    <s v="1209-01"/>
    <n v="12015107"/>
    <n v="0"/>
    <s v=""/>
    <n v="12015107"/>
    <s v="Activo"/>
    <n v="12015107"/>
    <x v="44"/>
  </r>
  <r>
    <n v="2026"/>
    <n v="3"/>
    <s v="31-03-2026"/>
    <n v="10753"/>
    <s v="1209-02"/>
    <n v="4950"/>
    <n v="0"/>
    <s v="Centralización compras marzo 2026 - valor neto"/>
    <n v="4950"/>
    <s v="Activo"/>
    <n v="4950"/>
    <x v="45"/>
  </r>
  <r>
    <n v="2026"/>
    <n v="1"/>
    <s v="01-01-2026"/>
    <n v="9827"/>
    <s v="1209-03"/>
    <n v="100296605"/>
    <n v="0"/>
    <s v=""/>
    <n v="100296605"/>
    <s v="Activo"/>
    <n v="100296605"/>
    <x v="46"/>
  </r>
  <r>
    <n v="2026"/>
    <n v="4"/>
    <s v="16-04-2026"/>
    <n v="7683"/>
    <s v="1209-03"/>
    <n v="1574905"/>
    <n v="0"/>
    <s v="Pago bdp tgr 23081224531"/>
    <n v="1574905"/>
    <s v="Activo"/>
    <n v="1574905"/>
    <x v="46"/>
  </r>
  <r>
    <n v="2026"/>
    <n v="4"/>
    <s v="22-04-2026"/>
    <n v="10773"/>
    <s v="1209-03"/>
    <n v="62306"/>
    <n v="0"/>
    <s v="Centralizacion tc 8107"/>
    <n v="62306"/>
    <s v="Activo"/>
    <n v="62306"/>
    <x v="46"/>
  </r>
  <r>
    <n v="2026"/>
    <n v="4"/>
    <s v="22-04-2026"/>
    <n v="10773"/>
    <s v="1209-03"/>
    <n v="197103"/>
    <n v="0"/>
    <s v="Centralizacion tc 8107"/>
    <n v="197103"/>
    <s v="Activo"/>
    <n v="197103"/>
    <x v="46"/>
  </r>
  <r>
    <n v="2026"/>
    <n v="5"/>
    <s v="25-05-2026"/>
    <n v="10786"/>
    <s v="1209-03"/>
    <n v="216048"/>
    <n v="0"/>
    <s v="Sii"/>
    <n v="216048"/>
    <s v="Activo"/>
    <n v="216048"/>
    <x v="46"/>
  </r>
  <r>
    <n v="2026"/>
    <n v="5"/>
    <s v="25-05-2026"/>
    <n v="10786"/>
    <s v="1209-03"/>
    <n v="62305"/>
    <n v="0"/>
    <s v="Sii"/>
    <n v="62305"/>
    <s v="Activo"/>
    <n v="62305"/>
    <x v="46"/>
  </r>
  <r>
    <n v="2026"/>
    <n v="1"/>
    <s v="01-01-2026"/>
    <n v="9827"/>
    <s v="1209-05"/>
    <n v="3111848"/>
    <n v="0"/>
    <s v=""/>
    <n v="3111848"/>
    <s v="Activo"/>
    <n v="3111848"/>
    <x v="47"/>
  </r>
  <r>
    <n v="2026"/>
    <n v="1"/>
    <s v="01-01-2026"/>
    <n v="9827"/>
    <s v="1901-01"/>
    <n v="2000000"/>
    <n v="0"/>
    <s v=""/>
    <n v="2000000"/>
    <s v="Activo"/>
    <n v="2000000"/>
    <x v="48"/>
  </r>
  <r>
    <n v="2026"/>
    <n v="2"/>
    <s v="19-02-2026"/>
    <n v="7106"/>
    <s v="1901-01"/>
    <n v="126845"/>
    <n v="0"/>
    <s v="Garantia licitacion"/>
    <n v="126845"/>
    <s v="Activo"/>
    <n v="126845"/>
    <x v="48"/>
  </r>
  <r>
    <n v="2026"/>
    <n v="1"/>
    <s v="01-01-2026"/>
    <n v="9827"/>
    <s v="2101-03"/>
    <n v="0"/>
    <n v="154076619"/>
    <s v=""/>
    <n v="-154076619"/>
    <s v="Pasivo"/>
    <n v="154076619"/>
    <x v="49"/>
  </r>
  <r>
    <n v="2026"/>
    <n v="1"/>
    <s v="05-01-2026"/>
    <n v="7098"/>
    <s v="2101-03"/>
    <n v="4426952"/>
    <n v="0"/>
    <s v="Pago cuota 0737 - tlink spa credito itau 60529874"/>
    <n v="4426952"/>
    <s v="Pasivo"/>
    <n v="-4426952"/>
    <x v="49"/>
  </r>
  <r>
    <n v="2026"/>
    <n v="2"/>
    <s v="03-02-2026"/>
    <n v="7100"/>
    <s v="2101-03"/>
    <n v="4583337"/>
    <n v="0"/>
    <s v="Pago cuota 837 - tlink spa credito itau 60529874"/>
    <n v="4583337"/>
    <s v="Pasivo"/>
    <n v="-4583337"/>
    <x v="49"/>
  </r>
  <r>
    <n v="2026"/>
    <n v="3"/>
    <s v="03-03-2026"/>
    <n v="7466"/>
    <s v="2101-03"/>
    <n v="4641713"/>
    <n v="0"/>
    <s v="Pago cuota 09-37 credito itau 60529874"/>
    <n v="4641713"/>
    <s v="Pasivo"/>
    <n v="-4641713"/>
    <x v="49"/>
  </r>
  <r>
    <n v="2026"/>
    <n v="4"/>
    <s v="06-04-2026"/>
    <n v="10767"/>
    <s v="2101-03"/>
    <n v="4580539"/>
    <n v="0"/>
    <s v="Pago cuota 10 de 37 - tlink spa credito itau 60529874"/>
    <n v="4580539"/>
    <s v="Pasivo"/>
    <n v="-4580539"/>
    <x v="49"/>
  </r>
  <r>
    <n v="2026"/>
    <n v="5"/>
    <s v="04-05-2026"/>
    <n v="7698"/>
    <s v="2101-03"/>
    <n v="4610358"/>
    <n v="0"/>
    <s v="Banco itau pago cuota 1137"/>
    <n v="4610358"/>
    <s v="Pasivo"/>
    <n v="-4610358"/>
    <x v="49"/>
  </r>
  <r>
    <n v="2026"/>
    <n v="6"/>
    <s v="03-06-2026"/>
    <n v="10799"/>
    <s v="2101-03"/>
    <n v="4667931"/>
    <n v="0"/>
    <s v="Pago cuota 1237 credito itau 60529874"/>
    <n v="4667931"/>
    <s v="Pasivo"/>
    <n v="-4667931"/>
    <x v="49"/>
  </r>
  <r>
    <n v="2026"/>
    <n v="7"/>
    <s v="03-07-2026"/>
    <n v="8660"/>
    <s v="2101-03"/>
    <n v="5494703"/>
    <n v="0"/>
    <s v="Pago cuota 1337 credito itau 60529874"/>
    <n v="5494703"/>
    <s v="Pasivo"/>
    <n v="-5494703"/>
    <x v="49"/>
  </r>
  <r>
    <n v="2026"/>
    <n v="1"/>
    <s v="01-01-2026"/>
    <n v="9827"/>
    <s v="2101-05"/>
    <n v="0"/>
    <n v="12383535"/>
    <s v=""/>
    <n v="-12383535"/>
    <s v="Pasivo"/>
    <n v="12383535"/>
    <x v="50"/>
  </r>
  <r>
    <n v="2026"/>
    <n v="1"/>
    <s v="12-01-2026"/>
    <n v="7010"/>
    <s v="2101-05"/>
    <n v="1506310"/>
    <n v="0"/>
    <s v="Pago cuota crédito n 420021082928 cuota 54"/>
    <n v="1506310"/>
    <s v="Pasivo"/>
    <n v="-1506310"/>
    <x v="50"/>
  </r>
  <r>
    <n v="2026"/>
    <n v="2"/>
    <s v="10-02-2026"/>
    <n v="7168"/>
    <s v="2101-05"/>
    <n v="1526196"/>
    <n v="0"/>
    <s v="Pago cuota crédito n 420021082928"/>
    <n v="1526196"/>
    <s v="Pasivo"/>
    <n v="-1526196"/>
    <x v="50"/>
  </r>
  <r>
    <n v="2026"/>
    <n v="3"/>
    <s v="10-03-2026"/>
    <n v="7361"/>
    <s v="2101-05"/>
    <n v="1537633"/>
    <n v="0"/>
    <s v="Pago cuota 56-61 credito santander 350401420021082928"/>
    <n v="1537633"/>
    <s v="Pasivo"/>
    <n v="-1537633"/>
    <x v="50"/>
  </r>
  <r>
    <n v="2026"/>
    <n v="4"/>
    <s v="10-04-2026"/>
    <n v="7576"/>
    <s v="2101-05"/>
    <n v="1541817"/>
    <n v="0"/>
    <s v="Pago cuota crédito n 420021082928"/>
    <n v="1541817"/>
    <s v="Pasivo"/>
    <n v="-1541817"/>
    <x v="50"/>
  </r>
  <r>
    <n v="2026"/>
    <n v="5"/>
    <s v="11-05-2026"/>
    <n v="7773"/>
    <s v="2101-05"/>
    <n v="1552014"/>
    <n v="0"/>
    <s v="Pago cuota crédito n 420021082928"/>
    <n v="1552014"/>
    <s v="Pasivo"/>
    <n v="-1552014"/>
    <x v="50"/>
  </r>
  <r>
    <n v="2026"/>
    <n v="6"/>
    <s v="10-06-2026"/>
    <n v="7906"/>
    <s v="2101-05"/>
    <n v="1563285"/>
    <n v="0"/>
    <s v="Pago cuota crédito n 420021082928"/>
    <n v="1563285"/>
    <s v="Pasivo"/>
    <n v="-1563285"/>
    <x v="50"/>
  </r>
  <r>
    <n v="2026"/>
    <n v="7"/>
    <s v="10-07-2026"/>
    <n v="8481"/>
    <s v="2101-05"/>
    <n v="1563285"/>
    <n v="0"/>
    <s v="Pago cuota crédito n 420021082928"/>
    <n v="1563285"/>
    <s v="Pasivo"/>
    <n v="-1563285"/>
    <x v="50"/>
  </r>
  <r>
    <n v="2026"/>
    <n v="1"/>
    <s v="01-01-2026"/>
    <n v="9827"/>
    <s v="2101-08"/>
    <n v="0"/>
    <n v="29270578"/>
    <s v=""/>
    <n v="-29270578"/>
    <s v="Pasivo"/>
    <n v="29270578"/>
    <x v="51"/>
  </r>
  <r>
    <n v="2026"/>
    <n v="1"/>
    <s v="05-01-2026"/>
    <n v="6915"/>
    <s v="2101-08"/>
    <n v="1487187"/>
    <n v="0"/>
    <s v="Pago credito pac cuota 43 n00033349988"/>
    <n v="1487187"/>
    <s v="Pasivo"/>
    <n v="-1487187"/>
    <x v="51"/>
  </r>
  <r>
    <n v="2026"/>
    <n v="2"/>
    <s v="05-02-2026"/>
    <n v="7304"/>
    <s v="2101-08"/>
    <n v="1502297"/>
    <n v="0"/>
    <s v="Pago cuota 44-60  prestamo banco estado n00033349988"/>
    <n v="1502297"/>
    <s v="Pasivo"/>
    <n v="-1502297"/>
    <x v="51"/>
  </r>
  <r>
    <n v="2026"/>
    <n v="3"/>
    <s v="05-03-2026"/>
    <n v="7478"/>
    <s v="2101-08"/>
    <n v="1543406"/>
    <n v="0"/>
    <s v="Pago cuota 45-60 -prestamo banco estado n00033349988"/>
    <n v="1543406"/>
    <s v="Pasivo"/>
    <n v="-1543406"/>
    <x v="51"/>
  </r>
  <r>
    <n v="2026"/>
    <n v="4"/>
    <s v="06-04-2026"/>
    <n v="7691"/>
    <s v="2101-08"/>
    <n v="1525137"/>
    <n v="0"/>
    <s v="Pago cuota 46 de 60 - tlink spa prestamo banco estado n00033349988"/>
    <n v="1525137"/>
    <s v="Pasivo"/>
    <n v="-1525137"/>
    <x v="51"/>
  </r>
  <r>
    <n v="2026"/>
    <n v="5"/>
    <s v="05-05-2026"/>
    <n v="7863"/>
    <s v="2101-08"/>
    <n v="1563960"/>
    <n v="0"/>
    <s v="Pac credito cuota 47 de 60"/>
    <n v="1563960"/>
    <s v="Pasivo"/>
    <n v="-1563960"/>
    <x v="51"/>
  </r>
  <r>
    <n v="2026"/>
    <n v="6"/>
    <s v="05-06-2026"/>
    <n v="7893"/>
    <s v="2101-08"/>
    <n v="1564634"/>
    <n v="0"/>
    <s v="Pac credito cuota 48 de 60"/>
    <n v="1564634"/>
    <s v="Pasivo"/>
    <n v="-1564634"/>
    <x v="51"/>
  </r>
  <r>
    <n v="2026"/>
    <n v="7"/>
    <s v="06-07-2026"/>
    <n v="8439"/>
    <s v="2101-08"/>
    <n v="1580532"/>
    <n v="0"/>
    <s v="Pac credito cuota 49 de 60"/>
    <n v="1580532"/>
    <s v="Pasivo"/>
    <n v="-1580532"/>
    <x v="51"/>
  </r>
  <r>
    <n v="2026"/>
    <n v="1"/>
    <s v="01-01-2026"/>
    <n v="9827"/>
    <s v="2101-09"/>
    <n v="0"/>
    <n v="55784562"/>
    <s v=""/>
    <n v="-55784562"/>
    <s v="Pasivo"/>
    <n v="55784562"/>
    <x v="52"/>
  </r>
  <r>
    <n v="2026"/>
    <n v="1"/>
    <s v="12-01-2026"/>
    <n v="7009"/>
    <s v="2101-09"/>
    <n v="1352148"/>
    <n v="0"/>
    <s v="Pago cuota crédito n 420022371370 cuota 24"/>
    <n v="1352148"/>
    <s v="Pasivo"/>
    <n v="-1352148"/>
    <x v="52"/>
  </r>
  <r>
    <n v="2026"/>
    <n v="2"/>
    <s v="11-02-2026"/>
    <n v="7180"/>
    <s v="2101-09"/>
    <n v="1409927"/>
    <n v="0"/>
    <s v="Pago cuota crédito n 420022371370"/>
    <n v="1409927"/>
    <s v="Pasivo"/>
    <n v="-1409927"/>
    <x v="52"/>
  </r>
  <r>
    <n v="2026"/>
    <n v="3"/>
    <s v="10-03-2026"/>
    <n v="7359"/>
    <s v="2101-09"/>
    <n v="1322682"/>
    <n v="0"/>
    <s v="Pago cuota 26-57 credito santader 00350175420022371370"/>
    <n v="1322682"/>
    <s v="Pasivo"/>
    <n v="-1322682"/>
    <x v="52"/>
  </r>
  <r>
    <n v="2026"/>
    <n v="4"/>
    <s v="13-04-2026"/>
    <n v="7589"/>
    <s v="2101-09"/>
    <n v="1439512"/>
    <n v="0"/>
    <s v="Pago cuota crédito n 420022371370"/>
    <n v="1439512"/>
    <s v="Pasivo"/>
    <n v="-1439512"/>
    <x v="52"/>
  </r>
  <r>
    <n v="2026"/>
    <n v="5"/>
    <s v="11-05-2026"/>
    <n v="7772"/>
    <s v="2101-09"/>
    <n v="1396796"/>
    <n v="0"/>
    <s v="Pago cuota crédito n 420022371370"/>
    <n v="1396796"/>
    <s v="Pasivo"/>
    <n v="-1396796"/>
    <x v="52"/>
  </r>
  <r>
    <n v="2026"/>
    <n v="6"/>
    <s v="11-06-2026"/>
    <n v="7904"/>
    <s v="2101-09"/>
    <n v="1394645"/>
    <n v="0"/>
    <s v="Pago cuota crédito n 420022371370"/>
    <n v="1394645"/>
    <s v="Pasivo"/>
    <n v="-1394645"/>
    <x v="52"/>
  </r>
  <r>
    <n v="2026"/>
    <n v="7"/>
    <s v="13-07-2026"/>
    <n v="8508"/>
    <s v="2101-09"/>
    <n v="1466965"/>
    <n v="0"/>
    <s v="Pago cuota crédito n 420022371370"/>
    <n v="1466965"/>
    <s v="Pasivo"/>
    <n v="-1466965"/>
    <x v="52"/>
  </r>
  <r>
    <n v="2026"/>
    <n v="1"/>
    <s v="01-01-2026"/>
    <n v="9827"/>
    <s v="2101-10"/>
    <n v="0"/>
    <n v="19573493"/>
    <s v=""/>
    <n v="-19573493"/>
    <s v="Pasivo"/>
    <n v="19573493"/>
    <x v="53"/>
  </r>
  <r>
    <n v="2026"/>
    <n v="1"/>
    <s v="12-01-2026"/>
    <n v="6918"/>
    <s v="2101-10"/>
    <n v="1843826"/>
    <n v="0"/>
    <s v="Pago credito pac credito 00036361722 cuota 26"/>
    <n v="1843826"/>
    <s v="Pasivo"/>
    <n v="-1843826"/>
    <x v="53"/>
  </r>
  <r>
    <n v="2026"/>
    <n v="2"/>
    <s v="10-02-2026"/>
    <n v="7306"/>
    <s v="2101-10"/>
    <n v="1891700"/>
    <n v="0"/>
    <s v="Pago cuota 27- 35 credito estado 00036361722 pasivo"/>
    <n v="1891700"/>
    <s v="Pasivo"/>
    <n v="-1891700"/>
    <x v="53"/>
  </r>
  <r>
    <n v="2026"/>
    <n v="3"/>
    <s v="10-03-2026"/>
    <n v="7480"/>
    <s v="2101-10"/>
    <n v="1917387"/>
    <n v="0"/>
    <s v="Pago cuota 28-35 credito estado 00036361722"/>
    <n v="1917387"/>
    <s v="Pasivo"/>
    <n v="-1917387"/>
    <x v="53"/>
  </r>
  <r>
    <n v="2026"/>
    <n v="4"/>
    <s v="10-04-2026"/>
    <n v="7696"/>
    <s v="2101-10"/>
    <n v="1921720"/>
    <n v="0"/>
    <s v="Pago cuota 25 de 35 - tlink spa credito estado 00036361722"/>
    <n v="1921720"/>
    <s v="Pasivo"/>
    <n v="-1921720"/>
    <x v="53"/>
  </r>
  <r>
    <n v="2026"/>
    <n v="5"/>
    <s v="11-05-2026"/>
    <n v="7865"/>
    <s v="2101-10"/>
    <n v="1943365"/>
    <n v="0"/>
    <s v="Pago credito pac"/>
    <n v="1943365"/>
    <s v="Pasivo"/>
    <n v="-1943365"/>
    <x v="53"/>
  </r>
  <r>
    <n v="2026"/>
    <n v="6"/>
    <s v="10-06-2026"/>
    <n v="7890"/>
    <s v="2101-10"/>
    <n v="1968907"/>
    <n v="0"/>
    <s v="Pac credito cuota 31 de 35"/>
    <n v="1968907"/>
    <s v="Pasivo"/>
    <n v="-1968907"/>
    <x v="53"/>
  </r>
  <r>
    <n v="2026"/>
    <n v="7"/>
    <s v="13-07-2026"/>
    <n v="8434"/>
    <s v="2101-10"/>
    <n v="1990368"/>
    <n v="0"/>
    <s v="Pac credito cuota 32 de 35"/>
    <n v="1990368"/>
    <s v="Pasivo"/>
    <n v="-1990368"/>
    <x v="53"/>
  </r>
  <r>
    <n v="2026"/>
    <n v="1"/>
    <s v="01-01-2026"/>
    <n v="9827"/>
    <s v="2101-16"/>
    <n v="0"/>
    <n v="149786682"/>
    <s v=""/>
    <n v="-149786682"/>
    <s v="Pasivo"/>
    <n v="149786682"/>
    <x v="54"/>
  </r>
  <r>
    <n v="2026"/>
    <n v="1"/>
    <s v="21-01-2026"/>
    <n v="7066"/>
    <s v="2101-16"/>
    <n v="3240031"/>
    <n v="0"/>
    <s v="Pago cuota crédito n 420050694789 cuota 11"/>
    <n v="3240031"/>
    <s v="Pasivo"/>
    <n v="-3240031"/>
    <x v="54"/>
  </r>
  <r>
    <n v="2026"/>
    <n v="2"/>
    <s v="23-02-2026"/>
    <n v="7242"/>
    <s v="2101-16"/>
    <n v="3120177"/>
    <n v="0"/>
    <s v="Pago cuota crédito n 420050694789"/>
    <n v="3120177"/>
    <s v="Pasivo"/>
    <n v="-3120177"/>
    <x v="54"/>
  </r>
  <r>
    <n v="2026"/>
    <n v="3"/>
    <s v="23-03-2026"/>
    <n v="7438"/>
    <s v="2101-16"/>
    <n v="3407212"/>
    <n v="0"/>
    <s v="Pago cuota 13 - 48 credito santander 420050694789"/>
    <n v="3407212"/>
    <s v="Pasivo"/>
    <n v="-3407212"/>
    <x v="54"/>
  </r>
  <r>
    <n v="2026"/>
    <n v="4"/>
    <s v="21-04-2026"/>
    <n v="7638"/>
    <s v="2101-16"/>
    <n v="3391595"/>
    <n v="0"/>
    <s v="Pago cuota crédito n 420050694789"/>
    <n v="3391595"/>
    <s v="Pasivo"/>
    <n v="-3391595"/>
    <x v="54"/>
  </r>
  <r>
    <n v="2026"/>
    <n v="5"/>
    <s v="22-05-2026"/>
    <n v="7834"/>
    <s v="2101-16"/>
    <n v="3330381"/>
    <n v="0"/>
    <s v="Pago cuota crédito n 420050694789"/>
    <n v="3330381"/>
    <s v="Pasivo"/>
    <n v="-3330381"/>
    <x v="54"/>
  </r>
  <r>
    <n v="2026"/>
    <n v="6"/>
    <s v="23-06-2026"/>
    <n v="7905"/>
    <s v="2101-16"/>
    <n v="3366515"/>
    <n v="0"/>
    <s v="Pago cuota crédito n 420050694789"/>
    <n v="3366515"/>
    <s v="Pasivo"/>
    <n v="-3366515"/>
    <x v="54"/>
  </r>
  <r>
    <n v="2026"/>
    <n v="7"/>
    <s v="21-07-2026"/>
    <n v="8543"/>
    <s v="2101-16"/>
    <n v="3493994"/>
    <n v="0"/>
    <s v="Pago cuota crédito n 420050694789"/>
    <n v="3493994"/>
    <s v="Pasivo"/>
    <n v="-3493994"/>
    <x v="54"/>
  </r>
  <r>
    <n v="2026"/>
    <n v="1"/>
    <s v="01-01-2026"/>
    <n v="9827"/>
    <s v="2101-17"/>
    <n v="0"/>
    <n v="71557589"/>
    <s v=""/>
    <n v="-71557589"/>
    <s v="Pasivo"/>
    <n v="71557589"/>
    <x v="55"/>
  </r>
  <r>
    <n v="2026"/>
    <n v="1"/>
    <s v="05-01-2026"/>
    <n v="6916"/>
    <s v="2101-17"/>
    <n v="1117510"/>
    <n v="0"/>
    <s v="Pago credito pac credito n 38648612 cuota 9"/>
    <n v="1117510"/>
    <s v="Pasivo"/>
    <n v="-1117510"/>
    <x v="55"/>
  </r>
  <r>
    <n v="2026"/>
    <n v="2"/>
    <s v="05-02-2026"/>
    <n v="7305"/>
    <s v="2101-17"/>
    <n v="1127114"/>
    <n v="0"/>
    <s v="Pago cuota 10-59 credito estado 00038648612"/>
    <n v="1127114"/>
    <s v="Pasivo"/>
    <n v="-1127114"/>
    <x v="55"/>
  </r>
  <r>
    <n v="2026"/>
    <n v="3"/>
    <s v="05-03-2026"/>
    <n v="7477"/>
    <s v="2101-17"/>
    <n v="1194445"/>
    <n v="0"/>
    <s v="Pago cuota 11-59 credito estado 00038648612"/>
    <n v="1194445"/>
    <s v="Pasivo"/>
    <n v="-1194445"/>
    <x v="55"/>
  </r>
  <r>
    <n v="2026"/>
    <n v="4"/>
    <s v="06-04-2026"/>
    <n v="7692"/>
    <s v="2101-17"/>
    <n v="1128181"/>
    <n v="0"/>
    <s v="Pago cuota 12 de 59 - tlink spa credito estado 00038648612"/>
    <n v="1128181"/>
    <s v="Pasivo"/>
    <n v="-1128181"/>
    <x v="55"/>
  </r>
  <r>
    <n v="2026"/>
    <n v="5"/>
    <s v="05-05-2026"/>
    <n v="7862"/>
    <s v="2101-17"/>
    <n v="1193903"/>
    <n v="0"/>
    <s v="Pac credito cuota 13 de 59"/>
    <n v="1193903"/>
    <s v="Pasivo"/>
    <n v="-1193903"/>
    <x v="55"/>
  </r>
  <r>
    <n v="2026"/>
    <n v="6"/>
    <s v="05-06-2026"/>
    <n v="7892"/>
    <s v="2101-17"/>
    <n v="1167021"/>
    <n v="0"/>
    <s v="Pac credito cuota 14 de 59"/>
    <n v="1167021"/>
    <s v="Pasivo"/>
    <n v="-1167021"/>
    <x v="55"/>
  </r>
  <r>
    <n v="2026"/>
    <n v="7"/>
    <s v="06-07-2026"/>
    <n v="8438"/>
    <s v="2101-17"/>
    <n v="1177050"/>
    <n v="0"/>
    <s v="Pac credito cuota 15 de 59"/>
    <n v="1177050"/>
    <s v="Pasivo"/>
    <n v="-1177050"/>
    <x v="55"/>
  </r>
  <r>
    <n v="2026"/>
    <n v="2"/>
    <s v="24-02-2026"/>
    <n v="11097"/>
    <s v="2101-19"/>
    <n v="0"/>
    <n v="100000000"/>
    <s v="Otorg. crédito comercial n 420051"/>
    <n v="-100000000"/>
    <s v="Pasivo"/>
    <n v="100000000"/>
    <x v="56"/>
  </r>
  <r>
    <n v="2026"/>
    <n v="4"/>
    <s v="07-04-2026"/>
    <n v="7510"/>
    <s v="2101-19"/>
    <n v="1983533"/>
    <n v="0"/>
    <s v="Pago cuota crédito n 420051423355"/>
    <n v="1983533"/>
    <s v="Pasivo"/>
    <n v="-1983533"/>
    <x v="56"/>
  </r>
  <r>
    <n v="2026"/>
    <n v="5"/>
    <s v="07-05-2026"/>
    <n v="7722"/>
    <s v="2101-19"/>
    <n v="2382377"/>
    <n v="0"/>
    <s v="Pago cuota crédito n 420051423355"/>
    <n v="2382377"/>
    <s v="Pasivo"/>
    <n v="-2382377"/>
    <x v="56"/>
  </r>
  <r>
    <n v="2026"/>
    <n v="6"/>
    <s v="08-06-2026"/>
    <n v="7907"/>
    <s v="2101-19"/>
    <n v="2344441"/>
    <n v="0"/>
    <s v="Pago cuota crédito n 420051423355"/>
    <n v="2344441"/>
    <s v="Pasivo"/>
    <n v="-2344441"/>
    <x v="56"/>
  </r>
  <r>
    <n v="2026"/>
    <n v="7"/>
    <s v="06-07-2026"/>
    <n v="8449"/>
    <s v="2101-19"/>
    <n v="2456823"/>
    <n v="0"/>
    <s v="Pago cuota crédito n 420051423355"/>
    <n v="2456823"/>
    <s v="Pasivo"/>
    <n v="-2456823"/>
    <x v="56"/>
  </r>
  <r>
    <n v="2026"/>
    <n v="2"/>
    <s v="20-02-2026"/>
    <n v="10594"/>
    <s v="2101-20"/>
    <n v="0"/>
    <n v="100000000"/>
    <s v="Prestamo credito itau 60630876 "/>
    <n v="-100000000"/>
    <s v="Pasivo"/>
    <n v="100000000"/>
    <x v="57"/>
  </r>
  <r>
    <n v="2026"/>
    <n v="3"/>
    <s v="25-03-2026"/>
    <n v="7475"/>
    <s v="2101-20"/>
    <n v="2289382"/>
    <n v="0"/>
    <s v="Pago cuota 1-37 credito itau 60630876"/>
    <n v="2289382"/>
    <s v="Pasivo"/>
    <n v="-2289382"/>
    <x v="57"/>
  </r>
  <r>
    <n v="2026"/>
    <n v="4"/>
    <s v="27-04-2026"/>
    <n v="7687"/>
    <s v="2101-20"/>
    <n v="2308269"/>
    <n v="0"/>
    <s v="Pago cuota 0237 - tlink spa credito itau 60630876"/>
    <n v="2308269"/>
    <s v="Pasivo"/>
    <n v="-2308269"/>
    <x v="57"/>
  </r>
  <r>
    <n v="2026"/>
    <n v="5"/>
    <s v="25-05-2026"/>
    <n v="7703"/>
    <s v="2101-20"/>
    <n v="2446566"/>
    <n v="0"/>
    <s v="Pago cuota 337 - tlink spa credito itau 60630876 "/>
    <n v="2446566"/>
    <s v="Pasivo"/>
    <n v="-2446566"/>
    <x v="57"/>
  </r>
  <r>
    <n v="2026"/>
    <n v="6"/>
    <s v="30-06-2026"/>
    <n v="10801"/>
    <s v="2101-20"/>
    <n v="2393975"/>
    <n v="0"/>
    <s v="Pago cuota 0437 credito itau 60630876"/>
    <n v="2393975"/>
    <s v="Pasivo"/>
    <n v="-2393975"/>
    <x v="57"/>
  </r>
  <r>
    <n v="2026"/>
    <n v="7"/>
    <s v="27-07-2026"/>
    <n v="8663"/>
    <s v="2101-20"/>
    <n v="2389888"/>
    <n v="0"/>
    <s v="Cuota prestamo"/>
    <n v="2389888"/>
    <s v="Pasivo"/>
    <n v="-2389888"/>
    <x v="57"/>
  </r>
  <r>
    <n v="2026"/>
    <n v="5"/>
    <s v="18-05-2026"/>
    <n v="11948"/>
    <s v="2101-21"/>
    <n v="0"/>
    <n v="80000000"/>
    <s v="Credito otorgado n. 40424985"/>
    <n v="-80000000"/>
    <s v="Pasivo"/>
    <n v="80000000"/>
    <x v="58"/>
  </r>
  <r>
    <n v="2026"/>
    <n v="7"/>
    <s v="06-07-2026"/>
    <n v="8437"/>
    <s v="2101-21"/>
    <n v="1693645"/>
    <n v="0"/>
    <s v="Pac credito cuota 1"/>
    <n v="1693645"/>
    <s v="Pasivo"/>
    <n v="-1693645"/>
    <x v="58"/>
  </r>
  <r>
    <n v="2026"/>
    <n v="1"/>
    <s v="21-01-2026"/>
    <n v="7068"/>
    <s v="2105-02"/>
    <n v="200000"/>
    <n v="0"/>
    <s v="013473812k transf a diaz-valdes es"/>
    <n v="200000"/>
    <s v="Pasivo"/>
    <n v="-200000"/>
    <x v="59"/>
  </r>
  <r>
    <n v="2026"/>
    <n v="1"/>
    <s v="21-01-2026"/>
    <n v="10059"/>
    <s v="2105-02"/>
    <n v="0"/>
    <n v="200000"/>
    <s v="013473812k transf de patricio dani"/>
    <n v="-200000"/>
    <s v="Pasivo"/>
    <n v="200000"/>
    <x v="59"/>
  </r>
  <r>
    <n v="2026"/>
    <n v="1"/>
    <s v="31-01-2026"/>
    <n v="9812"/>
    <s v="2105-02"/>
    <n v="0"/>
    <n v="45516018"/>
    <s v="Centralizacion remuneraciones enero "/>
    <n v="-45516018"/>
    <s v="Pasivo"/>
    <n v="45516018"/>
    <x v="59"/>
  </r>
  <r>
    <n v="2026"/>
    <n v="2"/>
    <s v="03-02-2026"/>
    <n v="7113"/>
    <s v="2105-02"/>
    <n v="45516018"/>
    <n v="0"/>
    <s v="Remuneraciones enero 2026"/>
    <n v="45516018"/>
    <s v="Pasivo"/>
    <n v="-45516018"/>
    <x v="59"/>
  </r>
  <r>
    <n v="2026"/>
    <n v="2"/>
    <s v="28-02-2026"/>
    <n v="9813"/>
    <s v="2105-02"/>
    <n v="0"/>
    <n v="48866638"/>
    <s v="Centralizacion remuneraciones febrero"/>
    <n v="-48866638"/>
    <s v="Pasivo"/>
    <n v="48866638"/>
    <x v="59"/>
  </r>
  <r>
    <n v="2026"/>
    <n v="3"/>
    <s v="04-03-2026"/>
    <n v="7316"/>
    <s v="2105-02"/>
    <n v="48866638"/>
    <n v="0"/>
    <s v="Remuneraciones febrero 2026"/>
    <n v="48866638"/>
    <s v="Pasivo"/>
    <n v="-48866638"/>
    <x v="59"/>
  </r>
  <r>
    <n v="2026"/>
    <n v="3"/>
    <s v="31-03-2026"/>
    <n v="10744"/>
    <s v="2105-02"/>
    <n v="0"/>
    <n v="49509939"/>
    <s v="Centralizacion remuneraciones marzo"/>
    <n v="-49509939"/>
    <s v="Pasivo"/>
    <n v="49509939"/>
    <x v="59"/>
  </r>
  <r>
    <n v="2026"/>
    <n v="4"/>
    <s v="06-04-2026"/>
    <n v="7501"/>
    <s v="2105-02"/>
    <n v="44523700"/>
    <n v="0"/>
    <s v="Remuneraciones marzo 2026"/>
    <n v="44523700"/>
    <s v="Pasivo"/>
    <n v="-44523700"/>
    <x v="59"/>
  </r>
  <r>
    <n v="2026"/>
    <n v="4"/>
    <s v="06-04-2026"/>
    <n v="7502"/>
    <s v="2105-02"/>
    <n v="4986239"/>
    <n v="0"/>
    <s v="0153722110 transf a quezada pereir"/>
    <n v="4986239"/>
    <s v="Pasivo"/>
    <n v="-4986239"/>
    <x v="59"/>
  </r>
  <r>
    <n v="2026"/>
    <n v="4"/>
    <s v="30-04-2026"/>
    <n v="7670"/>
    <s v="2105-02"/>
    <n v="4981132"/>
    <n v="0"/>
    <s v="0153722110 transf a quezada pereir"/>
    <n v="4981132"/>
    <s v="Pasivo"/>
    <n v="-4981132"/>
    <x v="59"/>
  </r>
  <r>
    <n v="2026"/>
    <n v="4"/>
    <s v="30-04-2026"/>
    <n v="10757"/>
    <s v="2105-02"/>
    <n v="0"/>
    <n v="44461409"/>
    <s v="Centralizacion remuneraciones abril"/>
    <n v="-44461409"/>
    <s v="Pasivo"/>
    <n v="44461409"/>
    <x v="59"/>
  </r>
  <r>
    <n v="2026"/>
    <n v="5"/>
    <s v="05-05-2026"/>
    <n v="7709"/>
    <s v="2105-02"/>
    <n v="39480277"/>
    <n v="0"/>
    <s v="Remuneraciones abril 2026"/>
    <n v="39480277"/>
    <s v="Pasivo"/>
    <n v="-39480277"/>
    <x v="59"/>
  </r>
  <r>
    <n v="2026"/>
    <n v="5"/>
    <s v="31-05-2026"/>
    <n v="10782"/>
    <s v="2105-02"/>
    <n v="0"/>
    <n v="43948455"/>
    <s v="Centralizacion remuneraciones mayo"/>
    <n v="-43948455"/>
    <s v="Pasivo"/>
    <n v="43948455"/>
    <x v="59"/>
  </r>
  <r>
    <n v="2026"/>
    <n v="6"/>
    <s v="01-06-2026"/>
    <n v="7975"/>
    <s v="2105-02"/>
    <n v="4969935"/>
    <n v="0"/>
    <s v="Remuneraciones quezada pereira chr"/>
    <n v="4969935"/>
    <s v="Pasivo"/>
    <n v="-4969935"/>
    <x v="59"/>
  </r>
  <r>
    <n v="2026"/>
    <n v="6"/>
    <s v="05-06-2026"/>
    <n v="7962"/>
    <s v="2105-02"/>
    <n v="38978520"/>
    <n v="0"/>
    <s v="Remuneraciones mayo 2026"/>
    <n v="38978520"/>
    <s v="Pasivo"/>
    <n v="-38978520"/>
    <x v="59"/>
  </r>
  <r>
    <n v="2026"/>
    <n v="6"/>
    <s v="08-06-2026"/>
    <n v="7951"/>
    <s v="2105-02"/>
    <n v="118638"/>
    <n v="0"/>
    <s v="Pago finiquito gonzalez nuñez caro"/>
    <n v="118638"/>
    <s v="Pasivo"/>
    <n v="-118638"/>
    <x v="59"/>
  </r>
  <r>
    <n v="2026"/>
    <n v="6"/>
    <s v="16-06-2026"/>
    <n v="7903"/>
    <s v="2105-02"/>
    <n v="628873"/>
    <n v="0"/>
    <s v="Finiquitos junio"/>
    <n v="628873"/>
    <s v="Pasivo"/>
    <n v="-628873"/>
    <x v="59"/>
  </r>
  <r>
    <n v="2026"/>
    <n v="6"/>
    <s v="30-06-2026"/>
    <n v="10802"/>
    <s v="2105-02"/>
    <n v="0"/>
    <n v="45338678"/>
    <s v="Centralizacion remuneraciones junio"/>
    <n v="-45338678"/>
    <s v="Pasivo"/>
    <n v="45338678"/>
    <x v="59"/>
  </r>
  <r>
    <n v="2026"/>
    <n v="7"/>
    <s v="06-07-2026"/>
    <n v="8448"/>
    <s v="2105-02"/>
    <n v="39670537"/>
    <n v="0"/>
    <s v="Remuneraciones junio 2026"/>
    <n v="39670537"/>
    <s v="Pasivo"/>
    <n v="-39670537"/>
    <x v="59"/>
  </r>
  <r>
    <n v="2026"/>
    <n v="7"/>
    <s v="17-07-2026"/>
    <n v="8662"/>
    <s v="2105-02"/>
    <n v="200000"/>
    <n v="0"/>
    <s v="Pago remuneraciones"/>
    <n v="200000"/>
    <s v="Pasivo"/>
    <n v="-200000"/>
    <x v="59"/>
  </r>
  <r>
    <n v="2026"/>
    <n v="7"/>
    <s v="31-07-2026"/>
    <n v="8581"/>
    <s v="2105-02"/>
    <n v="4970444"/>
    <n v="0"/>
    <s v="Remuneraciones christian quezada"/>
    <n v="4970444"/>
    <s v="Pasivo"/>
    <n v="-4970444"/>
    <x v="59"/>
  </r>
  <r>
    <n v="2026"/>
    <n v="7"/>
    <s v="31-07-2026"/>
    <n v="12633"/>
    <s v="2105-02"/>
    <n v="0"/>
    <n v="47969405"/>
    <s v="Centralizacion remuneraciones julio"/>
    <n v="-47969405"/>
    <s v="Pasivo"/>
    <n v="47969405"/>
    <x v="59"/>
  </r>
  <r>
    <n v="2026"/>
    <n v="1"/>
    <s v="01-01-2026"/>
    <n v="8206"/>
    <s v="2105-04"/>
    <n v="90000"/>
    <n v="0"/>
    <s v="Bh alejandro antonio ambiado oliv"/>
    <n v="90000"/>
    <s v="Pasivo"/>
    <n v="-90000"/>
    <x v="60"/>
  </r>
  <r>
    <n v="2026"/>
    <n v="1"/>
    <s v="01-01-2026"/>
    <n v="8207"/>
    <s v="2105-04"/>
    <n v="90000"/>
    <n v="0"/>
    <s v="Bh christian italo quezada pereir"/>
    <n v="90000"/>
    <s v="Pasivo"/>
    <n v="-90000"/>
    <x v="60"/>
  </r>
  <r>
    <n v="2026"/>
    <n v="1"/>
    <s v="01-01-2026"/>
    <n v="8208"/>
    <s v="2105-04"/>
    <n v="0"/>
    <n v="30000"/>
    <s v="Bh julio orlando chaparro cares"/>
    <n v="-30000"/>
    <s v="Pasivo"/>
    <n v="30000"/>
    <x v="60"/>
  </r>
  <r>
    <n v="2026"/>
    <n v="1"/>
    <s v="01-01-2026"/>
    <n v="8210"/>
    <s v="2105-04"/>
    <n v="120000"/>
    <n v="0"/>
    <s v="Soledad del carmen maldonado z"/>
    <n v="120000"/>
    <s v="Pasivo"/>
    <n v="-120000"/>
    <x v="60"/>
  </r>
  <r>
    <n v="2026"/>
    <n v="1"/>
    <s v="01-01-2026"/>
    <n v="8210"/>
    <s v="2105-04"/>
    <n v="120000"/>
    <n v="0"/>
    <s v="Soledad del carmen maldonado z"/>
    <n v="120000"/>
    <s v="Pasivo"/>
    <n v="-120000"/>
    <x v="60"/>
  </r>
  <r>
    <n v="2026"/>
    <n v="1"/>
    <s v="01-01-2026"/>
    <n v="9827"/>
    <s v="2105-04"/>
    <n v="12739597"/>
    <n v="0"/>
    <s v="Honorarios"/>
    <n v="12739597"/>
    <s v="Pasivo"/>
    <n v="-12739597"/>
    <x v="60"/>
  </r>
  <r>
    <n v="2026"/>
    <n v="1"/>
    <s v="01-01-2026"/>
    <n v="9827"/>
    <s v="2105-04"/>
    <n v="0"/>
    <n v="14474597"/>
    <s v="Honorarios"/>
    <n v="-14474597"/>
    <s v="Pasivo"/>
    <n v="14474597"/>
    <x v="60"/>
  </r>
  <r>
    <n v="2026"/>
    <n v="1"/>
    <s v="02-01-2026"/>
    <n v="6925"/>
    <s v="2105-04"/>
    <n v="1000000"/>
    <n v="0"/>
    <s v="Pago bh 75 abraham issaac garate gonzalez"/>
    <n v="1000000"/>
    <s v="Pasivo"/>
    <n v="-1000000"/>
    <x v="60"/>
  </r>
  <r>
    <n v="2026"/>
    <n v="1"/>
    <s v="02-01-2026"/>
    <n v="6929"/>
    <s v="2105-04"/>
    <n v="105000"/>
    <n v="0"/>
    <s v="Pago bh 87 soledad del carmen maldonado"/>
    <n v="105000"/>
    <s v="Pasivo"/>
    <n v="-105000"/>
    <x v="60"/>
  </r>
  <r>
    <n v="2026"/>
    <n v="1"/>
    <s v="07-01-2026"/>
    <n v="6953"/>
    <s v="2105-04"/>
    <n v="1000000"/>
    <n v="0"/>
    <s v="Pago bh 586 freddy alex rodriguez saez"/>
    <n v="1000000"/>
    <s v="Pasivo"/>
    <n v="-1000000"/>
    <x v="60"/>
  </r>
  <r>
    <n v="2026"/>
    <n v="1"/>
    <s v="07-01-2026"/>
    <n v="6966"/>
    <s v="2105-04"/>
    <n v="250000"/>
    <n v="0"/>
    <s v="Pago bh 76 abraham issaac garate gonzalez"/>
    <n v="250000"/>
    <s v="Pasivo"/>
    <n v="-250000"/>
    <x v="60"/>
  </r>
  <r>
    <n v="2026"/>
    <n v="1"/>
    <s v="07-01-2026"/>
    <n v="6967"/>
    <s v="2105-04"/>
    <n v="240000"/>
    <n v="0"/>
    <s v="Pago bh 198 julio orlando chaparro cares"/>
    <n v="240000"/>
    <s v="Pasivo"/>
    <n v="-240000"/>
    <x v="60"/>
  </r>
  <r>
    <n v="2026"/>
    <n v="1"/>
    <s v="07-01-2026"/>
    <n v="6973"/>
    <s v="2105-04"/>
    <n v="105000"/>
    <n v="0"/>
    <s v="Pago bh 88 soledad del carmen maldonado z"/>
    <n v="105000"/>
    <s v="Pasivo"/>
    <n v="-105000"/>
    <x v="60"/>
  </r>
  <r>
    <n v="2026"/>
    <n v="1"/>
    <s v="09-01-2026"/>
    <n v="6992"/>
    <s v="2105-04"/>
    <n v="678000"/>
    <n v="0"/>
    <s v="Pago bh 104 ricardo eusebio saez navea"/>
    <n v="678000"/>
    <s v="Pasivo"/>
    <n v="-678000"/>
    <x v="60"/>
  </r>
  <r>
    <n v="2026"/>
    <n v="1"/>
    <s v="09-01-2026"/>
    <n v="7002"/>
    <s v="2105-04"/>
    <n v="90000"/>
    <n v="0"/>
    <s v="Pago bh 56 christian italo quezada pereir"/>
    <n v="90000"/>
    <s v="Pasivo"/>
    <n v="-90000"/>
    <x v="60"/>
  </r>
  <r>
    <n v="2026"/>
    <n v="1"/>
    <s v="09-01-2026"/>
    <n v="7003"/>
    <s v="2105-04"/>
    <n v="90000"/>
    <n v="0"/>
    <s v="Pago bh 54 alejandro antonio ambiado oliv"/>
    <n v="90000"/>
    <s v="Pasivo"/>
    <n v="-90000"/>
    <x v="60"/>
  </r>
  <r>
    <n v="2026"/>
    <n v="1"/>
    <s v="09-01-2026"/>
    <n v="7004"/>
    <s v="2105-04"/>
    <n v="90000"/>
    <n v="0"/>
    <s v="Pago bh 110 patrick adolfo lopez nunez"/>
    <n v="90000"/>
    <s v="Pasivo"/>
    <n v="-90000"/>
    <x v="60"/>
  </r>
  <r>
    <n v="2026"/>
    <n v="1"/>
    <s v="13-01-2026"/>
    <n v="7020"/>
    <s v="2105-04"/>
    <n v="600000"/>
    <n v="0"/>
    <s v="Pago bh 108 patrick adolfo lopez nunez"/>
    <n v="600000"/>
    <s v="Pasivo"/>
    <n v="-600000"/>
    <x v="60"/>
  </r>
  <r>
    <n v="2026"/>
    <n v="1"/>
    <s v="13-01-2026"/>
    <n v="7025"/>
    <s v="2105-04"/>
    <n v="250000"/>
    <n v="0"/>
    <s v="Pago bh 79 abraham issaac garate gonzalez"/>
    <n v="250000"/>
    <s v="Pasivo"/>
    <n v="-250000"/>
    <x v="60"/>
  </r>
  <r>
    <n v="2026"/>
    <n v="1"/>
    <s v="13-01-2026"/>
    <n v="7026"/>
    <s v="2105-04"/>
    <n v="210000"/>
    <n v="0"/>
    <s v="Pago bh 95 ayleen josefina urrea saez"/>
    <n v="210000"/>
    <s v="Pasivo"/>
    <n v="-210000"/>
    <x v="60"/>
  </r>
  <r>
    <n v="2026"/>
    <n v="1"/>
    <s v="13-01-2026"/>
    <n v="7028"/>
    <s v="2105-04"/>
    <n v="180000"/>
    <n v="0"/>
    <s v="Pago bh 95 ayleen josefina urrea saez"/>
    <n v="180000"/>
    <s v="Pasivo"/>
    <n v="-180000"/>
    <x v="60"/>
  </r>
  <r>
    <n v="2026"/>
    <n v="1"/>
    <s v="13-01-2026"/>
    <n v="7029"/>
    <s v="2105-04"/>
    <n v="150000"/>
    <n v="0"/>
    <s v="Pago bh 96 matias alejandro henriquez tobar"/>
    <n v="150000"/>
    <s v="Pasivo"/>
    <n v="-150000"/>
    <x v="60"/>
  </r>
  <r>
    <n v="2026"/>
    <n v="1"/>
    <s v="13-01-2026"/>
    <n v="7030"/>
    <s v="2105-04"/>
    <n v="120000"/>
    <n v="0"/>
    <s v="Pago bh 89 soledad del carmen maldonado z"/>
    <n v="120000"/>
    <s v="Pasivo"/>
    <n v="-120000"/>
    <x v="60"/>
  </r>
  <r>
    <n v="2026"/>
    <n v="1"/>
    <s v="13-01-2026"/>
    <n v="7031"/>
    <s v="2105-04"/>
    <n v="80000"/>
    <n v="0"/>
    <s v="Pago bh 95 ayleen josefina urrea saez"/>
    <n v="80000"/>
    <s v="Pasivo"/>
    <n v="-80000"/>
    <x v="60"/>
  </r>
  <r>
    <n v="2026"/>
    <n v="1"/>
    <s v="13-01-2026"/>
    <n v="7033"/>
    <s v="2105-04"/>
    <n v="30000"/>
    <n v="0"/>
    <s v="Pago bh 199 julio orlando chaparro cares"/>
    <n v="30000"/>
    <s v="Pasivo"/>
    <n v="-30000"/>
    <x v="60"/>
  </r>
  <r>
    <n v="2026"/>
    <n v="1"/>
    <s v="16-01-2026"/>
    <n v="7046"/>
    <s v="2105-04"/>
    <n v="140000"/>
    <n v="0"/>
    <s v="Pago bh 96 german stalyn llerena juarez"/>
    <n v="140000"/>
    <s v="Pasivo"/>
    <n v="-140000"/>
    <x v="60"/>
  </r>
  <r>
    <n v="2026"/>
    <n v="1"/>
    <s v="23-01-2026"/>
    <n v="7076"/>
    <s v="2105-04"/>
    <n v="120000"/>
    <n v="0"/>
    <s v="Pago bh 90 soledad del carmen maldonado"/>
    <n v="120000"/>
    <s v="Pasivo"/>
    <n v="-120000"/>
    <x v="60"/>
  </r>
  <r>
    <n v="2026"/>
    <n v="1"/>
    <s v="28-01-2026"/>
    <n v="7083"/>
    <s v="2105-04"/>
    <n v="255000"/>
    <n v="0"/>
    <s v="Pago bh 97 felipe ignacio luengo moreira"/>
    <n v="255000"/>
    <s v="Pasivo"/>
    <n v="-255000"/>
    <x v="60"/>
  </r>
  <r>
    <n v="2026"/>
    <n v="1"/>
    <s v="28-01-2026"/>
    <n v="7086"/>
    <s v="2105-04"/>
    <n v="120000"/>
    <n v="0"/>
    <s v="Pago bh 91 soledad del carmen maldonado"/>
    <n v="120000"/>
    <s v="Pasivo"/>
    <n v="-120000"/>
    <x v="60"/>
  </r>
  <r>
    <n v="2026"/>
    <n v="1"/>
    <s v="28-01-2026"/>
    <n v="7087"/>
    <s v="2105-04"/>
    <n v="60000"/>
    <n v="0"/>
    <s v="Pago bh 98 camila elizabeth ortiz cruz"/>
    <n v="60000"/>
    <s v="Pasivo"/>
    <n v="-60000"/>
    <x v="60"/>
  </r>
  <r>
    <n v="2026"/>
    <n v="1"/>
    <s v="31-01-2026"/>
    <n v="9757"/>
    <s v="2105-04"/>
    <n v="0"/>
    <n v="4958000"/>
    <s v="Centralización honorarios enero 2026 - monto líquido"/>
    <n v="-4958000"/>
    <s v="Pasivo"/>
    <n v="4958000"/>
    <x v="60"/>
  </r>
  <r>
    <n v="2026"/>
    <n v="2"/>
    <s v="01-02-2026"/>
    <n v="8209"/>
    <s v="2105-04"/>
    <n v="250000"/>
    <n v="0"/>
    <s v="Julio orlando chaparro cares"/>
    <n v="250000"/>
    <s v="Pasivo"/>
    <n v="-250000"/>
    <x v="60"/>
  </r>
  <r>
    <n v="2026"/>
    <n v="2"/>
    <s v="01-02-2026"/>
    <n v="8209"/>
    <s v="2105-04"/>
    <n v="0"/>
    <n v="250000"/>
    <s v="Julio orlando chaparro cares"/>
    <n v="-250000"/>
    <s v="Pasivo"/>
    <n v="250000"/>
    <x v="60"/>
  </r>
  <r>
    <n v="2026"/>
    <n v="2"/>
    <s v="06-02-2026"/>
    <n v="7144"/>
    <s v="2105-04"/>
    <n v="250000"/>
    <n v="0"/>
    <s v="Pago bh 98 german stalyn llerena juarez"/>
    <n v="250000"/>
    <s v="Pasivo"/>
    <n v="-250000"/>
    <x v="60"/>
  </r>
  <r>
    <n v="2026"/>
    <n v="2"/>
    <s v="06-02-2026"/>
    <n v="7148"/>
    <s v="2105-04"/>
    <n v="120000"/>
    <n v="0"/>
    <s v="Pago bh 92 soledad del carmen maldonado z"/>
    <n v="120000"/>
    <s v="Pasivo"/>
    <n v="-120000"/>
    <x v="60"/>
  </r>
  <r>
    <n v="2026"/>
    <n v="2"/>
    <s v="06-02-2026"/>
    <n v="7149"/>
    <s v="2105-04"/>
    <n v="120000"/>
    <n v="0"/>
    <s v="Pago bh 200 julio orlando chaparro cares"/>
    <n v="120000"/>
    <s v="Pasivo"/>
    <n v="-120000"/>
    <x v="60"/>
  </r>
  <r>
    <n v="2026"/>
    <n v="2"/>
    <s v="06-02-2026"/>
    <n v="7165"/>
    <s v="2105-04"/>
    <n v="30000"/>
    <n v="0"/>
    <s v="Pago bh 202 julio orlando chaparro cares"/>
    <n v="30000"/>
    <s v="Pasivo"/>
    <n v="-30000"/>
    <x v="60"/>
  </r>
  <r>
    <n v="2026"/>
    <n v="2"/>
    <s v="06-02-2026"/>
    <n v="7166"/>
    <s v="2105-04"/>
    <n v="30000"/>
    <n v="0"/>
    <s v="Pago bh 201 julio orlando chaparro cares"/>
    <n v="30000"/>
    <s v="Pasivo"/>
    <n v="-30000"/>
    <x v="60"/>
  </r>
  <r>
    <n v="2026"/>
    <n v="2"/>
    <s v="10-02-2026"/>
    <n v="7174"/>
    <s v="2105-04"/>
    <n v="120000"/>
    <n v="0"/>
    <s v="Pago bh 93 soledad del carmen maldonado z"/>
    <n v="120000"/>
    <s v="Pasivo"/>
    <n v="-120000"/>
    <x v="60"/>
  </r>
  <r>
    <n v="2026"/>
    <n v="2"/>
    <s v="10-02-2026"/>
    <n v="7177"/>
    <s v="2105-04"/>
    <n v="90000"/>
    <n v="0"/>
    <s v="Pago bh 111 patrick adolfo lopez nunez"/>
    <n v="90000"/>
    <s v="Pasivo"/>
    <n v="-90000"/>
    <x v="60"/>
  </r>
  <r>
    <n v="2026"/>
    <n v="2"/>
    <s v="11-02-2026"/>
    <n v="7183"/>
    <s v="2105-04"/>
    <n v="600000"/>
    <n v="0"/>
    <s v="Pago bh 112 patrick adolfo lopez nunez"/>
    <n v="600000"/>
    <s v="Pasivo"/>
    <n v="-600000"/>
    <x v="60"/>
  </r>
  <r>
    <n v="2026"/>
    <n v="2"/>
    <s v="11-02-2026"/>
    <n v="7185"/>
    <s v="2105-04"/>
    <n v="250000"/>
    <n v="0"/>
    <s v="Pago bh 99 matias alejandro henriquez tobar"/>
    <n v="250000"/>
    <s v="Pasivo"/>
    <n v="-250000"/>
    <x v="60"/>
  </r>
  <r>
    <n v="2026"/>
    <n v="2"/>
    <s v="11-02-2026"/>
    <n v="7186"/>
    <s v="2105-04"/>
    <n v="250000"/>
    <n v="0"/>
    <s v="Pago bh 82 abraham issaac garate gonzalez"/>
    <n v="250000"/>
    <s v="Pasivo"/>
    <n v="-250000"/>
    <x v="60"/>
  </r>
  <r>
    <n v="2026"/>
    <n v="2"/>
    <s v="11-02-2026"/>
    <n v="7194"/>
    <s v="2105-04"/>
    <n v="90000"/>
    <n v="0"/>
    <s v="Pago bh 57 christian italo quezada pereir"/>
    <n v="90000"/>
    <s v="Pasivo"/>
    <n v="-90000"/>
    <x v="60"/>
  </r>
  <r>
    <n v="2026"/>
    <n v="2"/>
    <s v="11-02-2026"/>
    <n v="7195"/>
    <s v="2105-04"/>
    <n v="90000"/>
    <n v="0"/>
    <s v="Pago bh 55 alejandro antonio ambiado oliv"/>
    <n v="90000"/>
    <s v="Pasivo"/>
    <n v="-90000"/>
    <x v="60"/>
  </r>
  <r>
    <n v="2026"/>
    <n v="2"/>
    <s v="16-02-2026"/>
    <n v="7217"/>
    <s v="2105-04"/>
    <n v="120000"/>
    <n v="0"/>
    <s v="Pago bh 94 soledad del carmen maldonado z"/>
    <n v="120000"/>
    <s v="Pasivo"/>
    <n v="-120000"/>
    <x v="60"/>
  </r>
  <r>
    <n v="2026"/>
    <n v="2"/>
    <s v="26-02-2026"/>
    <n v="7283"/>
    <s v="2105-04"/>
    <n v="120000"/>
    <n v="0"/>
    <s v="Pago bh 95 soledad del carmen maldonado z"/>
    <n v="120000"/>
    <s v="Pasivo"/>
    <n v="-120000"/>
    <x v="60"/>
  </r>
  <r>
    <n v="2026"/>
    <n v="2"/>
    <s v="26-02-2026"/>
    <n v="7296"/>
    <s v="2105-04"/>
    <n v="15000"/>
    <n v="0"/>
    <s v="Pago bh 101 camila elizabeth ortiz cruz"/>
    <n v="15000"/>
    <s v="Pasivo"/>
    <n v="-15000"/>
    <x v="60"/>
  </r>
  <r>
    <n v="2026"/>
    <n v="2"/>
    <s v="28-02-2026"/>
    <n v="9811"/>
    <s v="2105-04"/>
    <n v="0"/>
    <n v="3545000"/>
    <s v="Centralización honorarios febrero 2026 - monto líquido"/>
    <n v="-3545000"/>
    <s v="Pasivo"/>
    <n v="3545000"/>
    <x v="60"/>
  </r>
  <r>
    <n v="2026"/>
    <n v="3"/>
    <s v="06-03-2026"/>
    <n v="7331"/>
    <s v="2105-04"/>
    <n v="1000000"/>
    <n v="0"/>
    <s v="0170226380 transf a freddy alex ro"/>
    <n v="1000000"/>
    <s v="Pasivo"/>
    <n v="-1000000"/>
    <x v="60"/>
  </r>
  <r>
    <n v="2026"/>
    <n v="3"/>
    <s v="06-03-2026"/>
    <n v="7343"/>
    <s v="2105-04"/>
    <n v="120000"/>
    <n v="0"/>
    <s v="0142137178 transf a julio chaparro"/>
    <n v="120000"/>
    <s v="Pasivo"/>
    <n v="-120000"/>
    <x v="60"/>
  </r>
  <r>
    <n v="2026"/>
    <n v="3"/>
    <s v="06-03-2026"/>
    <n v="7344"/>
    <s v="2105-04"/>
    <n v="120000"/>
    <n v="0"/>
    <s v="0189610955 transf a soledad del ca"/>
    <n v="120000"/>
    <s v="Pasivo"/>
    <n v="-120000"/>
    <x v="60"/>
  </r>
  <r>
    <n v="2026"/>
    <n v="3"/>
    <s v="11-03-2026"/>
    <n v="7378"/>
    <s v="2105-04"/>
    <n v="600000"/>
    <n v="0"/>
    <s v="016748381k transf a patrick lopez"/>
    <n v="600000"/>
    <s v="Pasivo"/>
    <n v="-600000"/>
    <x v="60"/>
  </r>
  <r>
    <n v="2026"/>
    <n v="3"/>
    <s v="11-03-2026"/>
    <n v="7388"/>
    <s v="2105-04"/>
    <n v="120000"/>
    <n v="0"/>
    <s v="0189610955 transf a soledad del ca"/>
    <n v="120000"/>
    <s v="Pasivo"/>
    <n v="-120000"/>
    <x v="60"/>
  </r>
  <r>
    <n v="2026"/>
    <n v="3"/>
    <s v="11-03-2026"/>
    <n v="7390"/>
    <s v="2105-04"/>
    <n v="90000"/>
    <n v="0"/>
    <s v="016748381k transf a patrick lopez"/>
    <n v="90000"/>
    <s v="Pasivo"/>
    <n v="-90000"/>
    <x v="60"/>
  </r>
  <r>
    <n v="2026"/>
    <n v="3"/>
    <s v="11-03-2026"/>
    <n v="7391"/>
    <s v="2105-04"/>
    <n v="90000"/>
    <n v="0"/>
    <s v="0153722110 transf a quezada pereir"/>
    <n v="90000"/>
    <s v="Pasivo"/>
    <n v="-90000"/>
    <x v="60"/>
  </r>
  <r>
    <n v="2026"/>
    <n v="3"/>
    <s v="11-03-2026"/>
    <n v="7392"/>
    <s v="2105-04"/>
    <n v="90000"/>
    <n v="0"/>
    <s v="012646150k transf a ambiado olivar"/>
    <n v="90000"/>
    <s v="Pasivo"/>
    <n v="-90000"/>
    <x v="60"/>
  </r>
  <r>
    <n v="2026"/>
    <n v="3"/>
    <s v="13-03-2026"/>
    <n v="8211"/>
    <s v="2105-04"/>
    <n v="8100"/>
    <n v="0"/>
    <s v="Pago bh 210181 boris alejandro osnovikoff rom"/>
    <n v="8100"/>
    <s v="Pasivo"/>
    <n v="-8100"/>
    <x v="60"/>
  </r>
  <r>
    <n v="2026"/>
    <n v="3"/>
    <s v="20-03-2026"/>
    <n v="7429"/>
    <s v="2105-04"/>
    <n v="600000"/>
    <n v="0"/>
    <s v="0161713392 transf a felipe luengo"/>
    <n v="600000"/>
    <s v="Pasivo"/>
    <n v="-600000"/>
    <x v="60"/>
  </r>
  <r>
    <n v="2026"/>
    <n v="3"/>
    <s v="20-03-2026"/>
    <n v="7433"/>
    <s v="2105-04"/>
    <n v="250000"/>
    <n v="0"/>
    <s v="0173984030 transf a abraham issaac"/>
    <n v="250000"/>
    <s v="Pasivo"/>
    <n v="-250000"/>
    <x v="60"/>
  </r>
  <r>
    <n v="2026"/>
    <n v="3"/>
    <s v="20-03-2026"/>
    <n v="7434"/>
    <s v="2105-04"/>
    <n v="120000"/>
    <n v="0"/>
    <s v="0189610955 transf a soledad del ca"/>
    <n v="120000"/>
    <s v="Pasivo"/>
    <n v="-120000"/>
    <x v="60"/>
  </r>
  <r>
    <n v="2026"/>
    <n v="3"/>
    <s v="20-03-2026"/>
    <n v="7436"/>
    <s v="2105-04"/>
    <n v="45000"/>
    <n v="0"/>
    <s v="0180802495 transf a camila elizabe"/>
    <n v="45000"/>
    <s v="Pasivo"/>
    <n v="-45000"/>
    <x v="60"/>
  </r>
  <r>
    <n v="2026"/>
    <n v="3"/>
    <s v="27-03-2026"/>
    <n v="7457"/>
    <s v="2105-04"/>
    <n v="120000"/>
    <n v="0"/>
    <s v="0189610955 transf a soledad del ca"/>
    <n v="120000"/>
    <s v="Pasivo"/>
    <n v="-120000"/>
    <x v="60"/>
  </r>
  <r>
    <n v="2026"/>
    <n v="3"/>
    <s v="31-03-2026"/>
    <n v="10742"/>
    <s v="2105-04"/>
    <n v="0"/>
    <n v="3763100"/>
    <s v="Centralización honorarios marzo 2026 - monto líquido"/>
    <n v="-3763100"/>
    <s v="Pasivo"/>
    <n v="3763100"/>
    <x v="60"/>
  </r>
  <r>
    <n v="2026"/>
    <n v="4"/>
    <s v="02-04-2026"/>
    <n v="7499"/>
    <s v="2105-04"/>
    <n v="120000"/>
    <n v="0"/>
    <s v="0189610955 transf a soledad del ca"/>
    <n v="120000"/>
    <s v="Pasivo"/>
    <n v="-120000"/>
    <x v="60"/>
  </r>
  <r>
    <n v="2026"/>
    <n v="4"/>
    <s v="08-04-2026"/>
    <n v="7520"/>
    <s v="2105-04"/>
    <n v="250000"/>
    <n v="0"/>
    <s v="0173984030 transf a abraham issaac"/>
    <n v="250000"/>
    <s v="Pasivo"/>
    <n v="-250000"/>
    <x v="60"/>
  </r>
  <r>
    <n v="2026"/>
    <n v="4"/>
    <s v="08-04-2026"/>
    <n v="7521"/>
    <s v="2105-04"/>
    <n v="240000"/>
    <n v="0"/>
    <s v="0142137178 transf a julio chaparro"/>
    <n v="240000"/>
    <s v="Pasivo"/>
    <n v="-240000"/>
    <x v="60"/>
  </r>
  <r>
    <n v="2026"/>
    <n v="4"/>
    <s v="08-04-2026"/>
    <n v="7525"/>
    <s v="2105-04"/>
    <n v="135000"/>
    <n v="0"/>
    <s v="0215236463 transf a german llerena"/>
    <n v="135000"/>
    <s v="Pasivo"/>
    <n v="-135000"/>
    <x v="60"/>
  </r>
  <r>
    <n v="2026"/>
    <n v="4"/>
    <s v="08-04-2026"/>
    <n v="7526"/>
    <s v="2105-04"/>
    <n v="135000"/>
    <n v="0"/>
    <s v="0215236463 transf a german llerena"/>
    <n v="135000"/>
    <s v="Pasivo"/>
    <n v="-135000"/>
    <x v="60"/>
  </r>
  <r>
    <n v="2026"/>
    <n v="4"/>
    <s v="08-04-2026"/>
    <n v="7528"/>
    <s v="2105-04"/>
    <n v="120000"/>
    <n v="0"/>
    <s v="0189610955 transf a soledad del ca"/>
    <n v="120000"/>
    <s v="Pasivo"/>
    <n v="-120000"/>
    <x v="60"/>
  </r>
  <r>
    <n v="2026"/>
    <n v="4"/>
    <s v="09-04-2026"/>
    <n v="7559"/>
    <s v="2105-04"/>
    <n v="90000"/>
    <n v="0"/>
    <s v="016748381k transf a patrick lopez"/>
    <n v="90000"/>
    <s v="Pasivo"/>
    <n v="-90000"/>
    <x v="60"/>
  </r>
  <r>
    <n v="2026"/>
    <n v="4"/>
    <s v="09-04-2026"/>
    <n v="7560"/>
    <s v="2105-04"/>
    <n v="90000"/>
    <n v="0"/>
    <s v="012646150k transf a ambiado olivar"/>
    <n v="90000"/>
    <s v="Pasivo"/>
    <n v="-90000"/>
    <x v="60"/>
  </r>
  <r>
    <n v="2026"/>
    <n v="4"/>
    <s v="09-04-2026"/>
    <n v="7561"/>
    <s v="2105-04"/>
    <n v="90000"/>
    <n v="0"/>
    <s v="0153722110 transf a quezada pereir"/>
    <n v="90000"/>
    <s v="Pasivo"/>
    <n v="-90000"/>
    <x v="60"/>
  </r>
  <r>
    <n v="2026"/>
    <n v="4"/>
    <s v="14-04-2026"/>
    <n v="7599"/>
    <s v="2105-04"/>
    <n v="600000"/>
    <n v="0"/>
    <s v="016748381k transf a patrick lopez"/>
    <n v="600000"/>
    <s v="Pasivo"/>
    <n v="-600000"/>
    <x v="60"/>
  </r>
  <r>
    <n v="2026"/>
    <n v="4"/>
    <s v="14-04-2026"/>
    <n v="7605"/>
    <s v="2105-04"/>
    <n v="75000"/>
    <n v="0"/>
    <s v="0189610955 transf a soledad del ca"/>
    <n v="75000"/>
    <s v="Pasivo"/>
    <n v="-75000"/>
    <x v="60"/>
  </r>
  <r>
    <n v="2026"/>
    <n v="4"/>
    <s v="15-04-2026"/>
    <n v="7607"/>
    <s v="2105-04"/>
    <n v="1000000"/>
    <n v="0"/>
    <s v="0170226380 transf a freddy alex ro"/>
    <n v="1000000"/>
    <s v="Pasivo"/>
    <n v="-1000000"/>
    <x v="60"/>
  </r>
  <r>
    <n v="2026"/>
    <n v="4"/>
    <s v="22-04-2026"/>
    <n v="7642"/>
    <s v="2105-04"/>
    <n v="120000"/>
    <n v="0"/>
    <s v="0189610955 transf a soledad del ca"/>
    <n v="120000"/>
    <s v="Pasivo"/>
    <n v="-120000"/>
    <x v="60"/>
  </r>
  <r>
    <n v="2026"/>
    <n v="4"/>
    <s v="27-04-2026"/>
    <n v="7656"/>
    <s v="2105-04"/>
    <n v="150000"/>
    <n v="0"/>
    <s v="0161713392 transf a felipe luengo"/>
    <n v="150000"/>
    <s v="Pasivo"/>
    <n v="-150000"/>
    <x v="60"/>
  </r>
  <r>
    <n v="2026"/>
    <n v="4"/>
    <s v="27-04-2026"/>
    <n v="7659"/>
    <s v="2105-04"/>
    <n v="30000"/>
    <n v="0"/>
    <s v="0118908112 transf a yerko andrés n"/>
    <n v="30000"/>
    <s v="Pasivo"/>
    <n v="-30000"/>
    <x v="60"/>
  </r>
  <r>
    <n v="2026"/>
    <n v="4"/>
    <s v="27-04-2026"/>
    <n v="7660"/>
    <s v="2105-04"/>
    <n v="30000"/>
    <n v="0"/>
    <s v="0180802495 transf a camila elizabe"/>
    <n v="30000"/>
    <s v="Pasivo"/>
    <n v="-30000"/>
    <x v="60"/>
  </r>
  <r>
    <n v="2026"/>
    <n v="4"/>
    <s v="30-04-2026"/>
    <n v="10756"/>
    <s v="2105-04"/>
    <n v="0"/>
    <n v="3005000"/>
    <s v="Centralización honorarios abril 2026 - monto líquido"/>
    <n v="-3005000"/>
    <s v="Pasivo"/>
    <n v="3005000"/>
    <x v="60"/>
  </r>
  <r>
    <n v="2026"/>
    <n v="5"/>
    <s v="04-05-2026"/>
    <n v="7708"/>
    <s v="2105-04"/>
    <n v="120000"/>
    <n v="0"/>
    <s v="Pago bh 104 soledad del carmen maldonado z"/>
    <n v="120000"/>
    <s v="Pasivo"/>
    <n v="-120000"/>
    <x v="60"/>
  </r>
  <r>
    <n v="2026"/>
    <n v="5"/>
    <s v="07-05-2026"/>
    <n v="7729"/>
    <s v="2105-04"/>
    <n v="1000000"/>
    <n v="0"/>
    <s v="Pago bh 605 freddy alex rodriguez saez"/>
    <n v="1000000"/>
    <s v="Pasivo"/>
    <n v="-1000000"/>
    <x v="60"/>
  </r>
  <r>
    <n v="2026"/>
    <n v="5"/>
    <s v="07-05-2026"/>
    <n v="7741"/>
    <s v="2105-04"/>
    <n v="250000"/>
    <n v="0"/>
    <s v="Pago bh 90 abraham issaac garate gonzalez"/>
    <n v="250000"/>
    <s v="Pasivo"/>
    <n v="-250000"/>
    <x v="60"/>
  </r>
  <r>
    <n v="2026"/>
    <n v="5"/>
    <s v="07-05-2026"/>
    <n v="7742"/>
    <s v="2105-04"/>
    <n v="240000"/>
    <n v="0"/>
    <s v="Pago bh 205 julio orlando chaparro cares"/>
    <n v="240000"/>
    <s v="Pasivo"/>
    <n v="-240000"/>
    <x v="60"/>
  </r>
  <r>
    <n v="2026"/>
    <n v="5"/>
    <s v="08-05-2026"/>
    <n v="7768"/>
    <s v="2105-04"/>
    <n v="120000"/>
    <n v="0"/>
    <s v="Pago bh 105 soledad del carmen maldonado z"/>
    <n v="120000"/>
    <s v="Pasivo"/>
    <n v="-120000"/>
    <x v="60"/>
  </r>
  <r>
    <n v="2026"/>
    <n v="5"/>
    <s v="12-05-2026"/>
    <n v="7781"/>
    <s v="2105-04"/>
    <n v="600000"/>
    <n v="0"/>
    <s v="Pago bh 121 patrick adolfo lopez nunez"/>
    <n v="600000"/>
    <s v="Pasivo"/>
    <n v="-600000"/>
    <x v="60"/>
  </r>
  <r>
    <n v="2026"/>
    <n v="5"/>
    <s v="12-05-2026"/>
    <n v="7784"/>
    <s v="2105-04"/>
    <n v="105000"/>
    <n v="0"/>
    <s v="Pago bh 106 soledad del carmen maldonado z"/>
    <n v="105000"/>
    <s v="Pasivo"/>
    <n v="-105000"/>
    <x v="60"/>
  </r>
  <r>
    <n v="2026"/>
    <n v="5"/>
    <s v="12-05-2026"/>
    <n v="7786"/>
    <s v="2105-04"/>
    <n v="90000"/>
    <n v="0"/>
    <s v="Pago bh 122 patrick adolfo lopez nunez"/>
    <n v="90000"/>
    <s v="Pasivo"/>
    <n v="-90000"/>
    <x v="60"/>
  </r>
  <r>
    <n v="2026"/>
    <n v="5"/>
    <s v="12-05-2026"/>
    <n v="7787"/>
    <s v="2105-04"/>
    <n v="90000"/>
    <n v="0"/>
    <s v="Pago bh 60 christian italo quezada pereir"/>
    <n v="90000"/>
    <s v="Pasivo"/>
    <n v="-90000"/>
    <x v="60"/>
  </r>
  <r>
    <n v="2026"/>
    <n v="5"/>
    <s v="12-05-2026"/>
    <n v="7788"/>
    <s v="2105-04"/>
    <n v="90000"/>
    <n v="0"/>
    <s v="0153722110 transf a quezada pereir"/>
    <n v="90000"/>
    <s v="Pasivo"/>
    <n v="-90000"/>
    <x v="60"/>
  </r>
  <r>
    <n v="2026"/>
    <n v="5"/>
    <s v="25-05-2026"/>
    <n v="7843"/>
    <s v="2105-04"/>
    <n v="317812"/>
    <n v="0"/>
    <s v="Pago bh 109 jorge elizardo rocha saez"/>
    <n v="317812"/>
    <s v="Pasivo"/>
    <n v="-317812"/>
    <x v="60"/>
  </r>
  <r>
    <n v="2026"/>
    <n v="5"/>
    <s v="25-05-2026"/>
    <n v="7844"/>
    <s v="2105-04"/>
    <n v="210000"/>
    <n v="0"/>
    <s v="Pago bh 107 felipe ignacio luengo moreira"/>
    <n v="210000"/>
    <s v="Pasivo"/>
    <n v="-210000"/>
    <x v="60"/>
  </r>
  <r>
    <n v="2026"/>
    <n v="5"/>
    <s v="25-05-2026"/>
    <n v="7846"/>
    <s v="2105-04"/>
    <n v="120000"/>
    <n v="0"/>
    <s v="Pago bh 107 soledad del carmen maldonado z"/>
    <n v="120000"/>
    <s v="Pasivo"/>
    <n v="-120000"/>
    <x v="60"/>
  </r>
  <r>
    <n v="2026"/>
    <n v="5"/>
    <s v="25-05-2026"/>
    <n v="7847"/>
    <s v="2105-04"/>
    <n v="30000"/>
    <n v="0"/>
    <s v="Pago bh 108 camila elizabeth ortiz cruz"/>
    <n v="30000"/>
    <s v="Pasivo"/>
    <n v="-30000"/>
    <x v="60"/>
  </r>
  <r>
    <n v="2026"/>
    <n v="5"/>
    <s v="29-05-2026"/>
    <n v="7860"/>
    <s v="2105-04"/>
    <n v="105000"/>
    <n v="0"/>
    <s v="Pago bh 108 soledad del carmen maldonado z"/>
    <n v="105000"/>
    <s v="Pasivo"/>
    <n v="-105000"/>
    <x v="60"/>
  </r>
  <r>
    <n v="2026"/>
    <n v="5"/>
    <s v="31-05-2026"/>
    <n v="10780"/>
    <s v="2105-04"/>
    <n v="0"/>
    <n v="3737812"/>
    <s v="Centralización honorarios mayo 2026 - monto líquido"/>
    <n v="-3737812"/>
    <s v="Pasivo"/>
    <n v="3737812"/>
    <x v="60"/>
  </r>
  <r>
    <n v="2026"/>
    <n v="6"/>
    <s v="05-06-2026"/>
    <n v="8085"/>
    <s v="2105-04"/>
    <n v="385000"/>
    <n v="0"/>
    <s v="Pago bh 1 renato guillen alvarez marquez"/>
    <n v="385000"/>
    <s v="Pasivo"/>
    <n v="-385000"/>
    <x v="60"/>
  </r>
  <r>
    <n v="2026"/>
    <n v="6"/>
    <s v="08-06-2026"/>
    <n v="8064"/>
    <s v="2105-04"/>
    <n v="120000"/>
    <n v="0"/>
    <s v="Pago bh 109 soledad del carmen maldonado z"/>
    <n v="120000"/>
    <s v="Pasivo"/>
    <n v="-120000"/>
    <x v="60"/>
  </r>
  <r>
    <n v="2026"/>
    <n v="6"/>
    <s v="08-06-2026"/>
    <n v="8066"/>
    <s v="2105-04"/>
    <n v="240000"/>
    <n v="0"/>
    <s v="Pago bh 206 julio orlando chaparro cares"/>
    <n v="240000"/>
    <s v="Pasivo"/>
    <n v="-240000"/>
    <x v="60"/>
  </r>
  <r>
    <n v="2026"/>
    <n v="6"/>
    <s v="08-06-2026"/>
    <n v="8079"/>
    <s v="2105-04"/>
    <n v="120000"/>
    <n v="0"/>
    <s v="Pago bh 110 soledad del carmen maldonado z"/>
    <n v="120000"/>
    <s v="Pasivo"/>
    <n v="-120000"/>
    <x v="60"/>
  </r>
  <r>
    <n v="2026"/>
    <n v="6"/>
    <s v="08-06-2026"/>
    <n v="8081"/>
    <s v="2105-04"/>
    <n v="1000000"/>
    <n v="0"/>
    <s v="Pago bh 615 freddy alex rodriguez saez"/>
    <n v="1000000"/>
    <s v="Pasivo"/>
    <n v="-1000000"/>
    <x v="60"/>
  </r>
  <r>
    <n v="2026"/>
    <n v="6"/>
    <s v="11-06-2026"/>
    <n v="7940"/>
    <s v="2105-04"/>
    <n v="90000"/>
    <n v="0"/>
    <s v="012646150k transf a ambiado olivares al"/>
    <n v="90000"/>
    <s v="Pasivo"/>
    <n v="-90000"/>
    <x v="60"/>
  </r>
  <r>
    <n v="2026"/>
    <n v="6"/>
    <s v="11-06-2026"/>
    <n v="8040"/>
    <s v="2105-04"/>
    <n v="90000"/>
    <n v="0"/>
    <s v="Pago bh 61 christian italo quezada pereir"/>
    <n v="90000"/>
    <s v="Pasivo"/>
    <n v="-90000"/>
    <x v="60"/>
  </r>
  <r>
    <n v="2026"/>
    <n v="6"/>
    <s v="11-06-2026"/>
    <n v="8051"/>
    <s v="2105-04"/>
    <n v="90000"/>
    <n v="0"/>
    <s v="Pago bh 123 patrick adolfo lopez nunez"/>
    <n v="90000"/>
    <s v="Pasivo"/>
    <n v="-90000"/>
    <x v="60"/>
  </r>
  <r>
    <n v="2026"/>
    <n v="6"/>
    <s v="11-06-2026"/>
    <n v="8053"/>
    <s v="2105-04"/>
    <n v="600000"/>
    <n v="0"/>
    <s v="Pago bh 125 patrick adolfo lopez nunez"/>
    <n v="600000"/>
    <s v="Pasivo"/>
    <n v="-600000"/>
    <x v="60"/>
  </r>
  <r>
    <n v="2026"/>
    <n v="6"/>
    <s v="12-06-2026"/>
    <n v="8029"/>
    <s v="2105-04"/>
    <n v="250000"/>
    <n v="0"/>
    <s v="Pago bh 92 abraham issaac garate gonzalez"/>
    <n v="250000"/>
    <s v="Pasivo"/>
    <n v="-250000"/>
    <x v="60"/>
  </r>
  <r>
    <n v="2026"/>
    <n v="6"/>
    <s v="12-06-2026"/>
    <n v="8031"/>
    <s v="2105-04"/>
    <n v="175000"/>
    <n v="0"/>
    <s v="Pago bh 104 german stalyn llerena juarez"/>
    <n v="175000"/>
    <s v="Pasivo"/>
    <n v="-175000"/>
    <x v="60"/>
  </r>
  <r>
    <n v="2026"/>
    <n v="6"/>
    <s v="19-06-2026"/>
    <n v="7894"/>
    <s v="2105-04"/>
    <n v="2300"/>
    <n v="0"/>
    <s v="Pago bh 15818611 conservador de bienes raices d"/>
    <n v="2300"/>
    <s v="Pasivo"/>
    <n v="-2300"/>
    <x v="60"/>
  </r>
  <r>
    <n v="2026"/>
    <n v="6"/>
    <s v="22-06-2026"/>
    <n v="7922"/>
    <s v="2105-04"/>
    <n v="120000"/>
    <n v="0"/>
    <s v="0189610955 transf a soledad del carmen maldonado zuniga"/>
    <n v="120000"/>
    <s v="Pasivo"/>
    <n v="-120000"/>
    <x v="60"/>
  </r>
  <r>
    <n v="2026"/>
    <n v="6"/>
    <s v="25-06-2026"/>
    <n v="7990"/>
    <s v="2105-04"/>
    <n v="120000"/>
    <n v="0"/>
    <s v="Pago bh 112 soledad del carmen maldonado z"/>
    <n v="120000"/>
    <s v="Pasivo"/>
    <n v="-120000"/>
    <x v="60"/>
  </r>
  <r>
    <n v="2026"/>
    <n v="6"/>
    <s v="25-06-2026"/>
    <n v="7992"/>
    <s v="2105-04"/>
    <n v="210000"/>
    <n v="0"/>
    <s v="Pago bh 111 felipe ignacio luengo moreira"/>
    <n v="210000"/>
    <s v="Pasivo"/>
    <n v="-210000"/>
    <x v="60"/>
  </r>
  <r>
    <n v="2026"/>
    <n v="6"/>
    <s v="25-06-2026"/>
    <n v="7993"/>
    <s v="2105-04"/>
    <n v="30000"/>
    <n v="0"/>
    <s v="Pago bh 112 camila elizabeth ortiz cruz"/>
    <n v="30000"/>
    <s v="Pasivo"/>
    <n v="-30000"/>
    <x v="60"/>
  </r>
  <r>
    <n v="2026"/>
    <n v="6"/>
    <s v="26-06-2026"/>
    <n v="8212"/>
    <s v="2105-04"/>
    <n v="120000"/>
    <n v="0"/>
    <s v="Pago bh 113 soledad del carmen maldonado z"/>
    <n v="120000"/>
    <s v="Pasivo"/>
    <n v="-120000"/>
    <x v="60"/>
  </r>
  <r>
    <n v="2026"/>
    <n v="6"/>
    <s v="30-06-2026"/>
    <n v="7895"/>
    <s v="2105-04"/>
    <n v="2300"/>
    <n v="0"/>
    <s v="Pago bh 15853888 conservador de bienes raices d"/>
    <n v="2300"/>
    <s v="Pasivo"/>
    <n v="-2300"/>
    <x v="60"/>
  </r>
  <r>
    <n v="2026"/>
    <n v="6"/>
    <s v="30-06-2026"/>
    <n v="10796"/>
    <s v="2105-04"/>
    <n v="0"/>
    <n v="2654600"/>
    <s v="Centralización honorarios junio 2026 - monto líquido"/>
    <n v="-2654600"/>
    <s v="Pasivo"/>
    <n v="2654600"/>
    <x v="60"/>
  </r>
  <r>
    <n v="2026"/>
    <n v="6"/>
    <s v="30-06-2026"/>
    <n v="10845"/>
    <s v="2105-04"/>
    <n v="0"/>
    <n v="1000000"/>
    <s v="Centralización honorarios junio 2026 - monto líquido"/>
    <n v="-1000000"/>
    <s v="Pasivo"/>
    <n v="1000000"/>
    <x v="60"/>
  </r>
  <r>
    <n v="2026"/>
    <n v="7"/>
    <s v="07-07-2026"/>
    <n v="8460"/>
    <s v="2105-04"/>
    <n v="577500"/>
    <n v="0"/>
    <s v="Pago bh 2 renato guillen alvarez marquez"/>
    <n v="577500"/>
    <s v="Pasivo"/>
    <n v="-577500"/>
    <x v="60"/>
  </r>
  <r>
    <n v="2026"/>
    <n v="7"/>
    <s v="07-07-2026"/>
    <n v="8464"/>
    <s v="2105-04"/>
    <n v="317812"/>
    <n v="0"/>
    <s v="Pago bh 113 jorge elizardo rocha saez"/>
    <n v="317812"/>
    <s v="Pasivo"/>
    <n v="-317812"/>
    <x v="60"/>
  </r>
  <r>
    <n v="2026"/>
    <n v="7"/>
    <s v="10-07-2026"/>
    <n v="8483"/>
    <s v="2105-04"/>
    <n v="1000000"/>
    <n v="0"/>
    <s v="Pago bh 619 freddy alex rodriguez saez"/>
    <n v="1000000"/>
    <s v="Pasivo"/>
    <n v="-1000000"/>
    <x v="60"/>
  </r>
  <r>
    <n v="2026"/>
    <n v="7"/>
    <s v="10-07-2026"/>
    <n v="8488"/>
    <s v="2105-04"/>
    <n v="600000"/>
    <n v="0"/>
    <s v="Pago bh 127 patrick adolfo lopez nunez"/>
    <n v="600000"/>
    <s v="Pasivo"/>
    <n v="-600000"/>
    <x v="60"/>
  </r>
  <r>
    <n v="2026"/>
    <n v="7"/>
    <s v="10-07-2026"/>
    <n v="8491"/>
    <s v="2105-04"/>
    <n v="250000"/>
    <n v="0"/>
    <s v="Pago bh 94 abraham issaac garate gonzalez"/>
    <n v="250000"/>
    <s v="Pasivo"/>
    <n v="-250000"/>
    <x v="60"/>
  </r>
  <r>
    <n v="2026"/>
    <n v="7"/>
    <s v="10-07-2026"/>
    <n v="8502"/>
    <s v="2105-04"/>
    <n v="90000"/>
    <n v="0"/>
    <s v="Pago bh 62 christian italo quezada pereir"/>
    <n v="90000"/>
    <s v="Pasivo"/>
    <n v="-90000"/>
    <x v="60"/>
  </r>
  <r>
    <n v="2026"/>
    <n v="7"/>
    <s v="10-07-2026"/>
    <n v="8503"/>
    <s v="2105-04"/>
    <n v="90000"/>
    <n v="0"/>
    <s v="Pago bh 114 soledad del carmen maldonado z"/>
    <n v="90000"/>
    <s v="Pasivo"/>
    <n v="-90000"/>
    <x v="60"/>
  </r>
  <r>
    <n v="2026"/>
    <n v="7"/>
    <s v="10-07-2026"/>
    <n v="8504"/>
    <s v="2105-04"/>
    <n v="90000"/>
    <n v="0"/>
    <s v="Pago bh 126 patrick adolfo lopez nunez"/>
    <n v="90000"/>
    <s v="Pasivo"/>
    <n v="-90000"/>
    <x v="60"/>
  </r>
  <r>
    <n v="2026"/>
    <n v="7"/>
    <s v="15-07-2026"/>
    <n v="8525"/>
    <s v="2105-04"/>
    <n v="90000"/>
    <n v="0"/>
    <s v="Pago bh 115 soledad del carmen maldonado z"/>
    <n v="90000"/>
    <s v="Pasivo"/>
    <n v="-90000"/>
    <x v="60"/>
  </r>
  <r>
    <n v="2026"/>
    <n v="7"/>
    <s v="23-07-2026"/>
    <n v="8560"/>
    <s v="2105-04"/>
    <n v="210000"/>
    <n v="0"/>
    <s v="Pago bh 114 felipe ignacio luengo moreira"/>
    <n v="210000"/>
    <s v="Pasivo"/>
    <n v="-210000"/>
    <x v="60"/>
  </r>
  <r>
    <n v="2026"/>
    <n v="7"/>
    <s v="23-07-2026"/>
    <n v="8562"/>
    <s v="2105-04"/>
    <n v="105000"/>
    <n v="0"/>
    <s v="Pago bh 116 soledad del carmen maldonado z"/>
    <n v="105000"/>
    <s v="Pasivo"/>
    <n v="-105000"/>
    <x v="60"/>
  </r>
  <r>
    <n v="2026"/>
    <n v="7"/>
    <s v="31-07-2026"/>
    <n v="8664"/>
    <s v="2105-04"/>
    <n v="4600"/>
    <n v="0"/>
    <s v="Pago bh 15982563 conservador de bienes raices d"/>
    <n v="4600"/>
    <s v="Pasivo"/>
    <n v="-4600"/>
    <x v="60"/>
  </r>
  <r>
    <n v="2026"/>
    <n v="7"/>
    <s v="31-07-2026"/>
    <n v="10850"/>
    <s v="2105-04"/>
    <n v="0"/>
    <n v="4109912"/>
    <s v="Centralización honorarios julio 2026 - monto líquido"/>
    <n v="-4109912"/>
    <s v="Pasivo"/>
    <n v="4109912"/>
    <x v="60"/>
  </r>
  <r>
    <n v="2026"/>
    <n v="4"/>
    <s v="01-04-2026"/>
    <n v="7482"/>
    <s v="2105-05"/>
    <n v="4500000"/>
    <n v="0"/>
    <s v="0257106268 transf a alvaro millan"/>
    <n v="4500000"/>
    <s v="Pasivo"/>
    <n v="-4500000"/>
    <x v="61"/>
  </r>
  <r>
    <n v="2026"/>
    <n v="4"/>
    <s v="09-04-2026"/>
    <n v="7540"/>
    <s v="2105-05"/>
    <n v="878292"/>
    <n v="0"/>
    <s v="Finiquito cuota 13 carolina gonzalez"/>
    <n v="878292"/>
    <s v="Pasivo"/>
    <n v="-878292"/>
    <x v="61"/>
  </r>
  <r>
    <n v="2026"/>
    <n v="4"/>
    <s v="10-04-2026"/>
    <n v="7578"/>
    <s v="2105-05"/>
    <n v="1000000"/>
    <n v="0"/>
    <s v="Finiquito gisela alvarez"/>
    <n v="1000000"/>
    <s v="Pasivo"/>
    <n v="-1000000"/>
    <x v="61"/>
  </r>
  <r>
    <n v="2026"/>
    <n v="4"/>
    <s v="14-04-2026"/>
    <n v="7603"/>
    <s v="2105-05"/>
    <n v="173044"/>
    <n v="0"/>
    <s v="Finiquito cuota 13 gisela alvarez"/>
    <n v="173044"/>
    <s v="Pasivo"/>
    <n v="-173044"/>
    <x v="61"/>
  </r>
  <r>
    <n v="2026"/>
    <n v="4"/>
    <s v="30-04-2026"/>
    <n v="10779"/>
    <s v="2105-05"/>
    <n v="0"/>
    <n v="3519133"/>
    <s v="Finiquitos abril gisela álvarez bello"/>
    <n v="-3519133"/>
    <s v="Pasivo"/>
    <n v="3519133"/>
    <x v="61"/>
  </r>
  <r>
    <n v="2026"/>
    <n v="4"/>
    <s v="30-04-2026"/>
    <n v="10779"/>
    <s v="2105-05"/>
    <n v="0"/>
    <n v="4500000"/>
    <s v="Finiquitos abril alvaro manuel millan moya"/>
    <n v="-4500000"/>
    <s v="Pasivo"/>
    <n v="4500000"/>
    <x v="61"/>
  </r>
  <r>
    <n v="2026"/>
    <n v="4"/>
    <s v="30-04-2026"/>
    <n v="10779"/>
    <s v="2105-05"/>
    <n v="0"/>
    <n v="2634876"/>
    <s v="Finiquitos abril carolina gonzález núñez"/>
    <n v="-2634876"/>
    <s v="Pasivo"/>
    <n v="2634876"/>
    <x v="61"/>
  </r>
  <r>
    <n v="2026"/>
    <n v="5"/>
    <s v="06-05-2026"/>
    <n v="7716"/>
    <s v="2105-05"/>
    <n v="1199584"/>
    <n v="0"/>
    <s v="Finiquito cuota 23 carolina gonzalez"/>
    <n v="1199584"/>
    <s v="Pasivo"/>
    <n v="-1199584"/>
    <x v="61"/>
  </r>
  <r>
    <n v="2026"/>
    <n v="5"/>
    <s v="06-05-2026"/>
    <n v="7717"/>
    <s v="2105-05"/>
    <n v="849782"/>
    <n v="0"/>
    <s v="Finiquito cuota 23 gisela alvarez"/>
    <n v="849782"/>
    <s v="Pasivo"/>
    <n v="-849782"/>
    <x v="61"/>
  </r>
  <r>
    <n v="2026"/>
    <n v="6"/>
    <s v="08-06-2026"/>
    <n v="7951"/>
    <s v="2105-05"/>
    <n v="799441"/>
    <n v="0"/>
    <s v="Pago finiquito gonzalez nuñez caro"/>
    <n v="799441"/>
    <s v="Pasivo"/>
    <n v="-799441"/>
    <x v="61"/>
  </r>
  <r>
    <n v="2026"/>
    <n v="6"/>
    <s v="08-06-2026"/>
    <n v="7955"/>
    <s v="2105-05"/>
    <n v="1253866"/>
    <n v="0"/>
    <s v="Finiquito gisela alvarez bello"/>
    <n v="1253866"/>
    <s v="Pasivo"/>
    <n v="-1253866"/>
    <x v="61"/>
  </r>
  <r>
    <n v="2026"/>
    <n v="6"/>
    <s v="16-06-2026"/>
    <n v="7903"/>
    <s v="2105-05"/>
    <n v="0"/>
    <n v="6628873"/>
    <s v="Finiquitos junio"/>
    <n v="-6628873"/>
    <s v="Pasivo"/>
    <n v="6628873"/>
    <x v="61"/>
  </r>
  <r>
    <n v="2026"/>
    <n v="6"/>
    <s v="18-06-2026"/>
    <n v="7927"/>
    <s v="2105-05"/>
    <n v="6628873"/>
    <n v="0"/>
    <s v="Finiquitos junio 2026"/>
    <n v="6628873"/>
    <s v="Pasivo"/>
    <n v="-6628873"/>
    <x v="61"/>
  </r>
  <r>
    <n v="2026"/>
    <n v="1"/>
    <s v="01-01-2026"/>
    <n v="8214"/>
    <s v="2106-04"/>
    <n v="242815"/>
    <n v="0"/>
    <s v="Saldo cuentas"/>
    <n v="242815"/>
    <s v="Pasivo"/>
    <n v="-242815"/>
    <x v="62"/>
  </r>
  <r>
    <n v="2026"/>
    <n v="1"/>
    <s v="01-01-2026"/>
    <n v="9827"/>
    <s v="2106-04"/>
    <n v="0"/>
    <n v="242815"/>
    <s v=""/>
    <n v="-242815"/>
    <s v="Pasivo"/>
    <n v="242815"/>
    <x v="62"/>
  </r>
  <r>
    <n v="2026"/>
    <n v="1"/>
    <s v="01-01-2026"/>
    <n v="9827"/>
    <s v="2106-05"/>
    <n v="0"/>
    <n v="5343858"/>
    <s v=""/>
    <n v="-5343858"/>
    <s v="Pasivo"/>
    <n v="5343858"/>
    <x v="63"/>
  </r>
  <r>
    <n v="2026"/>
    <n v="1"/>
    <s v="07-01-2026"/>
    <n v="6942"/>
    <s v="2106-05"/>
    <n v="5343858"/>
    <n v="0"/>
    <s v="Traspaso internet a t. crédito"/>
    <n v="5343858"/>
    <s v="Pasivo"/>
    <n v="-5343858"/>
    <x v="63"/>
  </r>
  <r>
    <n v="2026"/>
    <n v="1"/>
    <s v="31-01-2026"/>
    <n v="9825"/>
    <s v="2106-05"/>
    <n v="0"/>
    <n v="5076616"/>
    <s v="Tc santander 6647"/>
    <n v="-5076616"/>
    <s v="Pasivo"/>
    <n v="5076616"/>
    <x v="63"/>
  </r>
  <r>
    <n v="2026"/>
    <n v="2"/>
    <s v="05-02-2026"/>
    <n v="7117"/>
    <s v="2106-05"/>
    <n v="1000000"/>
    <n v="0"/>
    <s v="Traspaso internet a t. crédito santander 6647"/>
    <n v="1000000"/>
    <s v="Pasivo"/>
    <n v="-1000000"/>
    <x v="63"/>
  </r>
  <r>
    <n v="2026"/>
    <n v="2"/>
    <s v="16-02-2026"/>
    <n v="7213"/>
    <s v="2106-05"/>
    <n v="1000000"/>
    <n v="0"/>
    <s v="Traspaso internet a t. crédito santander 6647"/>
    <n v="1000000"/>
    <s v="Pasivo"/>
    <n v="-1000000"/>
    <x v="63"/>
  </r>
  <r>
    <n v="2026"/>
    <n v="2"/>
    <s v="23-02-2026"/>
    <n v="7244"/>
    <s v="2106-05"/>
    <n v="2000000"/>
    <n v="0"/>
    <s v="Traspaso internet a t. crédito santander 6647"/>
    <n v="2000000"/>
    <s v="Pasivo"/>
    <n v="-2000000"/>
    <x v="63"/>
  </r>
  <r>
    <n v="2026"/>
    <n v="2"/>
    <s v="28-02-2026"/>
    <n v="10601"/>
    <s v="2106-05"/>
    <n v="0"/>
    <n v="2582438"/>
    <s v="Centralizacion tc 6647"/>
    <n v="-2582438"/>
    <s v="Pasivo"/>
    <n v="2582438"/>
    <x v="63"/>
  </r>
  <r>
    <n v="2026"/>
    <n v="3"/>
    <s v="05-03-2026"/>
    <n v="7319"/>
    <s v="2106-05"/>
    <n v="3659054"/>
    <n v="0"/>
    <s v="Traspaso internet a t. crédito"/>
    <n v="3659054"/>
    <s v="Pasivo"/>
    <n v="-3659054"/>
    <x v="63"/>
  </r>
  <r>
    <n v="2026"/>
    <n v="3"/>
    <s v="23-03-2026"/>
    <n v="7441"/>
    <s v="2106-05"/>
    <n v="1000000"/>
    <n v="0"/>
    <s v="Traspaso internet a t. crédito santander 6647"/>
    <n v="1000000"/>
    <s v="Pasivo"/>
    <n v="-1000000"/>
    <x v="63"/>
  </r>
  <r>
    <n v="2026"/>
    <n v="3"/>
    <s v="31-03-2026"/>
    <n v="10750"/>
    <s v="2106-05"/>
    <n v="0"/>
    <n v="7054143"/>
    <s v="Centralizacion tc 6647"/>
    <n v="-7054143"/>
    <s v="Pasivo"/>
    <n v="7054143"/>
    <x v="63"/>
  </r>
  <r>
    <n v="2026"/>
    <n v="3"/>
    <s v="31-03-2026"/>
    <n v="10751"/>
    <s v="2106-05"/>
    <n v="1000000"/>
    <n v="0"/>
    <s v="Anticipo tc"/>
    <n v="1000000"/>
    <s v="Pasivo"/>
    <n v="-1000000"/>
    <x v="63"/>
  </r>
  <r>
    <n v="2026"/>
    <n v="4"/>
    <s v="07-04-2026"/>
    <n v="7509"/>
    <s v="2106-05"/>
    <n v="5054143"/>
    <n v="0"/>
    <s v="Traspaso internet a t. crédito"/>
    <n v="5054143"/>
    <s v="Pasivo"/>
    <n v="-5054143"/>
    <x v="63"/>
  </r>
  <r>
    <n v="2026"/>
    <n v="4"/>
    <s v="22-04-2026"/>
    <n v="10775"/>
    <s v="2106-05"/>
    <n v="0"/>
    <n v="5009867"/>
    <s v="Centralizacion tc 6647"/>
    <n v="-5009867"/>
    <s v="Pasivo"/>
    <n v="5009867"/>
    <x v="63"/>
  </r>
  <r>
    <n v="2026"/>
    <n v="4"/>
    <s v="22-04-2026"/>
    <n v="10775"/>
    <s v="2106-05"/>
    <n v="500000"/>
    <n v="0"/>
    <s v="Traspaso internet a t. crédito"/>
    <n v="500000"/>
    <s v="Pasivo"/>
    <n v="-500000"/>
    <x v="63"/>
  </r>
  <r>
    <n v="2026"/>
    <n v="5"/>
    <s v="05-05-2026"/>
    <n v="7710"/>
    <s v="2106-05"/>
    <n v="4509867"/>
    <n v="0"/>
    <s v="Traspaso internet a t. crédito"/>
    <n v="4509867"/>
    <s v="Pasivo"/>
    <n v="-4509867"/>
    <x v="63"/>
  </r>
  <r>
    <n v="2026"/>
    <n v="5"/>
    <s v="25-05-2026"/>
    <n v="10788"/>
    <s v="2106-05"/>
    <n v="0"/>
    <n v="4960859"/>
    <s v="Centralizacion tc 6647"/>
    <n v="-4960859"/>
    <s v="Pasivo"/>
    <n v="4960859"/>
    <x v="63"/>
  </r>
  <r>
    <n v="2026"/>
    <n v="6"/>
    <s v="04-06-2026"/>
    <n v="10839"/>
    <s v="2106-05"/>
    <n v="4960859"/>
    <n v="0"/>
    <s v="Traspaso internet a t. crédito"/>
    <n v="4960859"/>
    <s v="Pasivo"/>
    <n v="-4960859"/>
    <x v="63"/>
  </r>
  <r>
    <n v="2026"/>
    <n v="6"/>
    <s v="23-06-2026"/>
    <n v="10806"/>
    <s v="2106-05"/>
    <n v="0"/>
    <n v="248995"/>
    <s v="Centralizacion tc 6647 junio"/>
    <n v="-248995"/>
    <s v="Pasivo"/>
    <n v="248995"/>
    <x v="63"/>
  </r>
  <r>
    <n v="2026"/>
    <n v="6"/>
    <s v="23-06-2026"/>
    <n v="10848"/>
    <s v="2106-05"/>
    <n v="0"/>
    <n v="4179243"/>
    <s v="Centralizacion tc 6647 junio"/>
    <n v="-4179243"/>
    <s v="Pasivo"/>
    <n v="4179243"/>
    <x v="63"/>
  </r>
  <r>
    <n v="2026"/>
    <n v="7"/>
    <s v="02-07-2026"/>
    <n v="8635"/>
    <s v="2106-05"/>
    <n v="0"/>
    <n v="6775"/>
    <s v="Pago microsoft"/>
    <n v="-6775"/>
    <s v="Pasivo"/>
    <n v="6775"/>
    <x v="63"/>
  </r>
  <r>
    <n v="2026"/>
    <n v="7"/>
    <s v="02-07-2026"/>
    <n v="8636"/>
    <s v="2106-05"/>
    <n v="0"/>
    <n v="19990"/>
    <s v="Pago apple"/>
    <n v="-19990"/>
    <s v="Pasivo"/>
    <n v="19990"/>
    <x v="63"/>
  </r>
  <r>
    <n v="2026"/>
    <n v="7"/>
    <s v="03-07-2026"/>
    <n v="8637"/>
    <s v="2106-05"/>
    <n v="0"/>
    <n v="39350"/>
    <s v="Pago twilio sendgrid"/>
    <n v="-39350"/>
    <s v="Pasivo"/>
    <n v="39350"/>
    <x v="63"/>
  </r>
  <r>
    <n v="2026"/>
    <n v="7"/>
    <s v="04-07-2026"/>
    <n v="8638"/>
    <s v="2106-05"/>
    <n v="0"/>
    <n v="28139"/>
    <s v="Pago jivrus.tech"/>
    <n v="-28139"/>
    <s v="Pasivo"/>
    <n v="28139"/>
    <x v="63"/>
  </r>
  <r>
    <n v="2026"/>
    <n v="7"/>
    <s v="05-07-2026"/>
    <n v="8639"/>
    <s v="2106-05"/>
    <n v="0"/>
    <n v="45999"/>
    <s v="Pago linkedin"/>
    <n v="-45999"/>
    <s v="Pasivo"/>
    <n v="45999"/>
    <x v="63"/>
  </r>
  <r>
    <n v="2026"/>
    <n v="7"/>
    <s v="05-07-2026"/>
    <n v="8640"/>
    <s v="2106-05"/>
    <n v="0"/>
    <n v="108469"/>
    <s v="Pago adobe"/>
    <n v="-108469"/>
    <s v="Pasivo"/>
    <n v="108469"/>
    <x v="63"/>
  </r>
  <r>
    <n v="2026"/>
    <n v="7"/>
    <s v="06-07-2026"/>
    <n v="8641"/>
    <s v="2106-05"/>
    <n v="0"/>
    <n v="198127"/>
    <s v="Pago fact 3043663 zurich chile seguros generales s.a."/>
    <n v="-198127"/>
    <s v="Pasivo"/>
    <n v="198127"/>
    <x v="63"/>
  </r>
  <r>
    <n v="2026"/>
    <n v="7"/>
    <s v="06-07-2026"/>
    <n v="8642"/>
    <s v="2106-05"/>
    <n v="0"/>
    <n v="492633"/>
    <s v="Pago monday.c"/>
    <n v="-492633"/>
    <s v="Pasivo"/>
    <n v="492633"/>
    <x v="63"/>
  </r>
  <r>
    <n v="2026"/>
    <n v="7"/>
    <s v="07-07-2026"/>
    <n v="10872"/>
    <s v="2106-05"/>
    <n v="4428238"/>
    <n v="0"/>
    <s v="Traspaso tarjeta de credito"/>
    <n v="4428238"/>
    <s v="Pasivo"/>
    <n v="-4428238"/>
    <x v="63"/>
  </r>
  <r>
    <n v="2026"/>
    <n v="7"/>
    <s v="08-07-2026"/>
    <n v="8643"/>
    <s v="2106-05"/>
    <n v="0"/>
    <n v="4771"/>
    <s v="Pago microsoft"/>
    <n v="-4771"/>
    <s v="Pasivo"/>
    <n v="4771"/>
    <x v="63"/>
  </r>
  <r>
    <n v="2026"/>
    <n v="7"/>
    <s v="09-07-2026"/>
    <n v="8644"/>
    <s v="2106-05"/>
    <n v="0"/>
    <n v="108537"/>
    <s v="Pago microsoft"/>
    <n v="-108537"/>
    <s v="Pasivo"/>
    <n v="108537"/>
    <x v="63"/>
  </r>
  <r>
    <n v="2026"/>
    <n v="7"/>
    <s v="09-07-2026"/>
    <n v="8645"/>
    <s v="2106-05"/>
    <n v="0"/>
    <n v="18990"/>
    <s v="Pago apple"/>
    <n v="-18990"/>
    <s v="Pasivo"/>
    <n v="18990"/>
    <x v="63"/>
  </r>
  <r>
    <n v="2026"/>
    <n v="7"/>
    <s v="10-07-2026"/>
    <n v="8646"/>
    <s v="2106-05"/>
    <n v="0"/>
    <n v="10990"/>
    <s v="Pago apple"/>
    <n v="-10990"/>
    <s v="Pasivo"/>
    <n v="10990"/>
    <x v="63"/>
  </r>
  <r>
    <n v="2026"/>
    <n v="7"/>
    <s v="10-07-2026"/>
    <n v="8647"/>
    <s v="2106-05"/>
    <n v="0"/>
    <n v="22524"/>
    <s v="Pago claude"/>
    <n v="-22524"/>
    <s v="Pasivo"/>
    <n v="22524"/>
    <x v="63"/>
  </r>
  <r>
    <n v="2026"/>
    <n v="7"/>
    <s v="13-07-2026"/>
    <n v="8648"/>
    <s v="2106-05"/>
    <n v="0"/>
    <n v="107057"/>
    <s v="Pago zapier"/>
    <n v="-107057"/>
    <s v="Pasivo"/>
    <n v="107057"/>
    <x v="63"/>
  </r>
  <r>
    <n v="2026"/>
    <n v="7"/>
    <s v="14-07-2026"/>
    <n v="8649"/>
    <s v="2106-05"/>
    <n v="0"/>
    <n v="156161"/>
    <s v="Pago plataforma"/>
    <n v="-156161"/>
    <s v="Pasivo"/>
    <n v="156161"/>
    <x v="63"/>
  </r>
  <r>
    <n v="2026"/>
    <n v="7"/>
    <s v="14-07-2026"/>
    <n v="8650"/>
    <s v="2106-05"/>
    <n v="0"/>
    <n v="687976"/>
    <s v="Pago sytex"/>
    <n v="-687976"/>
    <s v="Pasivo"/>
    <n v="687976"/>
    <x v="63"/>
  </r>
  <r>
    <n v="2026"/>
    <n v="7"/>
    <s v="14-07-2026"/>
    <n v="8651"/>
    <s v="2106-05"/>
    <n v="0"/>
    <n v="650513"/>
    <s v="Pago sytex"/>
    <n v="-650513"/>
    <s v="Pasivo"/>
    <n v="650513"/>
    <x v="63"/>
  </r>
  <r>
    <n v="2026"/>
    <n v="7"/>
    <s v="14-07-2026"/>
    <n v="8652"/>
    <s v="2106-05"/>
    <n v="0"/>
    <n v="357000"/>
    <s v="Pago fact 2910519 starlink chile spa"/>
    <n v="-357000"/>
    <s v="Pasivo"/>
    <n v="357000"/>
    <x v="63"/>
  </r>
  <r>
    <n v="2026"/>
    <n v="7"/>
    <s v="15-07-2026"/>
    <n v="8653"/>
    <s v="2106-05"/>
    <n v="0"/>
    <n v="146710"/>
    <s v="Pago fact 1850478 nubox"/>
    <n v="-146710"/>
    <s v="Pasivo"/>
    <n v="146710"/>
    <x v="63"/>
  </r>
  <r>
    <n v="2026"/>
    <n v="7"/>
    <s v="20-07-2026"/>
    <n v="8654"/>
    <s v="2106-05"/>
    <n v="0"/>
    <n v="13980"/>
    <s v="Compra mercado libre"/>
    <n v="-13980"/>
    <s v="Pasivo"/>
    <n v="13980"/>
    <x v="63"/>
  </r>
  <r>
    <n v="2026"/>
    <n v="7"/>
    <s v="20-07-2026"/>
    <n v="8655"/>
    <s v="2106-05"/>
    <n v="0"/>
    <n v="56663"/>
    <s v="Compra mercado libre"/>
    <n v="-56663"/>
    <s v="Pasivo"/>
    <n v="56663"/>
    <x v="63"/>
  </r>
  <r>
    <n v="2026"/>
    <n v="7"/>
    <s v="21-07-2026"/>
    <n v="8656"/>
    <s v="2106-05"/>
    <n v="0"/>
    <n v="248000"/>
    <s v="Pago fact 2939759 starlink chile spa"/>
    <n v="-248000"/>
    <s v="Pasivo"/>
    <n v="248000"/>
    <x v="63"/>
  </r>
  <r>
    <n v="2026"/>
    <n v="7"/>
    <s v="23-07-2026"/>
    <n v="8630"/>
    <s v="2106-05"/>
    <n v="0"/>
    <n v="98179"/>
    <s v="Platforma ultima cuota"/>
    <n v="-98179"/>
    <s v="Pasivo"/>
    <n v="98179"/>
    <x v="63"/>
  </r>
  <r>
    <n v="2026"/>
    <n v="7"/>
    <s v="23-07-2026"/>
    <n v="8631"/>
    <s v="2106-05"/>
    <n v="0"/>
    <n v="66643"/>
    <s v="Insumos"/>
    <n v="-66643"/>
    <s v="Pasivo"/>
    <n v="66643"/>
    <x v="63"/>
  </r>
  <r>
    <n v="2026"/>
    <n v="7"/>
    <s v="23-07-2026"/>
    <n v="8632"/>
    <s v="2106-05"/>
    <n v="0"/>
    <n v="91292"/>
    <s v="Pago fact 5178952 latam airlines group sa"/>
    <n v="-91292"/>
    <s v="Pasivo"/>
    <n v="91292"/>
    <x v="63"/>
  </r>
  <r>
    <n v="2026"/>
    <n v="7"/>
    <s v="23-07-2026"/>
    <n v="8633"/>
    <s v="2106-05"/>
    <n v="0"/>
    <n v="41700"/>
    <s v="Plataforma"/>
    <n v="-41700"/>
    <s v="Pasivo"/>
    <n v="41700"/>
    <x v="63"/>
  </r>
  <r>
    <n v="2026"/>
    <n v="7"/>
    <s v="23-07-2026"/>
    <n v="8634"/>
    <s v="2106-05"/>
    <n v="0"/>
    <n v="109487"/>
    <s v="Alojamiento chillan"/>
    <n v="-109487"/>
    <s v="Pasivo"/>
    <n v="109487"/>
    <x v="63"/>
  </r>
  <r>
    <n v="2026"/>
    <n v="7"/>
    <s v="23-07-2026"/>
    <n v="8657"/>
    <s v="2106-05"/>
    <n v="0"/>
    <n v="15930"/>
    <s v="Comision mantencion"/>
    <n v="-15930"/>
    <s v="Pasivo"/>
    <n v="15930"/>
    <x v="63"/>
  </r>
  <r>
    <n v="2026"/>
    <n v="1"/>
    <s v="01-01-2026"/>
    <n v="9827"/>
    <s v="2106-06"/>
    <n v="0"/>
    <n v="134333"/>
    <s v=""/>
    <n v="-134333"/>
    <s v="Pasivo"/>
    <n v="134333"/>
    <x v="64"/>
  </r>
  <r>
    <n v="2026"/>
    <n v="1"/>
    <s v="07-01-2026"/>
    <n v="6971"/>
    <s v="2106-06"/>
    <n v="134333"/>
    <n v="0"/>
    <s v="Traspaso internet a t. crédito 5130"/>
    <n v="134333"/>
    <s v="Pasivo"/>
    <n v="-134333"/>
    <x v="64"/>
  </r>
  <r>
    <n v="2026"/>
    <n v="1"/>
    <s v="31-01-2026"/>
    <n v="9824"/>
    <s v="2106-08"/>
    <n v="0"/>
    <n v="393870"/>
    <s v="Tc santander 5130"/>
    <n v="-393870"/>
    <s v="Pasivo"/>
    <n v="393870"/>
    <x v="65"/>
  </r>
  <r>
    <n v="2026"/>
    <n v="2"/>
    <s v="02-02-2026"/>
    <n v="7110"/>
    <s v="2106-08"/>
    <n v="393870"/>
    <n v="0"/>
    <s v="Traspaso internet a t. crédito santander 5130"/>
    <n v="393870"/>
    <s v="Pasivo"/>
    <n v="-393870"/>
    <x v="65"/>
  </r>
  <r>
    <n v="2026"/>
    <n v="2"/>
    <s v="28-02-2026"/>
    <n v="10600"/>
    <s v="2106-08"/>
    <n v="0"/>
    <n v="409744"/>
    <s v="Centralizacion tc 5130"/>
    <n v="-409744"/>
    <s v="Pasivo"/>
    <n v="409744"/>
    <x v="65"/>
  </r>
  <r>
    <n v="2026"/>
    <n v="3"/>
    <s v="05-03-2026"/>
    <n v="7321"/>
    <s v="2106-08"/>
    <n v="409744"/>
    <n v="0"/>
    <s v="Traspaso internet a t. crédito"/>
    <n v="409744"/>
    <s v="Pasivo"/>
    <n v="-409744"/>
    <x v="65"/>
  </r>
  <r>
    <n v="2026"/>
    <n v="3"/>
    <s v="31-03-2026"/>
    <n v="10749"/>
    <s v="2106-08"/>
    <n v="0"/>
    <n v="586817"/>
    <s v="Centralizacion tc 5130"/>
    <n v="-586817"/>
    <s v="Pasivo"/>
    <n v="586817"/>
    <x v="65"/>
  </r>
  <r>
    <n v="2026"/>
    <n v="4"/>
    <s v="07-04-2026"/>
    <n v="7512"/>
    <s v="2106-08"/>
    <n v="586817"/>
    <n v="0"/>
    <s v="Traspaso internet a t. crédito"/>
    <n v="586817"/>
    <s v="Pasivo"/>
    <n v="-586817"/>
    <x v="65"/>
  </r>
  <r>
    <n v="2026"/>
    <n v="4"/>
    <s v="22-04-2026"/>
    <n v="10774"/>
    <s v="2106-08"/>
    <n v="0"/>
    <n v="4452468"/>
    <s v="Centralizacion tc 5130"/>
    <n v="-4452468"/>
    <s v="Pasivo"/>
    <n v="4452468"/>
    <x v="65"/>
  </r>
  <r>
    <n v="2026"/>
    <n v="5"/>
    <s v="05-05-2026"/>
    <n v="7711"/>
    <s v="2106-08"/>
    <n v="4452468"/>
    <n v="0"/>
    <s v="Traspaso internet a t. crédito"/>
    <n v="4452468"/>
    <s v="Pasivo"/>
    <n v="-4452468"/>
    <x v="65"/>
  </r>
  <r>
    <n v="2026"/>
    <n v="5"/>
    <s v="25-05-2026"/>
    <n v="10787"/>
    <s v="2106-08"/>
    <n v="0"/>
    <n v="668393"/>
    <s v="Centralizacion tc 5130"/>
    <n v="-668393"/>
    <s v="Pasivo"/>
    <n v="668393"/>
    <x v="65"/>
  </r>
  <r>
    <n v="2026"/>
    <n v="6"/>
    <s v="04-06-2026"/>
    <n v="10838"/>
    <s v="2106-08"/>
    <n v="668393"/>
    <n v="0"/>
    <s v="Traspaso internet a t. crédito"/>
    <n v="668393"/>
    <s v="Pasivo"/>
    <n v="-668393"/>
    <x v="65"/>
  </r>
  <r>
    <n v="2026"/>
    <n v="6"/>
    <s v="23-06-2026"/>
    <n v="10805"/>
    <s v="2106-08"/>
    <n v="0"/>
    <n v="601132"/>
    <s v="Centralizacion tc 5130 junio"/>
    <n v="-601132"/>
    <s v="Pasivo"/>
    <n v="601132"/>
    <x v="65"/>
  </r>
  <r>
    <n v="2026"/>
    <n v="6"/>
    <s v="23-06-2026"/>
    <n v="10847"/>
    <s v="2106-08"/>
    <n v="0"/>
    <n v="533087"/>
    <s v="Centralizacion tc 5130 junio"/>
    <n v="-533087"/>
    <s v="Pasivo"/>
    <n v="533087"/>
    <x v="65"/>
  </r>
  <r>
    <n v="2026"/>
    <n v="7"/>
    <s v="04-07-2026"/>
    <n v="8623"/>
    <s v="2106-08"/>
    <n v="0"/>
    <n v="70000"/>
    <s v="Ebw tcom sim"/>
    <n v="-70000"/>
    <s v="Pasivo"/>
    <n v="70000"/>
    <x v="65"/>
  </r>
  <r>
    <n v="2026"/>
    <n v="7"/>
    <s v="07-07-2026"/>
    <n v="10874"/>
    <s v="2106-08"/>
    <n v="1134219"/>
    <n v="0"/>
    <s v="Traspaso tarjeta de credito"/>
    <n v="1134219"/>
    <s v="Pasivo"/>
    <n v="-1134219"/>
    <x v="65"/>
  </r>
  <r>
    <n v="2026"/>
    <n v="7"/>
    <s v="10-07-2026"/>
    <n v="8624"/>
    <s v="2106-08"/>
    <n v="0"/>
    <n v="12580"/>
    <s v="Colacion"/>
    <n v="-12580"/>
    <s v="Pasivo"/>
    <n v="12580"/>
    <x v="65"/>
  </r>
  <r>
    <n v="2026"/>
    <n v="7"/>
    <s v="14-07-2026"/>
    <n v="8625"/>
    <s v="2106-08"/>
    <n v="0"/>
    <n v="15300"/>
    <s v="Pago combustible"/>
    <n v="-15300"/>
    <s v="Pasivo"/>
    <n v="15300"/>
    <x v="65"/>
  </r>
  <r>
    <n v="2026"/>
    <n v="7"/>
    <s v="15-07-2026"/>
    <n v="8626"/>
    <s v="2106-08"/>
    <n v="0"/>
    <n v="229850"/>
    <s v="Pago fact 22899789 construmart s.a."/>
    <n v="-229850"/>
    <s v="Pasivo"/>
    <n v="229850"/>
    <x v="65"/>
  </r>
  <r>
    <n v="2026"/>
    <n v="7"/>
    <s v="17-07-2026"/>
    <n v="8627"/>
    <s v="2106-08"/>
    <n v="0"/>
    <n v="530835"/>
    <s v="Pago fact 423674 tecnologia lk spa"/>
    <n v="-530835"/>
    <s v="Pasivo"/>
    <n v="530835"/>
    <x v="65"/>
  </r>
  <r>
    <n v="2026"/>
    <n v="7"/>
    <s v="17-07-2026"/>
    <n v="8628"/>
    <s v="2106-08"/>
    <n v="0"/>
    <n v="60930"/>
    <s v="Pago fact 52684 abregoaudio spa"/>
    <n v="-60930"/>
    <s v="Pasivo"/>
    <n v="60930"/>
    <x v="65"/>
  </r>
  <r>
    <n v="2026"/>
    <n v="7"/>
    <s v="23-07-2026"/>
    <n v="8617"/>
    <s v="2106-08"/>
    <n v="0"/>
    <n v="115922"/>
    <s v="Pago fact 25488009 cencosud retail s.a."/>
    <n v="-115922"/>
    <s v="Pasivo"/>
    <n v="115922"/>
    <x v="65"/>
  </r>
  <r>
    <n v="2026"/>
    <n v="7"/>
    <s v="23-07-2026"/>
    <n v="8618"/>
    <s v="2106-08"/>
    <n v="0"/>
    <n v="207837"/>
    <s v="Pago fact 3632145 intcomex s.a."/>
    <n v="-207837"/>
    <s v="Pasivo"/>
    <n v="207837"/>
    <x v="65"/>
  </r>
  <r>
    <n v="2026"/>
    <n v="7"/>
    <s v="23-07-2026"/>
    <n v="8619"/>
    <s v="2106-08"/>
    <n v="0"/>
    <n v="40000"/>
    <s v="Colacion"/>
    <n v="-40000"/>
    <s v="Pasivo"/>
    <n v="40000"/>
    <x v="65"/>
  </r>
  <r>
    <n v="2026"/>
    <n v="7"/>
    <s v="23-07-2026"/>
    <n v="8620"/>
    <s v="2106-08"/>
    <n v="0"/>
    <n v="41800"/>
    <s v="Pago fact 3743475 soc. comerc. de repuestos s.p.a."/>
    <n v="-41800"/>
    <s v="Pasivo"/>
    <n v="41800"/>
    <x v="65"/>
  </r>
  <r>
    <n v="2026"/>
    <n v="7"/>
    <s v="23-07-2026"/>
    <n v="8621"/>
    <s v="2106-08"/>
    <n v="0"/>
    <n v="87000"/>
    <s v="Pago fact 704935 automotora inalco s.a."/>
    <n v="-87000"/>
    <s v="Pasivo"/>
    <n v="87000"/>
    <x v="65"/>
  </r>
  <r>
    <n v="2026"/>
    <n v="7"/>
    <s v="23-07-2026"/>
    <n v="8622"/>
    <s v="2106-08"/>
    <n v="0"/>
    <n v="82547"/>
    <s v="Colacion"/>
    <n v="-82547"/>
    <s v="Pasivo"/>
    <n v="82547"/>
    <x v="65"/>
  </r>
  <r>
    <n v="2026"/>
    <n v="7"/>
    <s v="23-07-2026"/>
    <n v="8629"/>
    <s v="2106-08"/>
    <n v="0"/>
    <n v="15930"/>
    <s v="Comision de mantencion"/>
    <n v="-15930"/>
    <s v="Pasivo"/>
    <n v="15930"/>
    <x v="65"/>
  </r>
  <r>
    <n v="2026"/>
    <n v="1"/>
    <s v="01-01-2026"/>
    <n v="9827"/>
    <s v="2106-09"/>
    <n v="0"/>
    <n v="1326767"/>
    <s v=""/>
    <n v="-1326767"/>
    <s v="Pasivo"/>
    <n v="1326767"/>
    <x v="66"/>
  </r>
  <r>
    <n v="2026"/>
    <n v="1"/>
    <s v="07-01-2026"/>
    <n v="6950"/>
    <s v="2106-09"/>
    <n v="1326767"/>
    <n v="0"/>
    <s v="Traspaso internet a t. crédito"/>
    <n v="1326767"/>
    <s v="Pasivo"/>
    <n v="-1326767"/>
    <x v="66"/>
  </r>
  <r>
    <n v="2026"/>
    <n v="1"/>
    <s v="31-01-2026"/>
    <n v="9823"/>
    <s v="2106-09"/>
    <n v="0"/>
    <n v="2438324"/>
    <s v="Tc santander 8107"/>
    <n v="-2438324"/>
    <s v="Pasivo"/>
    <n v="2438324"/>
    <x v="66"/>
  </r>
  <r>
    <n v="2026"/>
    <n v="2"/>
    <s v="05-02-2026"/>
    <n v="7116"/>
    <s v="2106-09"/>
    <n v="2438324"/>
    <n v="0"/>
    <s v="Traspaso internet a t. crédito santander 8107"/>
    <n v="2438324"/>
    <s v="Pasivo"/>
    <n v="-2438324"/>
    <x v="66"/>
  </r>
  <r>
    <n v="2026"/>
    <n v="2"/>
    <s v="28-02-2026"/>
    <n v="10599"/>
    <s v="2106-09"/>
    <n v="0"/>
    <n v="883157"/>
    <s v="Centralizacion tc 8107"/>
    <n v="-883157"/>
    <s v="Pasivo"/>
    <n v="883157"/>
    <x v="66"/>
  </r>
  <r>
    <n v="2026"/>
    <n v="3"/>
    <s v="05-03-2026"/>
    <n v="7320"/>
    <s v="2106-09"/>
    <n v="883157"/>
    <n v="0"/>
    <s v="Traspaso internet a t. crédito"/>
    <n v="883157"/>
    <s v="Pasivo"/>
    <n v="-883157"/>
    <x v="66"/>
  </r>
  <r>
    <n v="2026"/>
    <n v="3"/>
    <s v="31-03-2026"/>
    <n v="10748"/>
    <s v="2106-09"/>
    <n v="0"/>
    <n v="2009466"/>
    <s v="Centralizacion tc 8107"/>
    <n v="-2009466"/>
    <s v="Pasivo"/>
    <n v="2009466"/>
    <x v="66"/>
  </r>
  <r>
    <n v="2026"/>
    <n v="4"/>
    <s v="07-04-2026"/>
    <n v="7511"/>
    <s v="2106-09"/>
    <n v="2009466"/>
    <n v="0"/>
    <s v="Traspaso internet a t. crédito"/>
    <n v="2009466"/>
    <s v="Pasivo"/>
    <n v="-2009466"/>
    <x v="66"/>
  </r>
  <r>
    <n v="2026"/>
    <n v="4"/>
    <s v="22-04-2026"/>
    <n v="10773"/>
    <s v="2106-09"/>
    <n v="0"/>
    <n v="2317712"/>
    <s v="Centralizacion tc 8107"/>
    <n v="-2317712"/>
    <s v="Pasivo"/>
    <n v="2317712"/>
    <x v="66"/>
  </r>
  <r>
    <n v="2026"/>
    <n v="5"/>
    <s v="05-05-2026"/>
    <n v="7712"/>
    <s v="2106-09"/>
    <n v="2317712"/>
    <n v="0"/>
    <s v="Traspaso internet a t. crédito"/>
    <n v="2317712"/>
    <s v="Pasivo"/>
    <n v="-2317712"/>
    <x v="66"/>
  </r>
  <r>
    <n v="2026"/>
    <n v="5"/>
    <s v="25-05-2026"/>
    <n v="10786"/>
    <s v="2106-09"/>
    <n v="0"/>
    <n v="3180554"/>
    <s v="Centralizacion tc 8107"/>
    <n v="-3180554"/>
    <s v="Pasivo"/>
    <n v="3180554"/>
    <x v="66"/>
  </r>
  <r>
    <n v="2026"/>
    <n v="6"/>
    <s v="04-06-2026"/>
    <n v="10837"/>
    <s v="2106-09"/>
    <n v="3180554"/>
    <n v="0"/>
    <s v="Traspaso internet a t. crédito"/>
    <n v="3180554"/>
    <s v="Pasivo"/>
    <n v="-3180554"/>
    <x v="66"/>
  </r>
  <r>
    <n v="2026"/>
    <n v="6"/>
    <s v="23-06-2026"/>
    <n v="10804"/>
    <s v="2106-09"/>
    <n v="0"/>
    <n v="713676"/>
    <s v="Centralizacion tc 8107 junio"/>
    <n v="-713676"/>
    <s v="Pasivo"/>
    <n v="713676"/>
    <x v="66"/>
  </r>
  <r>
    <n v="2026"/>
    <n v="6"/>
    <s v="23-06-2026"/>
    <n v="10846"/>
    <s v="2106-09"/>
    <n v="0"/>
    <n v="1438694"/>
    <s v="Centralizacion tc 8107 junio"/>
    <n v="-1438694"/>
    <s v="Pasivo"/>
    <n v="1438694"/>
    <x v="66"/>
  </r>
  <r>
    <n v="2026"/>
    <n v="7"/>
    <s v="01-07-2026"/>
    <n v="8601"/>
    <s v="2106-09"/>
    <n v="0"/>
    <n v="113520"/>
    <s v="Colacion"/>
    <n v="-113520"/>
    <s v="Pasivo"/>
    <n v="113520"/>
    <x v="66"/>
  </r>
  <r>
    <n v="2026"/>
    <n v="7"/>
    <s v="02-07-2026"/>
    <n v="8602"/>
    <s v="2106-09"/>
    <n v="0"/>
    <n v="366846"/>
    <s v="Pago smartolt"/>
    <n v="-366846"/>
    <s v="Pasivo"/>
    <n v="366846"/>
    <x v="66"/>
  </r>
  <r>
    <n v="2026"/>
    <n v="7"/>
    <s v="03-07-2026"/>
    <n v="8603"/>
    <s v="2106-09"/>
    <n v="0"/>
    <n v="10000"/>
    <s v="Pago fact 61849 voissnet cloud services s.p.a."/>
    <n v="-10000"/>
    <s v="Pasivo"/>
    <n v="10000"/>
    <x v="66"/>
  </r>
  <r>
    <n v="2026"/>
    <n v="7"/>
    <s v="07-07-2026"/>
    <n v="8604"/>
    <s v="2106-09"/>
    <n v="0"/>
    <n v="33491"/>
    <s v="Facebk sycccs9y92"/>
    <n v="-33491"/>
    <s v="Pasivo"/>
    <n v="33491"/>
    <x v="66"/>
  </r>
  <r>
    <n v="2026"/>
    <n v="7"/>
    <s v="07-07-2026"/>
    <n v="10873"/>
    <s v="2106-09"/>
    <n v="2152370"/>
    <n v="0"/>
    <s v="Traspaso tarjeta de credito"/>
    <n v="2152370"/>
    <s v="Pasivo"/>
    <n v="-2152370"/>
    <x v="66"/>
  </r>
  <r>
    <n v="2026"/>
    <n v="7"/>
    <s v="08-07-2026"/>
    <n v="8605"/>
    <s v="2106-09"/>
    <n v="0"/>
    <n v="108691"/>
    <s v="Lloza ltda conchali"/>
    <n v="-108691"/>
    <s v="Pasivo"/>
    <n v="108691"/>
    <x v="66"/>
  </r>
  <r>
    <n v="2026"/>
    <n v="7"/>
    <s v="08-07-2026"/>
    <n v="8606"/>
    <s v="2106-09"/>
    <n v="0"/>
    <n v="27990"/>
    <s v="Pago fact 4166177 servicios equifax chile limitada"/>
    <n v="-27990"/>
    <s v="Pasivo"/>
    <n v="27990"/>
    <x v="66"/>
  </r>
  <r>
    <n v="2026"/>
    <n v="7"/>
    <s v="08-07-2026"/>
    <n v="8607"/>
    <s v="2106-09"/>
    <n v="0"/>
    <n v="388743"/>
    <s v="Pago wpforms"/>
    <n v="-388743"/>
    <s v="Pasivo"/>
    <n v="388743"/>
    <x v="66"/>
  </r>
  <r>
    <n v="2026"/>
    <n v="7"/>
    <s v="10-07-2026"/>
    <n v="8608"/>
    <s v="2106-09"/>
    <n v="0"/>
    <n v="13308"/>
    <s v="Colacion"/>
    <n v="-13308"/>
    <s v="Pasivo"/>
    <n v="13308"/>
    <x v="66"/>
  </r>
  <r>
    <n v="2026"/>
    <n v="7"/>
    <s v="12-07-2026"/>
    <n v="8609"/>
    <s v="2106-09"/>
    <n v="0"/>
    <n v="40000"/>
    <s v="Colacion"/>
    <n v="-40000"/>
    <s v="Pasivo"/>
    <n v="40000"/>
    <x v="66"/>
  </r>
  <r>
    <n v="2026"/>
    <n v="7"/>
    <s v="12-07-2026"/>
    <n v="8610"/>
    <s v="2106-09"/>
    <n v="0"/>
    <n v="60245"/>
    <s v="Facebk qqxqysvy92"/>
    <n v="-60245"/>
    <s v="Pasivo"/>
    <n v="60245"/>
    <x v="66"/>
  </r>
  <r>
    <n v="2026"/>
    <n v="7"/>
    <s v="13-07-2026"/>
    <n v="8611"/>
    <s v="2106-09"/>
    <n v="0"/>
    <n v="513366"/>
    <s v="Grupo dhl express chil"/>
    <n v="-513366"/>
    <s v="Pasivo"/>
    <n v="513366"/>
    <x v="66"/>
  </r>
  <r>
    <n v="2026"/>
    <n v="7"/>
    <s v="15-07-2026"/>
    <n v="8612"/>
    <s v="2106-09"/>
    <n v="0"/>
    <n v="40000"/>
    <s v="Compra combustible"/>
    <n v="-40000"/>
    <s v="Pasivo"/>
    <n v="40000"/>
    <x v="66"/>
  </r>
  <r>
    <n v="2026"/>
    <n v="7"/>
    <s v="20-07-2026"/>
    <n v="8613"/>
    <s v="2106-09"/>
    <n v="0"/>
    <n v="24723"/>
    <s v="Colacion"/>
    <n v="-24723"/>
    <s v="Pasivo"/>
    <n v="24723"/>
    <x v="66"/>
  </r>
  <r>
    <n v="2026"/>
    <n v="7"/>
    <s v="20-07-2026"/>
    <n v="8614"/>
    <s v="2106-09"/>
    <n v="0"/>
    <n v="9890"/>
    <s v="Colacion"/>
    <n v="-9890"/>
    <s v="Pasivo"/>
    <n v="9890"/>
    <x v="66"/>
  </r>
  <r>
    <n v="2026"/>
    <n v="7"/>
    <s v="22-07-2026"/>
    <n v="8615"/>
    <s v="2106-09"/>
    <n v="0"/>
    <n v="11300"/>
    <s v="Estacionamiento"/>
    <n v="-11300"/>
    <s v="Pasivo"/>
    <n v="11300"/>
    <x v="66"/>
  </r>
  <r>
    <n v="2026"/>
    <n v="7"/>
    <s v="23-07-2026"/>
    <n v="8586"/>
    <s v="2106-09"/>
    <n v="0"/>
    <n v="157016"/>
    <s v="Pago fact 58061 chipax spa"/>
    <n v="-157016"/>
    <s v="Pasivo"/>
    <n v="157016"/>
    <x v="66"/>
  </r>
  <r>
    <n v="2026"/>
    <n v="7"/>
    <s v="23-07-2026"/>
    <n v="8587"/>
    <s v="2106-09"/>
    <n v="0"/>
    <n v="18473"/>
    <s v="Electronica retail lim"/>
    <n v="-18473"/>
    <s v="Pasivo"/>
    <n v="18473"/>
    <x v="66"/>
  </r>
  <r>
    <n v="2026"/>
    <n v="7"/>
    <s v="23-07-2026"/>
    <n v="8588"/>
    <s v="2106-09"/>
    <n v="0"/>
    <n v="25190"/>
    <s v="Colacion"/>
    <n v="-25190"/>
    <s v="Pasivo"/>
    <n v="25190"/>
    <x v="66"/>
  </r>
  <r>
    <n v="2026"/>
    <n v="7"/>
    <s v="23-07-2026"/>
    <n v="8589"/>
    <s v="2106-09"/>
    <n v="0"/>
    <n v="9990"/>
    <s v="Planeta movil"/>
    <n v="-9990"/>
    <s v="Pasivo"/>
    <n v="9990"/>
    <x v="66"/>
  </r>
  <r>
    <n v="2026"/>
    <n v="7"/>
    <s v="23-07-2026"/>
    <n v="8590"/>
    <s v="2106-09"/>
    <n v="0"/>
    <n v="98678"/>
    <s v="Pago fact 184457 comercial larrain vergara spa"/>
    <n v="-98678"/>
    <s v="Pasivo"/>
    <n v="98678"/>
    <x v="66"/>
  </r>
  <r>
    <n v="2026"/>
    <n v="7"/>
    <s v="23-07-2026"/>
    <n v="8591"/>
    <s v="2106-09"/>
    <n v="0"/>
    <n v="64370"/>
    <s v="Colacion"/>
    <n v="-64370"/>
    <s v="Pasivo"/>
    <n v="64370"/>
    <x v="66"/>
  </r>
  <r>
    <n v="2026"/>
    <n v="7"/>
    <s v="23-07-2026"/>
    <n v="8592"/>
    <s v="2106-09"/>
    <n v="0"/>
    <n v="60969"/>
    <s v="Compra combustible"/>
    <n v="-60969"/>
    <s v="Pasivo"/>
    <n v="60969"/>
    <x v="66"/>
  </r>
  <r>
    <n v="2026"/>
    <n v="7"/>
    <s v="23-07-2026"/>
    <n v="8593"/>
    <s v="2106-09"/>
    <n v="0"/>
    <n v="29494"/>
    <s v="Pago fact 184660 comercial larrain vergara spa"/>
    <n v="-29494"/>
    <s v="Pasivo"/>
    <n v="29494"/>
    <x v="66"/>
  </r>
  <r>
    <n v="2026"/>
    <n v="7"/>
    <s v="23-07-2026"/>
    <n v="8594"/>
    <s v="2106-09"/>
    <n v="0"/>
    <n v="9070"/>
    <s v="Colacion"/>
    <n v="-9070"/>
    <s v="Pasivo"/>
    <n v="9070"/>
    <x v="66"/>
  </r>
  <r>
    <n v="2026"/>
    <n v="7"/>
    <s v="23-07-2026"/>
    <n v="8595"/>
    <s v="2106-09"/>
    <n v="0"/>
    <n v="60246"/>
    <s v="Facebk prdn9rvy92"/>
    <n v="-60246"/>
    <s v="Pasivo"/>
    <n v="60246"/>
    <x v="66"/>
  </r>
  <r>
    <n v="2026"/>
    <n v="7"/>
    <s v="23-07-2026"/>
    <n v="8596"/>
    <s v="2106-09"/>
    <n v="0"/>
    <n v="1001332"/>
    <s v="Grupo dhl express chil"/>
    <n v="-1001332"/>
    <s v="Pasivo"/>
    <n v="1001332"/>
    <x v="66"/>
  </r>
  <r>
    <n v="2026"/>
    <n v="7"/>
    <s v="23-07-2026"/>
    <n v="8597"/>
    <s v="2106-09"/>
    <n v="0"/>
    <n v="92100"/>
    <s v="Estacionamiento"/>
    <n v="-92100"/>
    <s v="Pasivo"/>
    <n v="92100"/>
    <x v="66"/>
  </r>
  <r>
    <n v="2026"/>
    <n v="7"/>
    <s v="23-07-2026"/>
    <n v="8598"/>
    <s v="2106-09"/>
    <n v="0"/>
    <n v="23868"/>
    <s v="Compra combustible"/>
    <n v="-23868"/>
    <s v="Pasivo"/>
    <n v="23868"/>
    <x v="66"/>
  </r>
  <r>
    <n v="2026"/>
    <n v="7"/>
    <s v="23-07-2026"/>
    <n v="8599"/>
    <s v="2106-09"/>
    <n v="0"/>
    <n v="27990"/>
    <s v="Pago fact 4166177 servicios equifax chile limitada"/>
    <n v="-27990"/>
    <s v="Pasivo"/>
    <n v="27990"/>
    <x v="66"/>
  </r>
  <r>
    <n v="2026"/>
    <n v="7"/>
    <s v="23-07-2026"/>
    <n v="8600"/>
    <s v="2106-09"/>
    <n v="0"/>
    <n v="99469"/>
    <s v="Pago fact 174182 finfast s.a.g.r."/>
    <n v="-99469"/>
    <s v="Pasivo"/>
    <n v="99469"/>
    <x v="66"/>
  </r>
  <r>
    <n v="2026"/>
    <n v="7"/>
    <s v="23-07-2026"/>
    <n v="8616"/>
    <s v="2106-09"/>
    <n v="0"/>
    <n v="15930"/>
    <s v="Comision mantencion"/>
    <n v="-15930"/>
    <s v="Pasivo"/>
    <n v="15930"/>
    <x v="66"/>
  </r>
  <r>
    <n v="2026"/>
    <n v="1"/>
    <s v="01-01-2026"/>
    <n v="9827"/>
    <s v="2107-04"/>
    <n v="0"/>
    <n v="3781872"/>
    <s v=""/>
    <n v="-3781872"/>
    <s v="Pasivo"/>
    <n v="3781872"/>
    <x v="67"/>
  </r>
  <r>
    <n v="2026"/>
    <n v="1"/>
    <s v="31-01-2026"/>
    <n v="9817"/>
    <s v="2108-02"/>
    <n v="0"/>
    <n v="24474727"/>
    <s v="Centralización ventas enero 2026  - iva débito fiscal"/>
    <n v="-24474727"/>
    <s v="Pasivo"/>
    <n v="24474727"/>
    <x v="68"/>
  </r>
  <r>
    <n v="2026"/>
    <n v="1"/>
    <s v="31-01-2026"/>
    <n v="9818"/>
    <s v="2108-02"/>
    <n v="1148314"/>
    <n v="0"/>
    <s v="Centralización ventas enero 2026  - iva débito fiscal"/>
    <n v="1148314"/>
    <s v="Pasivo"/>
    <n v="-1148314"/>
    <x v="68"/>
  </r>
  <r>
    <n v="2026"/>
    <n v="1"/>
    <s v="31-01-2026"/>
    <n v="9818"/>
    <s v="2108-02"/>
    <n v="0"/>
    <n v="10998071"/>
    <s v="Centralización ventas enero 2026  - iva débito fiscal"/>
    <n v="-10998071"/>
    <s v="Pasivo"/>
    <n v="10998071"/>
    <x v="68"/>
  </r>
  <r>
    <n v="2026"/>
    <n v="1"/>
    <s v="31-01-2026"/>
    <n v="10770"/>
    <s v="2108-02"/>
    <n v="34324484"/>
    <n v="0"/>
    <s v="Centralización f29 enero"/>
    <n v="34324484"/>
    <s v="Pasivo"/>
    <n v="-34324484"/>
    <x v="68"/>
  </r>
  <r>
    <n v="2026"/>
    <n v="2"/>
    <s v="28-02-2026"/>
    <n v="9828"/>
    <s v="2108-02"/>
    <n v="0"/>
    <n v="6387"/>
    <s v="Centralización ventas febrero 2026  #37383 - iva débito fiscal"/>
    <n v="-6387"/>
    <s v="Pasivo"/>
    <n v="6387"/>
    <x v="68"/>
  </r>
  <r>
    <n v="2026"/>
    <n v="2"/>
    <s v="28-02-2026"/>
    <n v="9829"/>
    <s v="2108-02"/>
    <n v="0"/>
    <n v="3990"/>
    <s v="Centralización ventas febrero 2026  #37357 - iva débito fiscal"/>
    <n v="-3990"/>
    <s v="Pasivo"/>
    <n v="3990"/>
    <x v="68"/>
  </r>
  <r>
    <n v="2026"/>
    <n v="2"/>
    <s v="28-02-2026"/>
    <n v="9830"/>
    <s v="2108-02"/>
    <n v="0"/>
    <n v="4788"/>
    <s v="Centralización ventas febrero 2026  #37355 - iva débito fiscal"/>
    <n v="-4788"/>
    <s v="Pasivo"/>
    <n v="4788"/>
    <x v="68"/>
  </r>
  <r>
    <n v="2026"/>
    <n v="2"/>
    <s v="28-02-2026"/>
    <n v="9831"/>
    <s v="2108-02"/>
    <n v="0"/>
    <n v="6387"/>
    <s v="Centralización ventas febrero 2026  #37366 - iva débito fiscal"/>
    <n v="-6387"/>
    <s v="Pasivo"/>
    <n v="6387"/>
    <x v="68"/>
  </r>
  <r>
    <n v="2026"/>
    <n v="2"/>
    <s v="28-02-2026"/>
    <n v="9832"/>
    <s v="2108-02"/>
    <n v="0"/>
    <n v="10375"/>
    <s v="Centralización ventas febrero 2026  #37367 - iva débito fiscal"/>
    <n v="-10375"/>
    <s v="Pasivo"/>
    <n v="10375"/>
    <x v="68"/>
  </r>
  <r>
    <n v="2026"/>
    <n v="2"/>
    <s v="28-02-2026"/>
    <n v="9833"/>
    <s v="2108-02"/>
    <n v="0"/>
    <n v="9578"/>
    <s v="Centralización ventas febrero 2026  #37385 - iva débito fiscal"/>
    <n v="-9578"/>
    <s v="Pasivo"/>
    <n v="9578"/>
    <x v="68"/>
  </r>
  <r>
    <n v="2026"/>
    <n v="2"/>
    <s v="28-02-2026"/>
    <n v="9834"/>
    <s v="2108-02"/>
    <n v="0"/>
    <n v="9259"/>
    <s v="Centralización ventas febrero 2026  #37351 - iva débito fiscal"/>
    <n v="-9259"/>
    <s v="Pasivo"/>
    <n v="9259"/>
    <x v="68"/>
  </r>
  <r>
    <n v="2026"/>
    <n v="2"/>
    <s v="28-02-2026"/>
    <n v="9835"/>
    <s v="2108-02"/>
    <n v="0"/>
    <n v="6385"/>
    <s v="Centralización ventas febrero 2026  #37358 - iva débito fiscal"/>
    <n v="-6385"/>
    <s v="Pasivo"/>
    <n v="6385"/>
    <x v="68"/>
  </r>
  <r>
    <n v="2026"/>
    <n v="2"/>
    <s v="28-02-2026"/>
    <n v="9836"/>
    <s v="2108-02"/>
    <n v="0"/>
    <n v="9567"/>
    <s v="Centralización ventas febrero 2026  #37359 - iva débito fiscal"/>
    <n v="-9567"/>
    <s v="Pasivo"/>
    <n v="9567"/>
    <x v="68"/>
  </r>
  <r>
    <n v="2026"/>
    <n v="2"/>
    <s v="28-02-2026"/>
    <n v="9837"/>
    <s v="2108-02"/>
    <n v="0"/>
    <n v="11973"/>
    <s v="Centralización ventas febrero 2026  #37377 - iva débito fiscal"/>
    <n v="-11973"/>
    <s v="Pasivo"/>
    <n v="11973"/>
    <x v="68"/>
  </r>
  <r>
    <n v="2026"/>
    <n v="2"/>
    <s v="28-02-2026"/>
    <n v="9838"/>
    <s v="2108-02"/>
    <n v="0"/>
    <n v="24548"/>
    <s v="Centralización ventas febrero 2026  #37390 - iva débito fiscal"/>
    <n v="-24548"/>
    <s v="Pasivo"/>
    <n v="24548"/>
    <x v="68"/>
  </r>
  <r>
    <n v="2026"/>
    <n v="2"/>
    <s v="28-02-2026"/>
    <n v="9839"/>
    <s v="2108-02"/>
    <n v="0"/>
    <n v="11176"/>
    <s v="Centralización ventas febrero 2026  #37402 - iva débito fiscal"/>
    <n v="-11176"/>
    <s v="Pasivo"/>
    <n v="11176"/>
    <x v="68"/>
  </r>
  <r>
    <n v="2026"/>
    <n v="2"/>
    <s v="28-02-2026"/>
    <n v="9840"/>
    <s v="2108-02"/>
    <n v="0"/>
    <n v="39102"/>
    <s v="Centralización ventas febrero 2026  #37404 - iva débito fiscal"/>
    <n v="-39102"/>
    <s v="Pasivo"/>
    <n v="39102"/>
    <x v="68"/>
  </r>
  <r>
    <n v="2026"/>
    <n v="2"/>
    <s v="28-02-2026"/>
    <n v="9841"/>
    <s v="2108-02"/>
    <n v="0"/>
    <n v="18677"/>
    <s v="Centralización ventas febrero 2026  #37950 - iva débito fiscal"/>
    <n v="-18677"/>
    <s v="Pasivo"/>
    <n v="18677"/>
    <x v="68"/>
  </r>
  <r>
    <n v="2026"/>
    <n v="2"/>
    <s v="28-02-2026"/>
    <n v="9842"/>
    <s v="2108-02"/>
    <n v="0"/>
    <n v="9098"/>
    <s v="Centralización ventas febrero 2026  #37329 - iva débito fiscal"/>
    <n v="-9098"/>
    <s v="Pasivo"/>
    <n v="9098"/>
    <x v="68"/>
  </r>
  <r>
    <n v="2026"/>
    <n v="2"/>
    <s v="28-02-2026"/>
    <n v="9843"/>
    <s v="2108-02"/>
    <n v="0"/>
    <n v="4790"/>
    <s v="Centralización ventas febrero 2026  #37331 - iva débito fiscal"/>
    <n v="-4790"/>
    <s v="Pasivo"/>
    <n v="4790"/>
    <x v="68"/>
  </r>
  <r>
    <n v="2026"/>
    <n v="2"/>
    <s v="28-02-2026"/>
    <n v="9844"/>
    <s v="2108-02"/>
    <n v="0"/>
    <n v="11015"/>
    <s v="Centralización ventas febrero 2026  #37340 - iva débito fiscal"/>
    <n v="-11015"/>
    <s v="Pasivo"/>
    <n v="11015"/>
    <x v="68"/>
  </r>
  <r>
    <n v="2026"/>
    <n v="2"/>
    <s v="28-02-2026"/>
    <n v="9845"/>
    <s v="2108-02"/>
    <n v="0"/>
    <n v="8459"/>
    <s v="Centralización ventas febrero 2026  #37343 - iva débito fiscal"/>
    <n v="-8459"/>
    <s v="Pasivo"/>
    <n v="8459"/>
    <x v="68"/>
  </r>
  <r>
    <n v="2026"/>
    <n v="2"/>
    <s v="28-02-2026"/>
    <n v="9846"/>
    <s v="2108-02"/>
    <n v="0"/>
    <n v="18122"/>
    <s v="Centralización ventas febrero 2026  #37352 - iva débito fiscal"/>
    <n v="-18122"/>
    <s v="Pasivo"/>
    <n v="18122"/>
    <x v="68"/>
  </r>
  <r>
    <n v="2026"/>
    <n v="2"/>
    <s v="28-02-2026"/>
    <n v="9847"/>
    <s v="2108-02"/>
    <n v="0"/>
    <n v="10538"/>
    <s v="Centralización ventas febrero 2026  #37362 - iva débito fiscal"/>
    <n v="-10538"/>
    <s v="Pasivo"/>
    <n v="10538"/>
    <x v="68"/>
  </r>
  <r>
    <n v="2026"/>
    <n v="2"/>
    <s v="28-02-2026"/>
    <n v="9848"/>
    <s v="2108-02"/>
    <n v="0"/>
    <n v="9578"/>
    <s v="Centralización ventas febrero 2026  #37365 - iva débito fiscal"/>
    <n v="-9578"/>
    <s v="Pasivo"/>
    <n v="9578"/>
    <x v="68"/>
  </r>
  <r>
    <n v="2026"/>
    <n v="2"/>
    <s v="28-02-2026"/>
    <n v="9849"/>
    <s v="2108-02"/>
    <n v="0"/>
    <n v="4150"/>
    <s v="Centralización ventas febrero 2026  #37373 - iva débito fiscal"/>
    <n v="-4150"/>
    <s v="Pasivo"/>
    <n v="4150"/>
    <x v="68"/>
  </r>
  <r>
    <n v="2026"/>
    <n v="2"/>
    <s v="28-02-2026"/>
    <n v="9850"/>
    <s v="2108-02"/>
    <n v="0"/>
    <n v="4790"/>
    <s v="Centralización ventas febrero 2026  #37375 - iva débito fiscal"/>
    <n v="-4790"/>
    <s v="Pasivo"/>
    <n v="4790"/>
    <x v="68"/>
  </r>
  <r>
    <n v="2026"/>
    <n v="2"/>
    <s v="28-02-2026"/>
    <n v="9851"/>
    <s v="2108-02"/>
    <n v="0"/>
    <n v="19160"/>
    <s v="Centralización ventas febrero 2026  #37379 - iva débito fiscal"/>
    <n v="-19160"/>
    <s v="Pasivo"/>
    <n v="19160"/>
    <x v="68"/>
  </r>
  <r>
    <n v="2026"/>
    <n v="2"/>
    <s v="28-02-2026"/>
    <n v="9852"/>
    <s v="2108-02"/>
    <n v="0"/>
    <n v="22509"/>
    <s v="Centralización ventas febrero 2026  #37386 - iva débito fiscal"/>
    <n v="-22509"/>
    <s v="Pasivo"/>
    <n v="22509"/>
    <x v="68"/>
  </r>
  <r>
    <n v="2026"/>
    <n v="2"/>
    <s v="28-02-2026"/>
    <n v="9853"/>
    <s v="2108-02"/>
    <n v="0"/>
    <n v="4790"/>
    <s v="Centralización ventas febrero 2026  #37395 - iva débito fiscal"/>
    <n v="-4790"/>
    <s v="Pasivo"/>
    <n v="4790"/>
    <x v="68"/>
  </r>
  <r>
    <n v="2026"/>
    <n v="2"/>
    <s v="28-02-2026"/>
    <n v="9854"/>
    <s v="2108-02"/>
    <n v="0"/>
    <n v="7983"/>
    <s v="Centralización ventas febrero 2026  #37401 - iva débito fiscal"/>
    <n v="-7983"/>
    <s v="Pasivo"/>
    <n v="7983"/>
    <x v="68"/>
  </r>
  <r>
    <n v="2026"/>
    <n v="2"/>
    <s v="28-02-2026"/>
    <n v="9855"/>
    <s v="2108-02"/>
    <n v="0"/>
    <n v="4790"/>
    <s v="Centralización ventas febrero 2026  #37405 - iva débito fiscal"/>
    <n v="-4790"/>
    <s v="Pasivo"/>
    <n v="4790"/>
    <x v="68"/>
  </r>
  <r>
    <n v="2026"/>
    <n v="2"/>
    <s v="28-02-2026"/>
    <n v="9856"/>
    <s v="2108-02"/>
    <n v="0"/>
    <n v="4788"/>
    <s v="Centralización ventas febrero 2026  #37410 - iva débito fiscal"/>
    <n v="-4788"/>
    <s v="Pasivo"/>
    <n v="4788"/>
    <x v="68"/>
  </r>
  <r>
    <n v="2026"/>
    <n v="2"/>
    <s v="28-02-2026"/>
    <n v="9857"/>
    <s v="2108-02"/>
    <n v="0"/>
    <n v="31601"/>
    <s v="Centralización ventas febrero 2026  #37415 - iva débito fiscal"/>
    <n v="-31601"/>
    <s v="Pasivo"/>
    <n v="31601"/>
    <x v="68"/>
  </r>
  <r>
    <n v="2026"/>
    <n v="2"/>
    <s v="28-02-2026"/>
    <n v="9858"/>
    <s v="2108-02"/>
    <n v="0"/>
    <n v="14526"/>
    <s v="Centralización ventas febrero 2026  #37326 - iva débito fiscal"/>
    <n v="-14526"/>
    <s v="Pasivo"/>
    <n v="14526"/>
    <x v="68"/>
  </r>
  <r>
    <n v="2026"/>
    <n v="2"/>
    <s v="28-02-2026"/>
    <n v="9859"/>
    <s v="2108-02"/>
    <n v="0"/>
    <n v="4790"/>
    <s v="Centralización ventas febrero 2026  #37332 - iva débito fiscal"/>
    <n v="-4790"/>
    <s v="Pasivo"/>
    <n v="4790"/>
    <x v="68"/>
  </r>
  <r>
    <n v="2026"/>
    <n v="2"/>
    <s v="28-02-2026"/>
    <n v="9860"/>
    <s v="2108-02"/>
    <n v="0"/>
    <n v="6387"/>
    <s v="Centralización ventas febrero 2026  #37361 - iva débito fiscal"/>
    <n v="-6387"/>
    <s v="Pasivo"/>
    <n v="6387"/>
    <x v="68"/>
  </r>
  <r>
    <n v="2026"/>
    <n v="2"/>
    <s v="28-02-2026"/>
    <n v="9861"/>
    <s v="2108-02"/>
    <n v="0"/>
    <n v="4790"/>
    <s v="Centralización ventas febrero 2026  #37363 - iva débito fiscal"/>
    <n v="-4790"/>
    <s v="Pasivo"/>
    <n v="4790"/>
    <x v="68"/>
  </r>
  <r>
    <n v="2026"/>
    <n v="2"/>
    <s v="28-02-2026"/>
    <n v="9862"/>
    <s v="2108-02"/>
    <n v="0"/>
    <n v="4790"/>
    <s v="Centralización ventas febrero 2026  #37368 - iva débito fiscal"/>
    <n v="-4790"/>
    <s v="Pasivo"/>
    <n v="4790"/>
    <x v="68"/>
  </r>
  <r>
    <n v="2026"/>
    <n v="2"/>
    <s v="28-02-2026"/>
    <n v="9863"/>
    <s v="2108-02"/>
    <n v="0"/>
    <n v="61775"/>
    <s v="Centralización ventas febrero 2026  #37369 - iva débito fiscal"/>
    <n v="-61775"/>
    <s v="Pasivo"/>
    <n v="61775"/>
    <x v="68"/>
  </r>
  <r>
    <n v="2026"/>
    <n v="2"/>
    <s v="28-02-2026"/>
    <n v="9864"/>
    <s v="2108-02"/>
    <n v="0"/>
    <n v="4790"/>
    <s v="Centralización ventas febrero 2026  #37371 - iva débito fiscal"/>
    <n v="-4790"/>
    <s v="Pasivo"/>
    <n v="4790"/>
    <x v="68"/>
  </r>
  <r>
    <n v="2026"/>
    <n v="2"/>
    <s v="28-02-2026"/>
    <n v="9865"/>
    <s v="2108-02"/>
    <n v="0"/>
    <n v="18122"/>
    <s v="Centralización ventas febrero 2026  #37374 - iva débito fiscal"/>
    <n v="-18122"/>
    <s v="Pasivo"/>
    <n v="18122"/>
    <x v="68"/>
  </r>
  <r>
    <n v="2026"/>
    <n v="2"/>
    <s v="28-02-2026"/>
    <n v="9866"/>
    <s v="2108-02"/>
    <n v="0"/>
    <n v="11185"/>
    <s v="Centralización ventas febrero 2026  #37376 - iva débito fiscal"/>
    <n v="-11185"/>
    <s v="Pasivo"/>
    <n v="11185"/>
    <x v="68"/>
  </r>
  <r>
    <n v="2026"/>
    <n v="2"/>
    <s v="28-02-2026"/>
    <n v="9867"/>
    <s v="2108-02"/>
    <n v="0"/>
    <n v="4790"/>
    <s v="Centralización ventas febrero 2026  #37378 - iva débito fiscal"/>
    <n v="-4790"/>
    <s v="Pasivo"/>
    <n v="4790"/>
    <x v="68"/>
  </r>
  <r>
    <n v="2026"/>
    <n v="2"/>
    <s v="28-02-2026"/>
    <n v="9868"/>
    <s v="2108-02"/>
    <n v="0"/>
    <n v="4790"/>
    <s v="Centralización ventas febrero 2026  #37380 - iva débito fiscal"/>
    <n v="-4790"/>
    <s v="Pasivo"/>
    <n v="4790"/>
    <x v="68"/>
  </r>
  <r>
    <n v="2026"/>
    <n v="2"/>
    <s v="28-02-2026"/>
    <n v="9869"/>
    <s v="2108-02"/>
    <n v="0"/>
    <n v="45249"/>
    <s v="Centralización ventas febrero 2026  #37382 - iva débito fiscal"/>
    <n v="-45249"/>
    <s v="Pasivo"/>
    <n v="45249"/>
    <x v="68"/>
  </r>
  <r>
    <n v="2026"/>
    <n v="2"/>
    <s v="28-02-2026"/>
    <n v="9870"/>
    <s v="2108-02"/>
    <n v="0"/>
    <n v="9578"/>
    <s v="Centralización ventas febrero 2026  #37391 - iva débito fiscal"/>
    <n v="-9578"/>
    <s v="Pasivo"/>
    <n v="9578"/>
    <x v="68"/>
  </r>
  <r>
    <n v="2026"/>
    <n v="2"/>
    <s v="28-02-2026"/>
    <n v="9871"/>
    <s v="2108-02"/>
    <n v="0"/>
    <n v="16605"/>
    <s v="Centralización ventas febrero 2026  #37392 - iva débito fiscal"/>
    <n v="-16605"/>
    <s v="Pasivo"/>
    <n v="16605"/>
    <x v="68"/>
  </r>
  <r>
    <n v="2026"/>
    <n v="2"/>
    <s v="28-02-2026"/>
    <n v="9872"/>
    <s v="2108-02"/>
    <n v="0"/>
    <n v="4790"/>
    <s v="Centralización ventas febrero 2026  #37394 - iva débito fiscal"/>
    <n v="-4790"/>
    <s v="Pasivo"/>
    <n v="4790"/>
    <x v="68"/>
  </r>
  <r>
    <n v="2026"/>
    <n v="2"/>
    <s v="28-02-2026"/>
    <n v="9873"/>
    <s v="2108-02"/>
    <n v="0"/>
    <n v="6387"/>
    <s v="Centralización ventas febrero 2026  #37397 - iva débito fiscal"/>
    <n v="-6387"/>
    <s v="Pasivo"/>
    <n v="6387"/>
    <x v="68"/>
  </r>
  <r>
    <n v="2026"/>
    <n v="2"/>
    <s v="28-02-2026"/>
    <n v="9874"/>
    <s v="2108-02"/>
    <n v="0"/>
    <n v="42214"/>
    <s v="Centralización ventas febrero 2026  #37399 - iva débito fiscal"/>
    <n v="-42214"/>
    <s v="Pasivo"/>
    <n v="42214"/>
    <x v="68"/>
  </r>
  <r>
    <n v="2026"/>
    <n v="2"/>
    <s v="28-02-2026"/>
    <n v="9875"/>
    <s v="2108-02"/>
    <n v="0"/>
    <n v="4790"/>
    <s v="Centralización ventas febrero 2026  #37400 - iva débito fiscal"/>
    <n v="-4790"/>
    <s v="Pasivo"/>
    <n v="4790"/>
    <x v="68"/>
  </r>
  <r>
    <n v="2026"/>
    <n v="2"/>
    <s v="28-02-2026"/>
    <n v="9876"/>
    <s v="2108-02"/>
    <n v="0"/>
    <n v="20772"/>
    <s v="Centralización ventas febrero 2026  #37406 - iva débito fiscal"/>
    <n v="-20772"/>
    <s v="Pasivo"/>
    <n v="20772"/>
    <x v="68"/>
  </r>
  <r>
    <n v="2026"/>
    <n v="2"/>
    <s v="28-02-2026"/>
    <n v="9877"/>
    <s v="2108-02"/>
    <n v="0"/>
    <n v="4790"/>
    <s v="Centralización ventas febrero 2026  #37408 - iva débito fiscal"/>
    <n v="-4790"/>
    <s v="Pasivo"/>
    <n v="4790"/>
    <x v="68"/>
  </r>
  <r>
    <n v="2026"/>
    <n v="2"/>
    <s v="28-02-2026"/>
    <n v="9878"/>
    <s v="2108-02"/>
    <n v="0"/>
    <n v="7664"/>
    <s v="Centralización ventas febrero 2026  #37412 - iva débito fiscal"/>
    <n v="-7664"/>
    <s v="Pasivo"/>
    <n v="7664"/>
    <x v="68"/>
  </r>
  <r>
    <n v="2026"/>
    <n v="2"/>
    <s v="28-02-2026"/>
    <n v="9879"/>
    <s v="2108-02"/>
    <n v="0"/>
    <n v="11176"/>
    <s v="Centralización ventas febrero 2026  #37414 - iva débito fiscal"/>
    <n v="-11176"/>
    <s v="Pasivo"/>
    <n v="11176"/>
    <x v="68"/>
  </r>
  <r>
    <n v="2026"/>
    <n v="2"/>
    <s v="28-02-2026"/>
    <n v="9880"/>
    <s v="2108-02"/>
    <n v="0"/>
    <n v="5588"/>
    <s v="Centralización ventas febrero 2026  #37418 - iva débito fiscal"/>
    <n v="-5588"/>
    <s v="Pasivo"/>
    <n v="5588"/>
    <x v="68"/>
  </r>
  <r>
    <n v="2026"/>
    <n v="2"/>
    <s v="28-02-2026"/>
    <n v="9881"/>
    <s v="2108-02"/>
    <n v="0"/>
    <n v="7185"/>
    <s v="Centralización ventas febrero 2026  #37427 - iva débito fiscal"/>
    <n v="-7185"/>
    <s v="Pasivo"/>
    <n v="7185"/>
    <x v="68"/>
  </r>
  <r>
    <n v="2026"/>
    <n v="2"/>
    <s v="28-02-2026"/>
    <n v="9882"/>
    <s v="2108-02"/>
    <n v="0"/>
    <n v="4790"/>
    <s v="Centralización ventas febrero 2026  #37428 - iva débito fiscal"/>
    <n v="-4790"/>
    <s v="Pasivo"/>
    <n v="4790"/>
    <x v="68"/>
  </r>
  <r>
    <n v="2026"/>
    <n v="2"/>
    <s v="28-02-2026"/>
    <n v="9883"/>
    <s v="2108-02"/>
    <n v="0"/>
    <n v="17402"/>
    <s v="Centralización ventas febrero 2026  #37430 - iva débito fiscal"/>
    <n v="-17402"/>
    <s v="Pasivo"/>
    <n v="17402"/>
    <x v="68"/>
  </r>
  <r>
    <n v="2026"/>
    <n v="2"/>
    <s v="28-02-2026"/>
    <n v="9884"/>
    <s v="2108-02"/>
    <n v="0"/>
    <n v="6387"/>
    <s v="Centralización ventas febrero 2026  #37434 - iva débito fiscal"/>
    <n v="-6387"/>
    <s v="Pasivo"/>
    <n v="6387"/>
    <x v="68"/>
  </r>
  <r>
    <n v="2026"/>
    <n v="2"/>
    <s v="28-02-2026"/>
    <n v="9885"/>
    <s v="2108-02"/>
    <n v="0"/>
    <n v="4788"/>
    <s v="Centralización ventas febrero 2026  #37467 - iva débito fiscal"/>
    <n v="-4788"/>
    <s v="Pasivo"/>
    <n v="4788"/>
    <x v="68"/>
  </r>
  <r>
    <n v="2026"/>
    <n v="2"/>
    <s v="28-02-2026"/>
    <n v="9886"/>
    <s v="2108-02"/>
    <n v="0"/>
    <n v="22350"/>
    <s v="Centralización ventas febrero 2026  #37730 - iva débito fiscal"/>
    <n v="-22350"/>
    <s v="Pasivo"/>
    <n v="22350"/>
    <x v="68"/>
  </r>
  <r>
    <n v="2026"/>
    <n v="2"/>
    <s v="28-02-2026"/>
    <n v="9887"/>
    <s v="2108-02"/>
    <n v="0"/>
    <n v="21008"/>
    <s v="Centralización ventas febrero 2026  #37789 - iva débito fiscal"/>
    <n v="-21008"/>
    <s v="Pasivo"/>
    <n v="21008"/>
    <x v="68"/>
  </r>
  <r>
    <n v="2026"/>
    <n v="2"/>
    <s v="28-02-2026"/>
    <n v="9888"/>
    <s v="2108-02"/>
    <n v="0"/>
    <n v="7982"/>
    <s v="Centralización ventas febrero 2026  #37816 - iva débito fiscal"/>
    <n v="-7982"/>
    <s v="Pasivo"/>
    <n v="7982"/>
    <x v="68"/>
  </r>
  <r>
    <n v="2026"/>
    <n v="2"/>
    <s v="28-02-2026"/>
    <n v="9889"/>
    <s v="2108-02"/>
    <n v="0"/>
    <n v="4790"/>
    <s v="Centralización ventas febrero 2026  #37878 - iva débito fiscal"/>
    <n v="-4790"/>
    <s v="Pasivo"/>
    <n v="4790"/>
    <x v="68"/>
  </r>
  <r>
    <n v="2026"/>
    <n v="2"/>
    <s v="28-02-2026"/>
    <n v="9890"/>
    <s v="2108-02"/>
    <n v="0"/>
    <n v="8301"/>
    <s v="Centralización ventas febrero 2026  #37324 - iva débito fiscal"/>
    <n v="-8301"/>
    <s v="Pasivo"/>
    <n v="8301"/>
    <x v="68"/>
  </r>
  <r>
    <n v="2026"/>
    <n v="2"/>
    <s v="28-02-2026"/>
    <n v="9891"/>
    <s v="2108-02"/>
    <n v="0"/>
    <n v="4629"/>
    <s v="Centralización ventas febrero 2026  #37333 - iva débito fiscal"/>
    <n v="-4629"/>
    <s v="Pasivo"/>
    <n v="4629"/>
    <x v="68"/>
  </r>
  <r>
    <n v="2026"/>
    <n v="2"/>
    <s v="28-02-2026"/>
    <n v="9892"/>
    <s v="2108-02"/>
    <n v="0"/>
    <n v="6387"/>
    <s v="Centralización ventas febrero 2026  #37334 - iva débito fiscal"/>
    <n v="-6387"/>
    <s v="Pasivo"/>
    <n v="6387"/>
    <x v="68"/>
  </r>
  <r>
    <n v="2026"/>
    <n v="2"/>
    <s v="28-02-2026"/>
    <n v="9893"/>
    <s v="2108-02"/>
    <n v="0"/>
    <n v="5109"/>
    <s v="Centralización ventas febrero 2026  #37335 - iva débito fiscal"/>
    <n v="-5109"/>
    <s v="Pasivo"/>
    <n v="5109"/>
    <x v="68"/>
  </r>
  <r>
    <n v="2026"/>
    <n v="2"/>
    <s v="28-02-2026"/>
    <n v="9894"/>
    <s v="2108-02"/>
    <n v="0"/>
    <n v="6387"/>
    <s v="Centralización ventas febrero 2026  #37336 - iva débito fiscal"/>
    <n v="-6387"/>
    <s v="Pasivo"/>
    <n v="6387"/>
    <x v="68"/>
  </r>
  <r>
    <n v="2026"/>
    <n v="2"/>
    <s v="28-02-2026"/>
    <n v="9895"/>
    <s v="2108-02"/>
    <n v="0"/>
    <n v="4790"/>
    <s v="Centralización ventas febrero 2026  #37338 - iva débito fiscal"/>
    <n v="-4790"/>
    <s v="Pasivo"/>
    <n v="4790"/>
    <x v="68"/>
  </r>
  <r>
    <n v="2026"/>
    <n v="2"/>
    <s v="28-02-2026"/>
    <n v="9896"/>
    <s v="2108-02"/>
    <n v="0"/>
    <n v="18263"/>
    <s v="Centralización ventas febrero 2026  #37344 - iva débito fiscal"/>
    <n v="-18263"/>
    <s v="Pasivo"/>
    <n v="18263"/>
    <x v="68"/>
  </r>
  <r>
    <n v="2026"/>
    <n v="2"/>
    <s v="28-02-2026"/>
    <n v="9897"/>
    <s v="2108-02"/>
    <n v="0"/>
    <n v="16284"/>
    <s v="Centralización ventas febrero 2026  #37346 - iva débito fiscal"/>
    <n v="-16284"/>
    <s v="Pasivo"/>
    <n v="16284"/>
    <x v="68"/>
  </r>
  <r>
    <n v="2026"/>
    <n v="2"/>
    <s v="28-02-2026"/>
    <n v="9898"/>
    <s v="2108-02"/>
    <n v="0"/>
    <n v="5587"/>
    <s v="Centralización ventas febrero 2026  #37348 - iva débito fiscal"/>
    <n v="-5587"/>
    <s v="Pasivo"/>
    <n v="5587"/>
    <x v="68"/>
  </r>
  <r>
    <n v="2026"/>
    <n v="2"/>
    <s v="28-02-2026"/>
    <n v="9899"/>
    <s v="2108-02"/>
    <n v="0"/>
    <n v="4790"/>
    <s v="Centralización ventas febrero 2026  #37356 - iva débito fiscal"/>
    <n v="-4790"/>
    <s v="Pasivo"/>
    <n v="4790"/>
    <x v="68"/>
  </r>
  <r>
    <n v="2026"/>
    <n v="2"/>
    <s v="28-02-2026"/>
    <n v="9900"/>
    <s v="2108-02"/>
    <n v="0"/>
    <n v="4788"/>
    <s v="Centralización ventas febrero 2026  #37372 - iva débito fiscal"/>
    <n v="-4788"/>
    <s v="Pasivo"/>
    <n v="4788"/>
    <x v="68"/>
  </r>
  <r>
    <n v="2026"/>
    <n v="2"/>
    <s v="28-02-2026"/>
    <n v="9901"/>
    <s v="2108-02"/>
    <n v="0"/>
    <n v="4790"/>
    <s v="Centralización ventas febrero 2026  #37387 - iva débito fiscal"/>
    <n v="-4790"/>
    <s v="Pasivo"/>
    <n v="4790"/>
    <x v="68"/>
  </r>
  <r>
    <n v="2026"/>
    <n v="2"/>
    <s v="28-02-2026"/>
    <n v="9902"/>
    <s v="2108-02"/>
    <n v="0"/>
    <n v="19098"/>
    <s v="Centralización ventas febrero 2026  #37388 - iva débito fiscal"/>
    <n v="-19098"/>
    <s v="Pasivo"/>
    <n v="19098"/>
    <x v="68"/>
  </r>
  <r>
    <n v="2026"/>
    <n v="2"/>
    <s v="28-02-2026"/>
    <n v="9903"/>
    <s v="2108-02"/>
    <n v="0"/>
    <n v="4790"/>
    <s v="Centralización ventas febrero 2026  #37389 - iva débito fiscal"/>
    <n v="-4790"/>
    <s v="Pasivo"/>
    <n v="4790"/>
    <x v="68"/>
  </r>
  <r>
    <n v="2026"/>
    <n v="2"/>
    <s v="28-02-2026"/>
    <n v="9904"/>
    <s v="2108-02"/>
    <n v="0"/>
    <n v="4788"/>
    <s v="Centralización ventas febrero 2026  #37393 - iva débito fiscal"/>
    <n v="-4788"/>
    <s v="Pasivo"/>
    <n v="4788"/>
    <x v="68"/>
  </r>
  <r>
    <n v="2026"/>
    <n v="2"/>
    <s v="28-02-2026"/>
    <n v="9905"/>
    <s v="2108-02"/>
    <n v="0"/>
    <n v="5587"/>
    <s v="Centralización ventas febrero 2026  #37413 - iva débito fiscal"/>
    <n v="-5587"/>
    <s v="Pasivo"/>
    <n v="5587"/>
    <x v="68"/>
  </r>
  <r>
    <n v="2026"/>
    <n v="2"/>
    <s v="28-02-2026"/>
    <n v="9906"/>
    <s v="2108-02"/>
    <n v="0"/>
    <n v="4790"/>
    <s v="Centralización ventas febrero 2026  #37416 - iva débito fiscal"/>
    <n v="-4790"/>
    <s v="Pasivo"/>
    <n v="4790"/>
    <x v="68"/>
  </r>
  <r>
    <n v="2026"/>
    <n v="2"/>
    <s v="28-02-2026"/>
    <n v="9907"/>
    <s v="2108-02"/>
    <n v="0"/>
    <n v="3192"/>
    <s v="Centralización ventas febrero 2026  #37422 - iva débito fiscal"/>
    <n v="-3192"/>
    <s v="Pasivo"/>
    <n v="3192"/>
    <x v="68"/>
  </r>
  <r>
    <n v="2026"/>
    <n v="2"/>
    <s v="28-02-2026"/>
    <n v="9908"/>
    <s v="2108-02"/>
    <n v="0"/>
    <n v="6066"/>
    <s v="Centralización ventas febrero 2026  #37431 - iva débito fiscal"/>
    <n v="-6066"/>
    <s v="Pasivo"/>
    <n v="6066"/>
    <x v="68"/>
  </r>
  <r>
    <n v="2026"/>
    <n v="2"/>
    <s v="28-02-2026"/>
    <n v="9909"/>
    <s v="2108-02"/>
    <n v="0"/>
    <n v="9261"/>
    <s v="Centralización ventas febrero 2026  #37435 - iva débito fiscal"/>
    <n v="-9261"/>
    <s v="Pasivo"/>
    <n v="9261"/>
    <x v="68"/>
  </r>
  <r>
    <n v="2026"/>
    <n v="2"/>
    <s v="28-02-2026"/>
    <n v="9910"/>
    <s v="2108-02"/>
    <n v="0"/>
    <n v="5267"/>
    <s v="Centralización ventas febrero 2026  #37437 - iva débito fiscal"/>
    <n v="-5267"/>
    <s v="Pasivo"/>
    <n v="5267"/>
    <x v="68"/>
  </r>
  <r>
    <n v="2026"/>
    <n v="2"/>
    <s v="28-02-2026"/>
    <n v="9911"/>
    <s v="2108-02"/>
    <n v="0"/>
    <n v="7983"/>
    <s v="Centralización ventas febrero 2026  #37438 - iva débito fiscal"/>
    <n v="-7983"/>
    <s v="Pasivo"/>
    <n v="7983"/>
    <x v="68"/>
  </r>
  <r>
    <n v="2026"/>
    <n v="2"/>
    <s v="28-02-2026"/>
    <n v="9912"/>
    <s v="2108-02"/>
    <n v="0"/>
    <n v="4790"/>
    <s v="Centralización ventas febrero 2026  #37439 - iva débito fiscal"/>
    <n v="-4790"/>
    <s v="Pasivo"/>
    <n v="4790"/>
    <x v="68"/>
  </r>
  <r>
    <n v="2026"/>
    <n v="2"/>
    <s v="28-02-2026"/>
    <n v="9913"/>
    <s v="2108-02"/>
    <n v="0"/>
    <n v="4790"/>
    <s v="Centralización ventas febrero 2026  #37440 - iva débito fiscal"/>
    <n v="-4790"/>
    <s v="Pasivo"/>
    <n v="4790"/>
    <x v="68"/>
  </r>
  <r>
    <n v="2026"/>
    <n v="2"/>
    <s v="28-02-2026"/>
    <n v="9914"/>
    <s v="2108-02"/>
    <n v="0"/>
    <n v="4790"/>
    <s v="Centralización ventas febrero 2026  #37443 - iva débito fiscal"/>
    <n v="-4790"/>
    <s v="Pasivo"/>
    <n v="4790"/>
    <x v="68"/>
  </r>
  <r>
    <n v="2026"/>
    <n v="2"/>
    <s v="28-02-2026"/>
    <n v="9915"/>
    <s v="2108-02"/>
    <n v="0"/>
    <n v="6387"/>
    <s v="Centralización ventas febrero 2026  #37445 - iva débito fiscal"/>
    <n v="-6387"/>
    <s v="Pasivo"/>
    <n v="6387"/>
    <x v="68"/>
  </r>
  <r>
    <n v="2026"/>
    <n v="2"/>
    <s v="28-02-2026"/>
    <n v="9916"/>
    <s v="2108-02"/>
    <n v="0"/>
    <n v="6387"/>
    <s v="Centralización ventas febrero 2026  #37448 - iva débito fiscal"/>
    <n v="-6387"/>
    <s v="Pasivo"/>
    <n v="6387"/>
    <x v="68"/>
  </r>
  <r>
    <n v="2026"/>
    <n v="2"/>
    <s v="28-02-2026"/>
    <n v="9917"/>
    <s v="2108-02"/>
    <n v="0"/>
    <n v="4629"/>
    <s v="Centralización ventas febrero 2026  #37449 - iva débito fiscal"/>
    <n v="-4629"/>
    <s v="Pasivo"/>
    <n v="4629"/>
    <x v="68"/>
  </r>
  <r>
    <n v="2026"/>
    <n v="2"/>
    <s v="28-02-2026"/>
    <n v="9918"/>
    <s v="2108-02"/>
    <n v="0"/>
    <n v="7983"/>
    <s v="Centralización ventas febrero 2026  #37450 - iva débito fiscal"/>
    <n v="-7983"/>
    <s v="Pasivo"/>
    <n v="7983"/>
    <x v="68"/>
  </r>
  <r>
    <n v="2026"/>
    <n v="2"/>
    <s v="28-02-2026"/>
    <n v="9919"/>
    <s v="2108-02"/>
    <n v="0"/>
    <n v="6864"/>
    <s v="Centralización ventas febrero 2026  #37451 - iva débito fiscal"/>
    <n v="-6864"/>
    <s v="Pasivo"/>
    <n v="6864"/>
    <x v="68"/>
  </r>
  <r>
    <n v="2026"/>
    <n v="2"/>
    <s v="28-02-2026"/>
    <n v="9920"/>
    <s v="2108-02"/>
    <n v="0"/>
    <n v="5267"/>
    <s v="Centralización ventas febrero 2026  #37453 - iva débito fiscal"/>
    <n v="-5267"/>
    <s v="Pasivo"/>
    <n v="5267"/>
    <x v="68"/>
  </r>
  <r>
    <n v="2026"/>
    <n v="2"/>
    <s v="28-02-2026"/>
    <n v="9921"/>
    <s v="2108-02"/>
    <n v="0"/>
    <n v="4788"/>
    <s v="Centralización ventas febrero 2026  #37454 - iva débito fiscal"/>
    <n v="-4788"/>
    <s v="Pasivo"/>
    <n v="4788"/>
    <x v="68"/>
  </r>
  <r>
    <n v="2026"/>
    <n v="2"/>
    <s v="28-02-2026"/>
    <n v="9922"/>
    <s v="2108-02"/>
    <n v="0"/>
    <n v="4790"/>
    <s v="Centralización ventas febrero 2026  #37455 - iva débito fiscal"/>
    <n v="-4790"/>
    <s v="Pasivo"/>
    <n v="4790"/>
    <x v="68"/>
  </r>
  <r>
    <n v="2026"/>
    <n v="2"/>
    <s v="28-02-2026"/>
    <n v="9923"/>
    <s v="2108-02"/>
    <n v="0"/>
    <n v="9580"/>
    <s v="Centralización ventas febrero 2026  #37456 - iva débito fiscal"/>
    <n v="-9580"/>
    <s v="Pasivo"/>
    <n v="9580"/>
    <x v="68"/>
  </r>
  <r>
    <n v="2026"/>
    <n v="2"/>
    <s v="28-02-2026"/>
    <n v="9924"/>
    <s v="2108-02"/>
    <n v="0"/>
    <n v="4790"/>
    <s v="Centralización ventas febrero 2026  #37457 - iva débito fiscal"/>
    <n v="-4790"/>
    <s v="Pasivo"/>
    <n v="4790"/>
    <x v="68"/>
  </r>
  <r>
    <n v="2026"/>
    <n v="2"/>
    <s v="28-02-2026"/>
    <n v="9925"/>
    <s v="2108-02"/>
    <n v="0"/>
    <n v="35275"/>
    <s v="Centralización ventas febrero 2026  #37458 - iva débito fiscal"/>
    <n v="-35275"/>
    <s v="Pasivo"/>
    <n v="35275"/>
    <x v="68"/>
  </r>
  <r>
    <n v="2026"/>
    <n v="2"/>
    <s v="28-02-2026"/>
    <n v="9926"/>
    <s v="2108-02"/>
    <n v="0"/>
    <n v="7024"/>
    <s v="Centralización ventas febrero 2026  #37459 - iva débito fiscal"/>
    <n v="-7024"/>
    <s v="Pasivo"/>
    <n v="7024"/>
    <x v="68"/>
  </r>
  <r>
    <n v="2026"/>
    <n v="2"/>
    <s v="28-02-2026"/>
    <n v="9927"/>
    <s v="2108-02"/>
    <n v="0"/>
    <n v="4790"/>
    <s v="Centralización ventas febrero 2026  #37460 - iva débito fiscal"/>
    <n v="-4790"/>
    <s v="Pasivo"/>
    <n v="4790"/>
    <x v="68"/>
  </r>
  <r>
    <n v="2026"/>
    <n v="2"/>
    <s v="28-02-2026"/>
    <n v="9928"/>
    <s v="2108-02"/>
    <n v="0"/>
    <n v="4790"/>
    <s v="Centralización ventas febrero 2026  #37461 - iva débito fiscal"/>
    <n v="-4790"/>
    <s v="Pasivo"/>
    <n v="4790"/>
    <x v="68"/>
  </r>
  <r>
    <n v="2026"/>
    <n v="2"/>
    <s v="28-02-2026"/>
    <n v="9929"/>
    <s v="2108-02"/>
    <n v="0"/>
    <n v="11496"/>
    <s v="Centralización ventas febrero 2026  #37462 - iva débito fiscal"/>
    <n v="-11496"/>
    <s v="Pasivo"/>
    <n v="11496"/>
    <x v="68"/>
  </r>
  <r>
    <n v="2026"/>
    <n v="2"/>
    <s v="28-02-2026"/>
    <n v="9930"/>
    <s v="2108-02"/>
    <n v="0"/>
    <n v="4790"/>
    <s v="Centralización ventas febrero 2026  #37463 - iva débito fiscal"/>
    <n v="-4790"/>
    <s v="Pasivo"/>
    <n v="4790"/>
    <x v="68"/>
  </r>
  <r>
    <n v="2026"/>
    <n v="2"/>
    <s v="28-02-2026"/>
    <n v="9931"/>
    <s v="2108-02"/>
    <n v="0"/>
    <n v="47279"/>
    <s v="Centralización ventas febrero 2026  #37465 - iva débito fiscal"/>
    <n v="-47279"/>
    <s v="Pasivo"/>
    <n v="47279"/>
    <x v="68"/>
  </r>
  <r>
    <n v="2026"/>
    <n v="2"/>
    <s v="28-02-2026"/>
    <n v="9932"/>
    <s v="2108-02"/>
    <n v="0"/>
    <n v="4788"/>
    <s v="Centralización ventas febrero 2026  #37466 - iva débito fiscal"/>
    <n v="-4788"/>
    <s v="Pasivo"/>
    <n v="4788"/>
    <x v="68"/>
  </r>
  <r>
    <n v="2026"/>
    <n v="2"/>
    <s v="28-02-2026"/>
    <n v="9933"/>
    <s v="2108-02"/>
    <n v="0"/>
    <n v="4790"/>
    <s v="Centralización ventas febrero 2026  #37468 - iva débito fiscal"/>
    <n v="-4790"/>
    <s v="Pasivo"/>
    <n v="4790"/>
    <x v="68"/>
  </r>
  <r>
    <n v="2026"/>
    <n v="2"/>
    <s v="28-02-2026"/>
    <n v="9934"/>
    <s v="2108-02"/>
    <n v="0"/>
    <n v="4790"/>
    <s v="Centralización ventas febrero 2026  #37469 - iva débito fiscal"/>
    <n v="-4790"/>
    <s v="Pasivo"/>
    <n v="4790"/>
    <x v="68"/>
  </r>
  <r>
    <n v="2026"/>
    <n v="2"/>
    <s v="28-02-2026"/>
    <n v="9935"/>
    <s v="2108-02"/>
    <n v="0"/>
    <n v="3511"/>
    <s v="Centralización ventas febrero 2026  #37470 - iva débito fiscal"/>
    <n v="-3511"/>
    <s v="Pasivo"/>
    <n v="3511"/>
    <x v="68"/>
  </r>
  <r>
    <n v="2026"/>
    <n v="2"/>
    <s v="28-02-2026"/>
    <n v="9936"/>
    <s v="2108-02"/>
    <n v="0"/>
    <n v="4790"/>
    <s v="Centralización ventas febrero 2026  #37471 - iva débito fiscal"/>
    <n v="-4790"/>
    <s v="Pasivo"/>
    <n v="4790"/>
    <x v="68"/>
  </r>
  <r>
    <n v="2026"/>
    <n v="2"/>
    <s v="28-02-2026"/>
    <n v="9937"/>
    <s v="2108-02"/>
    <n v="0"/>
    <n v="5587"/>
    <s v="Centralización ventas febrero 2026  #37473 - iva débito fiscal"/>
    <n v="-5587"/>
    <s v="Pasivo"/>
    <n v="5587"/>
    <x v="68"/>
  </r>
  <r>
    <n v="2026"/>
    <n v="2"/>
    <s v="28-02-2026"/>
    <n v="9938"/>
    <s v="2108-02"/>
    <n v="0"/>
    <n v="4788"/>
    <s v="Centralización ventas febrero 2026  #37474 - iva débito fiscal"/>
    <n v="-4788"/>
    <s v="Pasivo"/>
    <n v="4788"/>
    <x v="68"/>
  </r>
  <r>
    <n v="2026"/>
    <n v="2"/>
    <s v="28-02-2026"/>
    <n v="9939"/>
    <s v="2108-02"/>
    <n v="0"/>
    <n v="5427"/>
    <s v="Centralización ventas febrero 2026  #37477 - iva débito fiscal"/>
    <n v="-5427"/>
    <s v="Pasivo"/>
    <n v="5427"/>
    <x v="68"/>
  </r>
  <r>
    <n v="2026"/>
    <n v="2"/>
    <s v="28-02-2026"/>
    <n v="9940"/>
    <s v="2108-02"/>
    <n v="0"/>
    <n v="4790"/>
    <s v="Centralización ventas febrero 2026  #37478 - iva débito fiscal"/>
    <n v="-4790"/>
    <s v="Pasivo"/>
    <n v="4790"/>
    <x v="68"/>
  </r>
  <r>
    <n v="2026"/>
    <n v="2"/>
    <s v="28-02-2026"/>
    <n v="9941"/>
    <s v="2108-02"/>
    <n v="0"/>
    <n v="4790"/>
    <s v="Centralización ventas febrero 2026  #37484 - iva débito fiscal"/>
    <n v="-4790"/>
    <s v="Pasivo"/>
    <n v="4790"/>
    <x v="68"/>
  </r>
  <r>
    <n v="2026"/>
    <n v="2"/>
    <s v="28-02-2026"/>
    <n v="9942"/>
    <s v="2108-02"/>
    <n v="0"/>
    <n v="6387"/>
    <s v="Centralización ventas febrero 2026  #37486 - iva débito fiscal"/>
    <n v="-6387"/>
    <s v="Pasivo"/>
    <n v="6387"/>
    <x v="68"/>
  </r>
  <r>
    <n v="2026"/>
    <n v="2"/>
    <s v="28-02-2026"/>
    <n v="9943"/>
    <s v="2108-02"/>
    <n v="0"/>
    <n v="12134"/>
    <s v="Centralización ventas febrero 2026  #37487 - iva débito fiscal"/>
    <n v="-12134"/>
    <s v="Pasivo"/>
    <n v="12134"/>
    <x v="68"/>
  </r>
  <r>
    <n v="2026"/>
    <n v="2"/>
    <s v="28-02-2026"/>
    <n v="9944"/>
    <s v="2108-02"/>
    <n v="0"/>
    <n v="4790"/>
    <s v="Centralización ventas febrero 2026  #37494 - iva débito fiscal"/>
    <n v="-4790"/>
    <s v="Pasivo"/>
    <n v="4790"/>
    <x v="68"/>
  </r>
  <r>
    <n v="2026"/>
    <n v="2"/>
    <s v="28-02-2026"/>
    <n v="9945"/>
    <s v="2108-02"/>
    <n v="0"/>
    <n v="4790"/>
    <s v="Centralización ventas febrero 2026  #37496 - iva débito fiscal"/>
    <n v="-4790"/>
    <s v="Pasivo"/>
    <n v="4790"/>
    <x v="68"/>
  </r>
  <r>
    <n v="2026"/>
    <n v="2"/>
    <s v="28-02-2026"/>
    <n v="9946"/>
    <s v="2108-02"/>
    <n v="0"/>
    <n v="79384"/>
    <s v="Centralización ventas febrero 2026  #37647 - iva débito fiscal"/>
    <n v="-79384"/>
    <s v="Pasivo"/>
    <n v="79384"/>
    <x v="68"/>
  </r>
  <r>
    <n v="2026"/>
    <n v="2"/>
    <s v="28-02-2026"/>
    <n v="9947"/>
    <s v="2108-02"/>
    <n v="0"/>
    <n v="4150"/>
    <s v="Centralización ventas febrero 2026  #37845 - iva débito fiscal"/>
    <n v="-4150"/>
    <s v="Pasivo"/>
    <n v="4150"/>
    <x v="68"/>
  </r>
  <r>
    <n v="2026"/>
    <n v="2"/>
    <s v="28-02-2026"/>
    <n v="9948"/>
    <s v="2108-02"/>
    <n v="0"/>
    <n v="31933"/>
    <s v="Centralización ventas febrero 2026  #37893 - iva débito fiscal"/>
    <n v="-31933"/>
    <s v="Pasivo"/>
    <n v="31933"/>
    <x v="68"/>
  </r>
  <r>
    <n v="2026"/>
    <n v="2"/>
    <s v="28-02-2026"/>
    <n v="9949"/>
    <s v="2108-02"/>
    <n v="0"/>
    <n v="3990"/>
    <s v="Centralización ventas febrero 2026  #37944 - iva débito fiscal"/>
    <n v="-3990"/>
    <s v="Pasivo"/>
    <n v="3990"/>
    <x v="68"/>
  </r>
  <r>
    <n v="2026"/>
    <n v="2"/>
    <s v="28-02-2026"/>
    <n v="9950"/>
    <s v="2108-02"/>
    <n v="0"/>
    <n v="9578"/>
    <s v="Centralización ventas febrero 2026  #37967 - iva débito fiscal"/>
    <n v="-9578"/>
    <s v="Pasivo"/>
    <n v="9578"/>
    <x v="68"/>
  </r>
  <r>
    <n v="2026"/>
    <n v="2"/>
    <s v="28-02-2026"/>
    <n v="9951"/>
    <s v="2108-02"/>
    <n v="9578"/>
    <n v="0"/>
    <s v="Centralización ventas febrero 2026  #4472 - iva débito fiscal"/>
    <n v="9578"/>
    <s v="Pasivo"/>
    <n v="-9578"/>
    <x v="68"/>
  </r>
  <r>
    <n v="2026"/>
    <n v="2"/>
    <s v="28-02-2026"/>
    <n v="9952"/>
    <s v="2108-02"/>
    <n v="4790"/>
    <n v="0"/>
    <s v="Centralización ventas febrero 2026  #4479 - iva débito fiscal"/>
    <n v="4790"/>
    <s v="Pasivo"/>
    <n v="-4790"/>
    <x v="68"/>
  </r>
  <r>
    <n v="2026"/>
    <n v="2"/>
    <s v="28-02-2026"/>
    <n v="9953"/>
    <s v="2108-02"/>
    <n v="19255"/>
    <n v="0"/>
    <s v="Centralización ventas febrero 2026  #4526 - iva débito fiscal"/>
    <n v="19255"/>
    <s v="Pasivo"/>
    <n v="-19255"/>
    <x v="68"/>
  </r>
  <r>
    <n v="2026"/>
    <n v="2"/>
    <s v="28-02-2026"/>
    <n v="9954"/>
    <s v="2108-02"/>
    <n v="0"/>
    <n v="25315955"/>
    <s v="Centralización ventas febrero 2026  #22026 - iva débito fiscal"/>
    <n v="-25315955"/>
    <s v="Pasivo"/>
    <n v="25315955"/>
    <x v="68"/>
  </r>
  <r>
    <n v="2026"/>
    <n v="2"/>
    <s v="28-02-2026"/>
    <n v="9955"/>
    <s v="2108-02"/>
    <n v="0"/>
    <n v="5454"/>
    <s v="Centralización ventas febrero 2026  #37325 - iva débito fiscal"/>
    <n v="-5454"/>
    <s v="Pasivo"/>
    <n v="5454"/>
    <x v="68"/>
  </r>
  <r>
    <n v="2026"/>
    <n v="2"/>
    <s v="28-02-2026"/>
    <n v="9956"/>
    <s v="2108-02"/>
    <n v="0"/>
    <n v="7284"/>
    <s v="Centralización ventas febrero 2026  #37327 - iva débito fiscal"/>
    <n v="-7284"/>
    <s v="Pasivo"/>
    <n v="7284"/>
    <x v="68"/>
  </r>
  <r>
    <n v="2026"/>
    <n v="2"/>
    <s v="28-02-2026"/>
    <n v="9957"/>
    <s v="2108-02"/>
    <n v="0"/>
    <n v="239815"/>
    <s v="Centralización ventas febrero 2026  #37328 - iva débito fiscal"/>
    <n v="-239815"/>
    <s v="Pasivo"/>
    <n v="239815"/>
    <x v="68"/>
  </r>
  <r>
    <n v="2026"/>
    <n v="2"/>
    <s v="28-02-2026"/>
    <n v="9958"/>
    <s v="2108-02"/>
    <n v="0"/>
    <n v="4950"/>
    <s v="Centralización ventas febrero 2026  #37330 - iva débito fiscal"/>
    <n v="-4950"/>
    <s v="Pasivo"/>
    <n v="4950"/>
    <x v="68"/>
  </r>
  <r>
    <n v="2026"/>
    <n v="2"/>
    <s v="28-02-2026"/>
    <n v="9959"/>
    <s v="2108-02"/>
    <n v="0"/>
    <n v="4790"/>
    <s v="Centralización ventas febrero 2026  #37337 - iva débito fiscal"/>
    <n v="-4790"/>
    <s v="Pasivo"/>
    <n v="4790"/>
    <x v="68"/>
  </r>
  <r>
    <n v="2026"/>
    <n v="2"/>
    <s v="28-02-2026"/>
    <n v="9960"/>
    <s v="2108-02"/>
    <n v="0"/>
    <n v="5109"/>
    <s v="Centralización ventas febrero 2026  #37341 - iva débito fiscal"/>
    <n v="-5109"/>
    <s v="Pasivo"/>
    <n v="5109"/>
    <x v="68"/>
  </r>
  <r>
    <n v="2026"/>
    <n v="2"/>
    <s v="28-02-2026"/>
    <n v="9961"/>
    <s v="2108-02"/>
    <n v="0"/>
    <n v="7022"/>
    <s v="Centralización ventas febrero 2026  #37342 - iva débito fiscal"/>
    <n v="-7022"/>
    <s v="Pasivo"/>
    <n v="7022"/>
    <x v="68"/>
  </r>
  <r>
    <n v="2026"/>
    <n v="2"/>
    <s v="28-02-2026"/>
    <n v="9962"/>
    <s v="2108-02"/>
    <n v="0"/>
    <n v="5108"/>
    <s v="Centralización ventas febrero 2026  #37345 - iva débito fiscal"/>
    <n v="-5108"/>
    <s v="Pasivo"/>
    <n v="5108"/>
    <x v="68"/>
  </r>
  <r>
    <n v="2026"/>
    <n v="2"/>
    <s v="28-02-2026"/>
    <n v="9963"/>
    <s v="2108-02"/>
    <n v="0"/>
    <n v="4471"/>
    <s v="Centralización ventas febrero 2026  #37353 - iva débito fiscal"/>
    <n v="-4471"/>
    <s v="Pasivo"/>
    <n v="4471"/>
    <x v="68"/>
  </r>
  <r>
    <n v="2026"/>
    <n v="2"/>
    <s v="28-02-2026"/>
    <n v="9964"/>
    <s v="2108-02"/>
    <n v="0"/>
    <n v="4790"/>
    <s v="Centralización ventas febrero 2026  #37354 - iva débito fiscal"/>
    <n v="-4790"/>
    <s v="Pasivo"/>
    <n v="4790"/>
    <x v="68"/>
  </r>
  <r>
    <n v="2026"/>
    <n v="2"/>
    <s v="28-02-2026"/>
    <n v="9965"/>
    <s v="2108-02"/>
    <n v="0"/>
    <n v="35120"/>
    <s v="Centralización ventas febrero 2026  #37360 - iva débito fiscal"/>
    <n v="-35120"/>
    <s v="Pasivo"/>
    <n v="35120"/>
    <x v="68"/>
  </r>
  <r>
    <n v="2026"/>
    <n v="2"/>
    <s v="28-02-2026"/>
    <n v="9966"/>
    <s v="2108-02"/>
    <n v="0"/>
    <n v="4151"/>
    <s v="Centralización ventas febrero 2026  #37364 - iva débito fiscal"/>
    <n v="-4151"/>
    <s v="Pasivo"/>
    <n v="4151"/>
    <x v="68"/>
  </r>
  <r>
    <n v="2026"/>
    <n v="2"/>
    <s v="28-02-2026"/>
    <n v="9967"/>
    <s v="2108-02"/>
    <n v="0"/>
    <n v="5266"/>
    <s v="Centralización ventas febrero 2026  #37370 - iva débito fiscal"/>
    <n v="-5266"/>
    <s v="Pasivo"/>
    <n v="5266"/>
    <x v="68"/>
  </r>
  <r>
    <n v="2026"/>
    <n v="2"/>
    <s v="28-02-2026"/>
    <n v="9968"/>
    <s v="2108-02"/>
    <n v="0"/>
    <n v="44552"/>
    <s v="Centralización ventas febrero 2026  #37381 - iva débito fiscal"/>
    <n v="-44552"/>
    <s v="Pasivo"/>
    <n v="44552"/>
    <x v="68"/>
  </r>
  <r>
    <n v="2026"/>
    <n v="2"/>
    <s v="28-02-2026"/>
    <n v="9969"/>
    <s v="2108-02"/>
    <n v="0"/>
    <n v="98100"/>
    <s v="Centralización ventas febrero 2026  #37384 - iva débito fiscal"/>
    <n v="-98100"/>
    <s v="Pasivo"/>
    <n v="98100"/>
    <x v="68"/>
  </r>
  <r>
    <n v="2026"/>
    <n v="2"/>
    <s v="28-02-2026"/>
    <n v="9970"/>
    <s v="2108-02"/>
    <n v="0"/>
    <n v="7982"/>
    <s v="Centralización ventas febrero 2026  #37396 - iva débito fiscal"/>
    <n v="-7982"/>
    <s v="Pasivo"/>
    <n v="7982"/>
    <x v="68"/>
  </r>
  <r>
    <n v="2026"/>
    <n v="2"/>
    <s v="28-02-2026"/>
    <n v="9971"/>
    <s v="2108-02"/>
    <n v="0"/>
    <n v="6382"/>
    <s v="Centralización ventas febrero 2026  #37398 - iva débito fiscal"/>
    <n v="-6382"/>
    <s v="Pasivo"/>
    <n v="6382"/>
    <x v="68"/>
  </r>
  <r>
    <n v="2026"/>
    <n v="2"/>
    <s v="28-02-2026"/>
    <n v="9972"/>
    <s v="2108-02"/>
    <n v="0"/>
    <n v="19798"/>
    <s v="Centralización ventas febrero 2026  #37403 - iva débito fiscal"/>
    <n v="-19798"/>
    <s v="Pasivo"/>
    <n v="19798"/>
    <x v="68"/>
  </r>
  <r>
    <n v="2026"/>
    <n v="2"/>
    <s v="28-02-2026"/>
    <n v="9973"/>
    <s v="2108-02"/>
    <n v="0"/>
    <n v="11333"/>
    <s v="Centralización ventas febrero 2026  #37409 - iva débito fiscal"/>
    <n v="-11333"/>
    <s v="Pasivo"/>
    <n v="11333"/>
    <x v="68"/>
  </r>
  <r>
    <n v="2026"/>
    <n v="2"/>
    <s v="28-02-2026"/>
    <n v="9974"/>
    <s v="2108-02"/>
    <n v="0"/>
    <n v="6385"/>
    <s v="Centralización ventas febrero 2026  #37420 - iva débito fiscal"/>
    <n v="-6385"/>
    <s v="Pasivo"/>
    <n v="6385"/>
    <x v="68"/>
  </r>
  <r>
    <n v="2026"/>
    <n v="2"/>
    <s v="28-02-2026"/>
    <n v="9975"/>
    <s v="2108-02"/>
    <n v="0"/>
    <n v="6862"/>
    <s v="Centralización ventas febrero 2026  #37424 - iva débito fiscal"/>
    <n v="-6862"/>
    <s v="Pasivo"/>
    <n v="6862"/>
    <x v="68"/>
  </r>
  <r>
    <n v="2026"/>
    <n v="2"/>
    <s v="28-02-2026"/>
    <n v="9976"/>
    <s v="2108-02"/>
    <n v="0"/>
    <n v="4790"/>
    <s v="Centralización ventas febrero 2026  #37426 - iva débito fiscal"/>
    <n v="-4790"/>
    <s v="Pasivo"/>
    <n v="4790"/>
    <x v="68"/>
  </r>
  <r>
    <n v="2026"/>
    <n v="2"/>
    <s v="28-02-2026"/>
    <n v="9977"/>
    <s v="2108-02"/>
    <n v="0"/>
    <n v="5587"/>
    <s v="Centralización ventas febrero 2026  #37432 - iva débito fiscal"/>
    <n v="-5587"/>
    <s v="Pasivo"/>
    <n v="5587"/>
    <x v="68"/>
  </r>
  <r>
    <n v="2026"/>
    <n v="2"/>
    <s v="28-02-2026"/>
    <n v="9978"/>
    <s v="2108-02"/>
    <n v="0"/>
    <n v="4790"/>
    <s v="Centralización ventas febrero 2026  #37433 - iva débito fiscal"/>
    <n v="-4790"/>
    <s v="Pasivo"/>
    <n v="4790"/>
    <x v="68"/>
  </r>
  <r>
    <n v="2026"/>
    <n v="2"/>
    <s v="28-02-2026"/>
    <n v="9979"/>
    <s v="2108-02"/>
    <n v="0"/>
    <n v="5269"/>
    <s v="Centralización ventas febrero 2026  #37441 - iva débito fiscal"/>
    <n v="-5269"/>
    <s v="Pasivo"/>
    <n v="5269"/>
    <x v="68"/>
  </r>
  <r>
    <n v="2026"/>
    <n v="2"/>
    <s v="28-02-2026"/>
    <n v="9980"/>
    <s v="2108-02"/>
    <n v="0"/>
    <n v="18996"/>
    <s v="Centralización ventas febrero 2026  #37444 - iva débito fiscal"/>
    <n v="-18996"/>
    <s v="Pasivo"/>
    <n v="18996"/>
    <x v="68"/>
  </r>
  <r>
    <n v="2026"/>
    <n v="2"/>
    <s v="28-02-2026"/>
    <n v="9981"/>
    <s v="2108-02"/>
    <n v="0"/>
    <n v="4469"/>
    <s v="Centralización ventas febrero 2026  #37452 - iva débito fiscal"/>
    <n v="-4469"/>
    <s v="Pasivo"/>
    <n v="4469"/>
    <x v="68"/>
  </r>
  <r>
    <n v="2026"/>
    <n v="2"/>
    <s v="28-02-2026"/>
    <n v="9982"/>
    <s v="2108-02"/>
    <n v="0"/>
    <n v="15483"/>
    <s v="Centralización ventas febrero 2026  #37472 - iva débito fiscal"/>
    <n v="-15483"/>
    <s v="Pasivo"/>
    <n v="15483"/>
    <x v="68"/>
  </r>
  <r>
    <n v="2026"/>
    <n v="2"/>
    <s v="28-02-2026"/>
    <n v="9983"/>
    <s v="2108-02"/>
    <n v="0"/>
    <n v="4790"/>
    <s v="Centralización ventas febrero 2026  #37476 - iva débito fiscal"/>
    <n v="-4790"/>
    <s v="Pasivo"/>
    <n v="4790"/>
    <x v="68"/>
  </r>
  <r>
    <n v="2026"/>
    <n v="2"/>
    <s v="28-02-2026"/>
    <n v="9984"/>
    <s v="2108-02"/>
    <n v="0"/>
    <n v="7024"/>
    <s v="Centralización ventas febrero 2026  #37480 - iva débito fiscal"/>
    <n v="-7024"/>
    <s v="Pasivo"/>
    <n v="7024"/>
    <x v="68"/>
  </r>
  <r>
    <n v="2026"/>
    <n v="2"/>
    <s v="28-02-2026"/>
    <n v="9985"/>
    <s v="2108-02"/>
    <n v="0"/>
    <n v="6387"/>
    <s v="Centralización ventas febrero 2026  #37481 - iva débito fiscal"/>
    <n v="-6387"/>
    <s v="Pasivo"/>
    <n v="6387"/>
    <x v="68"/>
  </r>
  <r>
    <n v="2026"/>
    <n v="2"/>
    <s v="28-02-2026"/>
    <n v="9986"/>
    <s v="2108-02"/>
    <n v="0"/>
    <n v="3511"/>
    <s v="Centralización ventas febrero 2026  #37488 - iva débito fiscal"/>
    <n v="-3511"/>
    <s v="Pasivo"/>
    <n v="3511"/>
    <x v="68"/>
  </r>
  <r>
    <n v="2026"/>
    <n v="2"/>
    <s v="28-02-2026"/>
    <n v="9987"/>
    <s v="2108-02"/>
    <n v="0"/>
    <n v="44622"/>
    <s v="Centralización ventas febrero 2026  #37489 - iva débito fiscal"/>
    <n v="-44622"/>
    <s v="Pasivo"/>
    <n v="44622"/>
    <x v="68"/>
  </r>
  <r>
    <n v="2026"/>
    <n v="2"/>
    <s v="28-02-2026"/>
    <n v="9988"/>
    <s v="2108-02"/>
    <n v="0"/>
    <n v="5108"/>
    <s v="Centralización ventas febrero 2026  #37490 - iva débito fiscal"/>
    <n v="-5108"/>
    <s v="Pasivo"/>
    <n v="5108"/>
    <x v="68"/>
  </r>
  <r>
    <n v="2026"/>
    <n v="2"/>
    <s v="28-02-2026"/>
    <n v="9989"/>
    <s v="2108-02"/>
    <n v="0"/>
    <n v="4790"/>
    <s v="Centralización ventas febrero 2026  #37491 - iva débito fiscal"/>
    <n v="-4790"/>
    <s v="Pasivo"/>
    <n v="4790"/>
    <x v="68"/>
  </r>
  <r>
    <n v="2026"/>
    <n v="2"/>
    <s v="28-02-2026"/>
    <n v="9990"/>
    <s v="2108-02"/>
    <n v="0"/>
    <n v="3511"/>
    <s v="Centralización ventas febrero 2026  #37492 - iva débito fiscal"/>
    <n v="-3511"/>
    <s v="Pasivo"/>
    <n v="3511"/>
    <x v="68"/>
  </r>
  <r>
    <n v="2026"/>
    <n v="2"/>
    <s v="28-02-2026"/>
    <n v="9991"/>
    <s v="2108-02"/>
    <n v="0"/>
    <n v="4629"/>
    <s v="Centralización ventas febrero 2026  #37493 - iva débito fiscal"/>
    <n v="-4629"/>
    <s v="Pasivo"/>
    <n v="4629"/>
    <x v="68"/>
  </r>
  <r>
    <n v="2026"/>
    <n v="2"/>
    <s v="28-02-2026"/>
    <n v="9992"/>
    <s v="2108-02"/>
    <n v="0"/>
    <n v="5588"/>
    <s v="Centralización ventas febrero 2026  #37495 - iva débito fiscal"/>
    <n v="-5588"/>
    <s v="Pasivo"/>
    <n v="5588"/>
    <x v="68"/>
  </r>
  <r>
    <n v="2026"/>
    <n v="2"/>
    <s v="28-02-2026"/>
    <n v="9993"/>
    <s v="2108-02"/>
    <n v="0"/>
    <n v="3497"/>
    <s v="Centralización ventas febrero 2026  #37497 - iva débito fiscal"/>
    <n v="-3497"/>
    <s v="Pasivo"/>
    <n v="3497"/>
    <x v="68"/>
  </r>
  <r>
    <n v="2026"/>
    <n v="2"/>
    <s v="28-02-2026"/>
    <n v="9994"/>
    <s v="2108-02"/>
    <n v="0"/>
    <n v="5745"/>
    <s v="Centralización ventas febrero 2026  #37499 - iva débito fiscal"/>
    <n v="-5745"/>
    <s v="Pasivo"/>
    <n v="5745"/>
    <x v="68"/>
  </r>
  <r>
    <n v="2026"/>
    <n v="2"/>
    <s v="28-02-2026"/>
    <n v="9995"/>
    <s v="2108-02"/>
    <n v="0"/>
    <n v="9578"/>
    <s v="Centralización ventas febrero 2026  #37500 - iva débito fiscal"/>
    <n v="-9578"/>
    <s v="Pasivo"/>
    <n v="9578"/>
    <x v="68"/>
  </r>
  <r>
    <n v="2026"/>
    <n v="2"/>
    <s v="28-02-2026"/>
    <n v="9996"/>
    <s v="2108-02"/>
    <n v="0"/>
    <n v="3511"/>
    <s v="Centralización ventas febrero 2026  #37501 - iva débito fiscal"/>
    <n v="-3511"/>
    <s v="Pasivo"/>
    <n v="3511"/>
    <x v="68"/>
  </r>
  <r>
    <n v="2026"/>
    <n v="2"/>
    <s v="28-02-2026"/>
    <n v="9997"/>
    <s v="2108-02"/>
    <n v="0"/>
    <n v="6706"/>
    <s v="Centralización ventas febrero 2026  #37502 - iva débito fiscal"/>
    <n v="-6706"/>
    <s v="Pasivo"/>
    <n v="6706"/>
    <x v="68"/>
  </r>
  <r>
    <n v="2026"/>
    <n v="2"/>
    <s v="28-02-2026"/>
    <n v="9998"/>
    <s v="2108-02"/>
    <n v="0"/>
    <n v="8619"/>
    <s v="Centralización ventas febrero 2026  #37503 - iva débito fiscal"/>
    <n v="-8619"/>
    <s v="Pasivo"/>
    <n v="8619"/>
    <x v="68"/>
  </r>
  <r>
    <n v="2026"/>
    <n v="2"/>
    <s v="28-02-2026"/>
    <n v="9999"/>
    <s v="2108-02"/>
    <n v="0"/>
    <n v="5108"/>
    <s v="Centralización ventas febrero 2026  #37504 - iva débito fiscal"/>
    <n v="-5108"/>
    <s v="Pasivo"/>
    <n v="5108"/>
    <x v="68"/>
  </r>
  <r>
    <n v="2026"/>
    <n v="2"/>
    <s v="28-02-2026"/>
    <n v="10000"/>
    <s v="2108-02"/>
    <n v="0"/>
    <n v="9577"/>
    <s v="Centralización ventas febrero 2026  #37505 - iva débito fiscal"/>
    <n v="-9577"/>
    <s v="Pasivo"/>
    <n v="9577"/>
    <x v="68"/>
  </r>
  <r>
    <n v="2026"/>
    <n v="2"/>
    <s v="28-02-2026"/>
    <n v="10001"/>
    <s v="2108-02"/>
    <n v="0"/>
    <n v="91566"/>
    <s v="Centralización ventas febrero 2026  #37506 - iva débito fiscal"/>
    <n v="-91566"/>
    <s v="Pasivo"/>
    <n v="91566"/>
    <x v="68"/>
  </r>
  <r>
    <n v="2026"/>
    <n v="2"/>
    <s v="28-02-2026"/>
    <n v="10002"/>
    <s v="2108-02"/>
    <n v="0"/>
    <n v="4629"/>
    <s v="Centralización ventas febrero 2026  #37507 - iva débito fiscal"/>
    <n v="-4629"/>
    <s v="Pasivo"/>
    <n v="4629"/>
    <x v="68"/>
  </r>
  <r>
    <n v="2026"/>
    <n v="2"/>
    <s v="28-02-2026"/>
    <n v="10003"/>
    <s v="2108-02"/>
    <n v="0"/>
    <n v="4629"/>
    <s v="Centralización ventas febrero 2026  #37508 - iva débito fiscal"/>
    <n v="-4629"/>
    <s v="Pasivo"/>
    <n v="4629"/>
    <x v="68"/>
  </r>
  <r>
    <n v="2026"/>
    <n v="2"/>
    <s v="28-02-2026"/>
    <n v="10004"/>
    <s v="2108-02"/>
    <n v="0"/>
    <n v="6225"/>
    <s v="Centralización ventas febrero 2026  #37509 - iva débito fiscal"/>
    <n v="-6225"/>
    <s v="Pasivo"/>
    <n v="6225"/>
    <x v="68"/>
  </r>
  <r>
    <n v="2026"/>
    <n v="2"/>
    <s v="28-02-2026"/>
    <n v="10005"/>
    <s v="2108-02"/>
    <n v="0"/>
    <n v="3511"/>
    <s v="Centralización ventas febrero 2026  #37511 - iva débito fiscal"/>
    <n v="-3511"/>
    <s v="Pasivo"/>
    <n v="3511"/>
    <x v="68"/>
  </r>
  <r>
    <n v="2026"/>
    <n v="2"/>
    <s v="28-02-2026"/>
    <n v="10006"/>
    <s v="2108-02"/>
    <n v="0"/>
    <n v="21451"/>
    <s v="Centralización ventas febrero 2026  #37512 - iva débito fiscal"/>
    <n v="-21451"/>
    <s v="Pasivo"/>
    <n v="21451"/>
    <x v="68"/>
  </r>
  <r>
    <n v="2026"/>
    <n v="2"/>
    <s v="28-02-2026"/>
    <n v="10007"/>
    <s v="2108-02"/>
    <n v="0"/>
    <n v="7983"/>
    <s v="Centralización ventas febrero 2026  #37513 - iva débito fiscal"/>
    <n v="-7983"/>
    <s v="Pasivo"/>
    <n v="7983"/>
    <x v="68"/>
  </r>
  <r>
    <n v="2026"/>
    <n v="2"/>
    <s v="28-02-2026"/>
    <n v="10008"/>
    <s v="2108-02"/>
    <n v="0"/>
    <n v="6067"/>
    <s v="Centralización ventas febrero 2026  #37514 - iva débito fiscal"/>
    <n v="-6067"/>
    <s v="Pasivo"/>
    <n v="6067"/>
    <x v="68"/>
  </r>
  <r>
    <n v="2026"/>
    <n v="2"/>
    <s v="28-02-2026"/>
    <n v="10009"/>
    <s v="2108-02"/>
    <n v="0"/>
    <n v="20916"/>
    <s v="Centralización ventas febrero 2026  #37515 - iva débito fiscal"/>
    <n v="-20916"/>
    <s v="Pasivo"/>
    <n v="20916"/>
    <x v="68"/>
  </r>
  <r>
    <n v="2026"/>
    <n v="2"/>
    <s v="28-02-2026"/>
    <n v="10010"/>
    <s v="2108-02"/>
    <n v="0"/>
    <n v="7022"/>
    <s v="Centralización ventas febrero 2026  #37516 - iva débito fiscal"/>
    <n v="-7022"/>
    <s v="Pasivo"/>
    <n v="7022"/>
    <x v="68"/>
  </r>
  <r>
    <n v="2026"/>
    <n v="2"/>
    <s v="28-02-2026"/>
    <n v="10011"/>
    <s v="2108-02"/>
    <n v="0"/>
    <n v="24035"/>
    <s v="Centralización ventas febrero 2026  #37517 - iva débito fiscal"/>
    <n v="-24035"/>
    <s v="Pasivo"/>
    <n v="24035"/>
    <x v="68"/>
  </r>
  <r>
    <n v="2026"/>
    <n v="2"/>
    <s v="28-02-2026"/>
    <n v="10012"/>
    <s v="2108-02"/>
    <n v="0"/>
    <n v="13879"/>
    <s v="Centralización ventas febrero 2026  #37518 - iva débito fiscal"/>
    <n v="-13879"/>
    <s v="Pasivo"/>
    <n v="13879"/>
    <x v="68"/>
  </r>
  <r>
    <n v="2026"/>
    <n v="2"/>
    <s v="28-02-2026"/>
    <n v="10013"/>
    <s v="2108-02"/>
    <n v="0"/>
    <n v="18877"/>
    <s v="Centralización ventas febrero 2026  #37519 - iva débito fiscal"/>
    <n v="-18877"/>
    <s v="Pasivo"/>
    <n v="18877"/>
    <x v="68"/>
  </r>
  <r>
    <n v="2026"/>
    <n v="2"/>
    <s v="28-02-2026"/>
    <n v="10014"/>
    <s v="2108-02"/>
    <n v="0"/>
    <n v="3830"/>
    <s v="Centralización ventas febrero 2026  #37520 - iva débito fiscal"/>
    <n v="-3830"/>
    <s v="Pasivo"/>
    <n v="3830"/>
    <x v="68"/>
  </r>
  <r>
    <n v="2026"/>
    <n v="2"/>
    <s v="28-02-2026"/>
    <n v="10015"/>
    <s v="2108-02"/>
    <n v="0"/>
    <n v="4790"/>
    <s v="Centralización ventas febrero 2026  #37521 - iva débito fiscal"/>
    <n v="-4790"/>
    <s v="Pasivo"/>
    <n v="4790"/>
    <x v="68"/>
  </r>
  <r>
    <n v="2026"/>
    <n v="2"/>
    <s v="28-02-2026"/>
    <n v="10016"/>
    <s v="2108-02"/>
    <n v="0"/>
    <n v="6387"/>
    <s v="Centralización ventas febrero 2026  #37522 - iva débito fiscal"/>
    <n v="-6387"/>
    <s v="Pasivo"/>
    <n v="6387"/>
    <x v="68"/>
  </r>
  <r>
    <n v="2026"/>
    <n v="2"/>
    <s v="28-02-2026"/>
    <n v="10017"/>
    <s v="2108-02"/>
    <n v="0"/>
    <n v="9580"/>
    <s v="Centralización ventas febrero 2026  #37523 - iva débito fiscal"/>
    <n v="-9580"/>
    <s v="Pasivo"/>
    <n v="9580"/>
    <x v="68"/>
  </r>
  <r>
    <n v="2026"/>
    <n v="2"/>
    <s v="28-02-2026"/>
    <n v="10018"/>
    <s v="2108-02"/>
    <n v="0"/>
    <n v="11173"/>
    <s v="Centralización ventas febrero 2026  #37524 - iva débito fiscal"/>
    <n v="-11173"/>
    <s v="Pasivo"/>
    <n v="11173"/>
    <x v="68"/>
  </r>
  <r>
    <n v="2026"/>
    <n v="2"/>
    <s v="28-02-2026"/>
    <n v="10019"/>
    <s v="2108-02"/>
    <n v="0"/>
    <n v="20820"/>
    <s v="Centralización ventas febrero 2026  #37525 - iva débito fiscal"/>
    <n v="-20820"/>
    <s v="Pasivo"/>
    <n v="20820"/>
    <x v="68"/>
  </r>
  <r>
    <n v="2026"/>
    <n v="2"/>
    <s v="28-02-2026"/>
    <n v="10020"/>
    <s v="2108-02"/>
    <n v="0"/>
    <n v="6387"/>
    <s v="Centralización ventas febrero 2026  #37526 - iva débito fiscal"/>
    <n v="-6387"/>
    <s v="Pasivo"/>
    <n v="6387"/>
    <x v="68"/>
  </r>
  <r>
    <n v="2026"/>
    <n v="2"/>
    <s v="28-02-2026"/>
    <n v="10021"/>
    <s v="2108-02"/>
    <n v="0"/>
    <n v="4788"/>
    <s v="Centralización ventas febrero 2026  #37527 - iva débito fiscal"/>
    <n v="-4788"/>
    <s v="Pasivo"/>
    <n v="4788"/>
    <x v="68"/>
  </r>
  <r>
    <n v="2026"/>
    <n v="2"/>
    <s v="28-02-2026"/>
    <n v="10022"/>
    <s v="2108-02"/>
    <n v="0"/>
    <n v="3511"/>
    <s v="Centralización ventas febrero 2026  #37528 - iva débito fiscal"/>
    <n v="-3511"/>
    <s v="Pasivo"/>
    <n v="3511"/>
    <x v="68"/>
  </r>
  <r>
    <n v="2026"/>
    <n v="2"/>
    <s v="28-02-2026"/>
    <n v="10023"/>
    <s v="2108-02"/>
    <n v="0"/>
    <n v="4788"/>
    <s v="Centralización ventas febrero 2026  #37529 - iva débito fiscal"/>
    <n v="-4788"/>
    <s v="Pasivo"/>
    <n v="4788"/>
    <x v="68"/>
  </r>
  <r>
    <n v="2026"/>
    <n v="2"/>
    <s v="28-02-2026"/>
    <n v="10024"/>
    <s v="2108-02"/>
    <n v="0"/>
    <n v="4790"/>
    <s v="Centralización ventas febrero 2026  #37530 - iva débito fiscal"/>
    <n v="-4790"/>
    <s v="Pasivo"/>
    <n v="4790"/>
    <x v="68"/>
  </r>
  <r>
    <n v="2026"/>
    <n v="2"/>
    <s v="28-02-2026"/>
    <n v="10025"/>
    <s v="2108-02"/>
    <n v="0"/>
    <n v="4790"/>
    <s v="Centralización ventas febrero 2026  #37532 - iva débito fiscal"/>
    <n v="-4790"/>
    <s v="Pasivo"/>
    <n v="4790"/>
    <x v="68"/>
  </r>
  <r>
    <n v="2026"/>
    <n v="2"/>
    <s v="28-02-2026"/>
    <n v="10026"/>
    <s v="2108-02"/>
    <n v="0"/>
    <n v="14370"/>
    <s v="Centralización ventas febrero 2026  #37533 - iva débito fiscal"/>
    <n v="-14370"/>
    <s v="Pasivo"/>
    <n v="14370"/>
    <x v="68"/>
  </r>
  <r>
    <n v="2026"/>
    <n v="2"/>
    <s v="28-02-2026"/>
    <n v="10027"/>
    <s v="2108-02"/>
    <n v="0"/>
    <n v="4790"/>
    <s v="Centralización ventas febrero 2026  #37534 - iva débito fiscal"/>
    <n v="-4790"/>
    <s v="Pasivo"/>
    <n v="4790"/>
    <x v="68"/>
  </r>
  <r>
    <n v="2026"/>
    <n v="2"/>
    <s v="28-02-2026"/>
    <n v="10028"/>
    <s v="2108-02"/>
    <n v="0"/>
    <n v="9578"/>
    <s v="Centralización ventas febrero 2026  #37535 - iva débito fiscal"/>
    <n v="-9578"/>
    <s v="Pasivo"/>
    <n v="9578"/>
    <x v="68"/>
  </r>
  <r>
    <n v="2026"/>
    <n v="2"/>
    <s v="28-02-2026"/>
    <n v="10029"/>
    <s v="2108-02"/>
    <n v="0"/>
    <n v="9578"/>
    <s v="Centralización ventas febrero 2026  #37536 - iva débito fiscal"/>
    <n v="-9578"/>
    <s v="Pasivo"/>
    <n v="9578"/>
    <x v="68"/>
  </r>
  <r>
    <n v="2026"/>
    <n v="2"/>
    <s v="28-02-2026"/>
    <n v="10030"/>
    <s v="2108-02"/>
    <n v="0"/>
    <n v="9577"/>
    <s v="Centralización ventas febrero 2026  #37537 - iva débito fiscal"/>
    <n v="-9577"/>
    <s v="Pasivo"/>
    <n v="9577"/>
    <x v="68"/>
  </r>
  <r>
    <n v="2026"/>
    <n v="2"/>
    <s v="28-02-2026"/>
    <n v="10031"/>
    <s v="2108-02"/>
    <n v="0"/>
    <n v="7022"/>
    <s v="Centralización ventas febrero 2026  #37538 - iva débito fiscal"/>
    <n v="-7022"/>
    <s v="Pasivo"/>
    <n v="7022"/>
    <x v="68"/>
  </r>
  <r>
    <n v="2026"/>
    <n v="2"/>
    <s v="28-02-2026"/>
    <n v="10032"/>
    <s v="2108-02"/>
    <n v="0"/>
    <n v="5427"/>
    <s v="Centralización ventas febrero 2026  #37539 - iva débito fiscal"/>
    <n v="-5427"/>
    <s v="Pasivo"/>
    <n v="5427"/>
    <x v="68"/>
  </r>
  <r>
    <n v="2026"/>
    <n v="2"/>
    <s v="28-02-2026"/>
    <n v="10033"/>
    <s v="2108-02"/>
    <n v="0"/>
    <n v="12773"/>
    <s v="Centralización ventas febrero 2026  #37540 - iva débito fiscal"/>
    <n v="-12773"/>
    <s v="Pasivo"/>
    <n v="12773"/>
    <x v="68"/>
  </r>
  <r>
    <n v="2026"/>
    <n v="2"/>
    <s v="28-02-2026"/>
    <n v="10034"/>
    <s v="2108-02"/>
    <n v="0"/>
    <n v="6387"/>
    <s v="Centralización ventas febrero 2026  #37541 - iva débito fiscal"/>
    <n v="-6387"/>
    <s v="Pasivo"/>
    <n v="6387"/>
    <x v="68"/>
  </r>
  <r>
    <n v="2026"/>
    <n v="2"/>
    <s v="28-02-2026"/>
    <n v="10035"/>
    <s v="2108-02"/>
    <n v="0"/>
    <n v="20356"/>
    <s v="Centralización ventas febrero 2026  #37542 - iva débito fiscal"/>
    <n v="-20356"/>
    <s v="Pasivo"/>
    <n v="20356"/>
    <x v="68"/>
  </r>
  <r>
    <n v="2026"/>
    <n v="2"/>
    <s v="28-02-2026"/>
    <n v="10036"/>
    <s v="2108-02"/>
    <n v="0"/>
    <n v="4790"/>
    <s v="Centralización ventas febrero 2026  #37543 - iva débito fiscal"/>
    <n v="-4790"/>
    <s v="Pasivo"/>
    <n v="4790"/>
    <x v="68"/>
  </r>
  <r>
    <n v="2026"/>
    <n v="2"/>
    <s v="28-02-2026"/>
    <n v="10037"/>
    <s v="2108-02"/>
    <n v="0"/>
    <n v="9257"/>
    <s v="Centralización ventas febrero 2026  #37544 - iva débito fiscal"/>
    <n v="-9257"/>
    <s v="Pasivo"/>
    <n v="9257"/>
    <x v="68"/>
  </r>
  <r>
    <n v="2026"/>
    <n v="2"/>
    <s v="28-02-2026"/>
    <n v="10038"/>
    <s v="2108-02"/>
    <n v="0"/>
    <n v="4214"/>
    <s v="Centralización ventas febrero 2026  #37545 - iva débito fiscal"/>
    <n v="-4214"/>
    <s v="Pasivo"/>
    <n v="4214"/>
    <x v="68"/>
  </r>
  <r>
    <n v="2026"/>
    <n v="2"/>
    <s v="28-02-2026"/>
    <n v="10039"/>
    <s v="2108-02"/>
    <n v="0"/>
    <n v="6385"/>
    <s v="Centralización ventas febrero 2026  #37546 - iva débito fiscal"/>
    <n v="-6385"/>
    <s v="Pasivo"/>
    <n v="6385"/>
    <x v="68"/>
  </r>
  <r>
    <n v="2026"/>
    <n v="2"/>
    <s v="28-02-2026"/>
    <n v="10040"/>
    <s v="2108-02"/>
    <n v="0"/>
    <n v="11863"/>
    <s v="Centralización ventas febrero 2026  #37547 - iva débito fiscal"/>
    <n v="-11863"/>
    <s v="Pasivo"/>
    <n v="11863"/>
    <x v="68"/>
  </r>
  <r>
    <n v="2026"/>
    <n v="2"/>
    <s v="28-02-2026"/>
    <n v="10041"/>
    <s v="2108-02"/>
    <n v="0"/>
    <n v="4790"/>
    <s v="Centralización ventas febrero 2026  #37548 - iva débito fiscal"/>
    <n v="-4790"/>
    <s v="Pasivo"/>
    <n v="4790"/>
    <x v="68"/>
  </r>
  <r>
    <n v="2026"/>
    <n v="2"/>
    <s v="28-02-2026"/>
    <n v="10042"/>
    <s v="2108-02"/>
    <n v="0"/>
    <n v="7983"/>
    <s v="Centralización ventas febrero 2026  #37549 - iva débito fiscal"/>
    <n v="-7983"/>
    <s v="Pasivo"/>
    <n v="7983"/>
    <x v="68"/>
  </r>
  <r>
    <n v="2026"/>
    <n v="2"/>
    <s v="28-02-2026"/>
    <n v="10043"/>
    <s v="2108-02"/>
    <n v="0"/>
    <n v="4790"/>
    <s v="Centralización ventas febrero 2026  #37550 - iva débito fiscal"/>
    <n v="-4790"/>
    <s v="Pasivo"/>
    <n v="4790"/>
    <x v="68"/>
  </r>
  <r>
    <n v="2026"/>
    <n v="2"/>
    <s v="28-02-2026"/>
    <n v="10044"/>
    <s v="2108-02"/>
    <n v="0"/>
    <n v="3511"/>
    <s v="Centralización ventas febrero 2026  #37551 - iva débito fiscal"/>
    <n v="-3511"/>
    <s v="Pasivo"/>
    <n v="3511"/>
    <x v="68"/>
  </r>
  <r>
    <n v="2026"/>
    <n v="2"/>
    <s v="28-02-2026"/>
    <n v="10045"/>
    <s v="2108-02"/>
    <n v="0"/>
    <n v="10854"/>
    <s v="Centralización ventas febrero 2026  #37552 - iva débito fiscal"/>
    <n v="-10854"/>
    <s v="Pasivo"/>
    <n v="10854"/>
    <x v="68"/>
  </r>
  <r>
    <n v="2026"/>
    <n v="2"/>
    <s v="28-02-2026"/>
    <n v="10046"/>
    <s v="2108-02"/>
    <n v="0"/>
    <n v="7024"/>
    <s v="Centralización ventas febrero 2026  #37553 - iva débito fiscal"/>
    <n v="-7024"/>
    <s v="Pasivo"/>
    <n v="7024"/>
    <x v="68"/>
  </r>
  <r>
    <n v="2026"/>
    <n v="2"/>
    <s v="28-02-2026"/>
    <n v="10047"/>
    <s v="2108-02"/>
    <n v="0"/>
    <n v="7983"/>
    <s v="Centralización ventas febrero 2026  #37554 - iva débito fiscal"/>
    <n v="-7983"/>
    <s v="Pasivo"/>
    <n v="7983"/>
    <x v="68"/>
  </r>
  <r>
    <n v="2026"/>
    <n v="2"/>
    <s v="28-02-2026"/>
    <n v="10048"/>
    <s v="2108-02"/>
    <n v="0"/>
    <n v="19985"/>
    <s v="Centralización ventas febrero 2026  #37556 - iva débito fiscal"/>
    <n v="-19985"/>
    <s v="Pasivo"/>
    <n v="19985"/>
    <x v="68"/>
  </r>
  <r>
    <n v="2026"/>
    <n v="2"/>
    <s v="28-02-2026"/>
    <n v="10049"/>
    <s v="2108-02"/>
    <n v="0"/>
    <n v="20009"/>
    <s v="Centralización ventas febrero 2026  #37557 - iva débito fiscal"/>
    <n v="-20009"/>
    <s v="Pasivo"/>
    <n v="20009"/>
    <x v="68"/>
  </r>
  <r>
    <n v="2026"/>
    <n v="2"/>
    <s v="28-02-2026"/>
    <n v="10050"/>
    <s v="2108-02"/>
    <n v="0"/>
    <n v="7658"/>
    <s v="Centralización ventas febrero 2026  #37558 - iva débito fiscal"/>
    <n v="-7658"/>
    <s v="Pasivo"/>
    <n v="7658"/>
    <x v="68"/>
  </r>
  <r>
    <n v="2026"/>
    <n v="2"/>
    <s v="28-02-2026"/>
    <n v="10051"/>
    <s v="2108-02"/>
    <n v="0"/>
    <n v="4629"/>
    <s v="Centralización ventas febrero 2026  #37560 - iva débito fiscal"/>
    <n v="-4629"/>
    <s v="Pasivo"/>
    <n v="4629"/>
    <x v="68"/>
  </r>
  <r>
    <n v="2026"/>
    <n v="2"/>
    <s v="28-02-2026"/>
    <n v="10052"/>
    <s v="2108-02"/>
    <n v="0"/>
    <n v="12773"/>
    <s v="Centralización ventas febrero 2026  #37561 - iva débito fiscal"/>
    <n v="-12773"/>
    <s v="Pasivo"/>
    <n v="12773"/>
    <x v="68"/>
  </r>
  <r>
    <n v="2026"/>
    <n v="2"/>
    <s v="28-02-2026"/>
    <n v="10053"/>
    <s v="2108-02"/>
    <n v="0"/>
    <n v="2553"/>
    <s v="Centralización ventas febrero 2026  #37562 - iva débito fiscal"/>
    <n v="-2553"/>
    <s v="Pasivo"/>
    <n v="2553"/>
    <x v="68"/>
  </r>
  <r>
    <n v="2026"/>
    <n v="2"/>
    <s v="28-02-2026"/>
    <n v="10054"/>
    <s v="2108-02"/>
    <n v="0"/>
    <n v="4790"/>
    <s v="Centralización ventas febrero 2026  #37563 - iva débito fiscal"/>
    <n v="-4790"/>
    <s v="Pasivo"/>
    <n v="4790"/>
    <x v="68"/>
  </r>
  <r>
    <n v="2026"/>
    <n v="2"/>
    <s v="28-02-2026"/>
    <n v="10055"/>
    <s v="2108-02"/>
    <n v="0"/>
    <n v="6387"/>
    <s v="Centralización ventas febrero 2026  #37564 - iva débito fiscal"/>
    <n v="-6387"/>
    <s v="Pasivo"/>
    <n v="6387"/>
    <x v="68"/>
  </r>
  <r>
    <n v="2026"/>
    <n v="2"/>
    <s v="28-02-2026"/>
    <n v="10056"/>
    <s v="2108-02"/>
    <n v="0"/>
    <n v="22010"/>
    <s v="Centralización ventas febrero 2026  #37566 - iva débito fiscal"/>
    <n v="-22010"/>
    <s v="Pasivo"/>
    <n v="22010"/>
    <x v="68"/>
  </r>
  <r>
    <n v="2026"/>
    <n v="2"/>
    <s v="28-02-2026"/>
    <n v="10057"/>
    <s v="2108-02"/>
    <n v="0"/>
    <n v="798"/>
    <s v="Centralización ventas febrero 2026  #37567 - iva débito fiscal"/>
    <n v="-798"/>
    <s v="Pasivo"/>
    <n v="798"/>
    <x v="68"/>
  </r>
  <r>
    <n v="2026"/>
    <n v="2"/>
    <s v="28-02-2026"/>
    <n v="10058"/>
    <s v="2108-02"/>
    <n v="0"/>
    <n v="43323"/>
    <s v="Centralización ventas febrero 2026  #37568 - iva débito fiscal"/>
    <n v="-43323"/>
    <s v="Pasivo"/>
    <n v="43323"/>
    <x v="68"/>
  </r>
  <r>
    <n v="2026"/>
    <n v="2"/>
    <s v="28-02-2026"/>
    <n v="10059"/>
    <s v="2108-02"/>
    <n v="0"/>
    <n v="7978"/>
    <s v="Centralización ventas febrero 2026  #37569 - iva débito fiscal"/>
    <n v="-7978"/>
    <s v="Pasivo"/>
    <n v="7978"/>
    <x v="68"/>
  </r>
  <r>
    <n v="2026"/>
    <n v="2"/>
    <s v="28-02-2026"/>
    <n v="10060"/>
    <s v="2108-02"/>
    <n v="0"/>
    <n v="23329"/>
    <s v="Centralización ventas febrero 2026  #37570 - iva débito fiscal"/>
    <n v="-23329"/>
    <s v="Pasivo"/>
    <n v="23329"/>
    <x v="68"/>
  </r>
  <r>
    <n v="2026"/>
    <n v="2"/>
    <s v="28-02-2026"/>
    <n v="10061"/>
    <s v="2108-02"/>
    <n v="0"/>
    <n v="6067"/>
    <s v="Centralización ventas febrero 2026  #37571 - iva débito fiscal"/>
    <n v="-6067"/>
    <s v="Pasivo"/>
    <n v="6067"/>
    <x v="68"/>
  </r>
  <r>
    <n v="2026"/>
    <n v="2"/>
    <s v="28-02-2026"/>
    <n v="10062"/>
    <s v="2108-02"/>
    <n v="0"/>
    <n v="10218"/>
    <s v="Centralización ventas febrero 2026  #37572 - iva débito fiscal"/>
    <n v="-10218"/>
    <s v="Pasivo"/>
    <n v="10218"/>
    <x v="68"/>
  </r>
  <r>
    <n v="2026"/>
    <n v="2"/>
    <s v="28-02-2026"/>
    <n v="10063"/>
    <s v="2108-02"/>
    <n v="0"/>
    <n v="4790"/>
    <s v="Centralización ventas febrero 2026  #37573 - iva débito fiscal"/>
    <n v="-4790"/>
    <s v="Pasivo"/>
    <n v="4790"/>
    <x v="68"/>
  </r>
  <r>
    <n v="2026"/>
    <n v="2"/>
    <s v="28-02-2026"/>
    <n v="10064"/>
    <s v="2108-02"/>
    <n v="0"/>
    <n v="22832"/>
    <s v="Centralización ventas febrero 2026  #37574 - iva débito fiscal"/>
    <n v="-22832"/>
    <s v="Pasivo"/>
    <n v="22832"/>
    <x v="68"/>
  </r>
  <r>
    <n v="2026"/>
    <n v="2"/>
    <s v="28-02-2026"/>
    <n v="10065"/>
    <s v="2108-02"/>
    <n v="0"/>
    <n v="2393"/>
    <s v="Centralización ventas febrero 2026  #37575 - iva débito fiscal"/>
    <n v="-2393"/>
    <s v="Pasivo"/>
    <n v="2393"/>
    <x v="68"/>
  </r>
  <r>
    <n v="2026"/>
    <n v="2"/>
    <s v="28-02-2026"/>
    <n v="10066"/>
    <s v="2108-02"/>
    <n v="0"/>
    <n v="7983"/>
    <s v="Centralización ventas febrero 2026  #37576 - iva débito fiscal"/>
    <n v="-7983"/>
    <s v="Pasivo"/>
    <n v="7983"/>
    <x v="68"/>
  </r>
  <r>
    <n v="2026"/>
    <n v="2"/>
    <s v="28-02-2026"/>
    <n v="10067"/>
    <s v="2108-02"/>
    <n v="0"/>
    <n v="5427"/>
    <s v="Centralización ventas febrero 2026  #37577 - iva débito fiscal"/>
    <n v="-5427"/>
    <s v="Pasivo"/>
    <n v="5427"/>
    <x v="68"/>
  </r>
  <r>
    <n v="2026"/>
    <n v="2"/>
    <s v="28-02-2026"/>
    <n v="10068"/>
    <s v="2108-02"/>
    <n v="0"/>
    <n v="7983"/>
    <s v="Centralización ventas febrero 2026  #37578 - iva débito fiscal"/>
    <n v="-7983"/>
    <s v="Pasivo"/>
    <n v="7983"/>
    <x v="68"/>
  </r>
  <r>
    <n v="2026"/>
    <n v="2"/>
    <s v="28-02-2026"/>
    <n v="10069"/>
    <s v="2108-02"/>
    <n v="0"/>
    <n v="4788"/>
    <s v="Centralización ventas febrero 2026  #37579 - iva débito fiscal"/>
    <n v="-4788"/>
    <s v="Pasivo"/>
    <n v="4788"/>
    <x v="68"/>
  </r>
  <r>
    <n v="2026"/>
    <n v="2"/>
    <s v="28-02-2026"/>
    <n v="10070"/>
    <s v="2108-02"/>
    <n v="0"/>
    <n v="4790"/>
    <s v="Centralización ventas febrero 2026  #37580 - iva débito fiscal"/>
    <n v="-4790"/>
    <s v="Pasivo"/>
    <n v="4790"/>
    <x v="68"/>
  </r>
  <r>
    <n v="2026"/>
    <n v="2"/>
    <s v="28-02-2026"/>
    <n v="10071"/>
    <s v="2108-02"/>
    <n v="0"/>
    <n v="67959"/>
    <s v="Centralización ventas febrero 2026  #37582 - iva débito fiscal"/>
    <n v="-67959"/>
    <s v="Pasivo"/>
    <n v="67959"/>
    <x v="68"/>
  </r>
  <r>
    <n v="2026"/>
    <n v="2"/>
    <s v="28-02-2026"/>
    <n v="10072"/>
    <s v="2108-02"/>
    <n v="0"/>
    <n v="20437"/>
    <s v="Centralización ventas febrero 2026  #37583 - iva débito fiscal"/>
    <n v="-20437"/>
    <s v="Pasivo"/>
    <n v="20437"/>
    <x v="68"/>
  </r>
  <r>
    <n v="2026"/>
    <n v="2"/>
    <s v="28-02-2026"/>
    <n v="10073"/>
    <s v="2108-02"/>
    <n v="0"/>
    <n v="4790"/>
    <s v="Centralización ventas febrero 2026  #37585 - iva débito fiscal"/>
    <n v="-4790"/>
    <s v="Pasivo"/>
    <n v="4790"/>
    <x v="68"/>
  </r>
  <r>
    <n v="2026"/>
    <n v="2"/>
    <s v="28-02-2026"/>
    <n v="10074"/>
    <s v="2108-02"/>
    <n v="0"/>
    <n v="4790"/>
    <s v="Centralización ventas febrero 2026  #37586 - iva débito fiscal"/>
    <n v="-4790"/>
    <s v="Pasivo"/>
    <n v="4790"/>
    <x v="68"/>
  </r>
  <r>
    <n v="2026"/>
    <n v="2"/>
    <s v="28-02-2026"/>
    <n v="10075"/>
    <s v="2108-02"/>
    <n v="0"/>
    <n v="17560"/>
    <s v="Centralización ventas febrero 2026  #37587 - iva débito fiscal"/>
    <n v="-17560"/>
    <s v="Pasivo"/>
    <n v="17560"/>
    <x v="68"/>
  </r>
  <r>
    <n v="2026"/>
    <n v="2"/>
    <s v="28-02-2026"/>
    <n v="10076"/>
    <s v="2108-02"/>
    <n v="0"/>
    <n v="15102"/>
    <s v="Centralización ventas febrero 2026  #37739 - iva débito fiscal"/>
    <n v="-15102"/>
    <s v="Pasivo"/>
    <n v="15102"/>
    <x v="68"/>
  </r>
  <r>
    <n v="2026"/>
    <n v="2"/>
    <s v="28-02-2026"/>
    <n v="10077"/>
    <s v="2108-02"/>
    <n v="0"/>
    <n v="6078"/>
    <s v="Centralización ventas febrero 2026  #37867 - iva débito fiscal"/>
    <n v="-6078"/>
    <s v="Pasivo"/>
    <n v="6078"/>
    <x v="68"/>
  </r>
  <r>
    <n v="2026"/>
    <n v="2"/>
    <s v="28-02-2026"/>
    <n v="10078"/>
    <s v="2108-02"/>
    <n v="0"/>
    <n v="26061"/>
    <s v="Centralización ventas febrero 2026  #37909 - iva débito fiscal"/>
    <n v="-26061"/>
    <s v="Pasivo"/>
    <n v="26061"/>
    <x v="68"/>
  </r>
  <r>
    <n v="2026"/>
    <n v="2"/>
    <s v="28-02-2026"/>
    <n v="10079"/>
    <s v="2108-02"/>
    <n v="0"/>
    <n v="15163"/>
    <s v="Centralización ventas febrero 2026  #37940 - iva débito fiscal"/>
    <n v="-15163"/>
    <s v="Pasivo"/>
    <n v="15163"/>
    <x v="68"/>
  </r>
  <r>
    <n v="2026"/>
    <n v="2"/>
    <s v="28-02-2026"/>
    <n v="10080"/>
    <s v="2108-02"/>
    <n v="0"/>
    <n v="334544"/>
    <s v="Centralización ventas febrero 2026  #37946 - iva débito fiscal"/>
    <n v="-334544"/>
    <s v="Pasivo"/>
    <n v="334544"/>
    <x v="68"/>
  </r>
  <r>
    <n v="2026"/>
    <n v="2"/>
    <s v="28-02-2026"/>
    <n v="10081"/>
    <s v="2108-02"/>
    <n v="0"/>
    <n v="7983"/>
    <s v="Centralización ventas febrero 2026  #37952 - iva débito fiscal"/>
    <n v="-7983"/>
    <s v="Pasivo"/>
    <n v="7983"/>
    <x v="68"/>
  </r>
  <r>
    <n v="2026"/>
    <n v="2"/>
    <s v="28-02-2026"/>
    <n v="10082"/>
    <s v="2108-02"/>
    <n v="0"/>
    <n v="4790"/>
    <s v="Centralización ventas febrero 2026  #37588 - iva débito fiscal"/>
    <n v="-4790"/>
    <s v="Pasivo"/>
    <n v="4790"/>
    <x v="68"/>
  </r>
  <r>
    <n v="2026"/>
    <n v="2"/>
    <s v="28-02-2026"/>
    <n v="10083"/>
    <s v="2108-02"/>
    <n v="0"/>
    <n v="15966"/>
    <s v="Centralización ventas febrero 2026  #37589 - iva débito fiscal"/>
    <n v="-15966"/>
    <s v="Pasivo"/>
    <n v="15966"/>
    <x v="68"/>
  </r>
  <r>
    <n v="2026"/>
    <n v="2"/>
    <s v="28-02-2026"/>
    <n v="10084"/>
    <s v="2108-02"/>
    <n v="0"/>
    <n v="45306"/>
    <s v="Centralización ventas febrero 2026  #37591 - iva débito fiscal"/>
    <n v="-45306"/>
    <s v="Pasivo"/>
    <n v="45306"/>
    <x v="68"/>
  </r>
  <r>
    <n v="2026"/>
    <n v="2"/>
    <s v="28-02-2026"/>
    <n v="10085"/>
    <s v="2108-02"/>
    <n v="0"/>
    <n v="5906"/>
    <s v="Centralización ventas febrero 2026  #37592 - iva débito fiscal"/>
    <n v="-5906"/>
    <s v="Pasivo"/>
    <n v="5906"/>
    <x v="68"/>
  </r>
  <r>
    <n v="2026"/>
    <n v="2"/>
    <s v="28-02-2026"/>
    <n v="10086"/>
    <s v="2108-02"/>
    <n v="0"/>
    <n v="5906"/>
    <s v="Centralización ventas febrero 2026  #37593 - iva débito fiscal"/>
    <n v="-5906"/>
    <s v="Pasivo"/>
    <n v="5906"/>
    <x v="68"/>
  </r>
  <r>
    <n v="2026"/>
    <n v="2"/>
    <s v="28-02-2026"/>
    <n v="10087"/>
    <s v="2108-02"/>
    <n v="0"/>
    <n v="3511"/>
    <s v="Centralización ventas febrero 2026  #37594 - iva débito fiscal"/>
    <n v="-3511"/>
    <s v="Pasivo"/>
    <n v="3511"/>
    <x v="68"/>
  </r>
  <r>
    <n v="2026"/>
    <n v="2"/>
    <s v="28-02-2026"/>
    <n v="10088"/>
    <s v="2108-02"/>
    <n v="0"/>
    <n v="222248"/>
    <s v="Centralización ventas febrero 2026  #37596 - iva débito fiscal"/>
    <n v="-222248"/>
    <s v="Pasivo"/>
    <n v="222248"/>
    <x v="68"/>
  </r>
  <r>
    <n v="2026"/>
    <n v="2"/>
    <s v="28-02-2026"/>
    <n v="10089"/>
    <s v="2108-02"/>
    <n v="0"/>
    <n v="11175"/>
    <s v="Centralización ventas febrero 2026  #37597 - iva débito fiscal"/>
    <n v="-11175"/>
    <s v="Pasivo"/>
    <n v="11175"/>
    <x v="68"/>
  </r>
  <r>
    <n v="2026"/>
    <n v="2"/>
    <s v="28-02-2026"/>
    <n v="10090"/>
    <s v="2108-02"/>
    <n v="0"/>
    <n v="6387"/>
    <s v="Centralización ventas febrero 2026  #37599 - iva débito fiscal"/>
    <n v="-6387"/>
    <s v="Pasivo"/>
    <n v="6387"/>
    <x v="68"/>
  </r>
  <r>
    <n v="2026"/>
    <n v="2"/>
    <s v="28-02-2026"/>
    <n v="10091"/>
    <s v="2108-02"/>
    <n v="0"/>
    <n v="9580"/>
    <s v="Centralización ventas febrero 2026  #37600 - iva débito fiscal"/>
    <n v="-9580"/>
    <s v="Pasivo"/>
    <n v="9580"/>
    <x v="68"/>
  </r>
  <r>
    <n v="2026"/>
    <n v="2"/>
    <s v="28-02-2026"/>
    <n v="10092"/>
    <s v="2108-02"/>
    <n v="0"/>
    <n v="6385"/>
    <s v="Centralización ventas febrero 2026  #37601 - iva débito fiscal"/>
    <n v="-6385"/>
    <s v="Pasivo"/>
    <n v="6385"/>
    <x v="68"/>
  </r>
  <r>
    <n v="2026"/>
    <n v="2"/>
    <s v="28-02-2026"/>
    <n v="10093"/>
    <s v="2108-02"/>
    <n v="0"/>
    <n v="3511"/>
    <s v="Centralización ventas febrero 2026  #37602 - iva débito fiscal"/>
    <n v="-3511"/>
    <s v="Pasivo"/>
    <n v="3511"/>
    <x v="68"/>
  </r>
  <r>
    <n v="2026"/>
    <n v="2"/>
    <s v="28-02-2026"/>
    <n v="10094"/>
    <s v="2108-02"/>
    <n v="0"/>
    <n v="23624"/>
    <s v="Centralización ventas febrero 2026  #37603 - iva débito fiscal"/>
    <n v="-23624"/>
    <s v="Pasivo"/>
    <n v="23624"/>
    <x v="68"/>
  </r>
  <r>
    <n v="2026"/>
    <n v="2"/>
    <s v="28-02-2026"/>
    <n v="10095"/>
    <s v="2108-02"/>
    <n v="0"/>
    <n v="2393"/>
    <s v="Centralización ventas febrero 2026  #37604 - iva débito fiscal"/>
    <n v="-2393"/>
    <s v="Pasivo"/>
    <n v="2393"/>
    <x v="68"/>
  </r>
  <r>
    <n v="2026"/>
    <n v="2"/>
    <s v="28-02-2026"/>
    <n v="10096"/>
    <s v="2108-02"/>
    <n v="0"/>
    <n v="9896"/>
    <s v="Centralización ventas febrero 2026  #37605 - iva débito fiscal"/>
    <n v="-9896"/>
    <s v="Pasivo"/>
    <n v="9896"/>
    <x v="68"/>
  </r>
  <r>
    <n v="2026"/>
    <n v="2"/>
    <s v="28-02-2026"/>
    <n v="10097"/>
    <s v="2108-02"/>
    <n v="0"/>
    <n v="4629"/>
    <s v="Centralización ventas febrero 2026  #37606 - iva débito fiscal"/>
    <n v="-4629"/>
    <s v="Pasivo"/>
    <n v="4629"/>
    <x v="68"/>
  </r>
  <r>
    <n v="2026"/>
    <n v="2"/>
    <s v="28-02-2026"/>
    <n v="10098"/>
    <s v="2108-02"/>
    <n v="0"/>
    <n v="5587"/>
    <s v="Centralización ventas febrero 2026  #37608 - iva débito fiscal"/>
    <n v="-5587"/>
    <s v="Pasivo"/>
    <n v="5587"/>
    <x v="68"/>
  </r>
  <r>
    <n v="2026"/>
    <n v="2"/>
    <s v="28-02-2026"/>
    <n v="10099"/>
    <s v="2108-02"/>
    <n v="0"/>
    <n v="4948"/>
    <s v="Centralización ventas febrero 2026  #37609 - iva débito fiscal"/>
    <n v="-4948"/>
    <s v="Pasivo"/>
    <n v="4948"/>
    <x v="68"/>
  </r>
  <r>
    <n v="2026"/>
    <n v="2"/>
    <s v="28-02-2026"/>
    <n v="10100"/>
    <s v="2108-02"/>
    <n v="0"/>
    <n v="5743"/>
    <s v="Centralización ventas febrero 2026  #37610 - iva débito fiscal"/>
    <n v="-5743"/>
    <s v="Pasivo"/>
    <n v="5743"/>
    <x v="68"/>
  </r>
  <r>
    <n v="2026"/>
    <n v="2"/>
    <s v="28-02-2026"/>
    <n v="10101"/>
    <s v="2108-02"/>
    <n v="0"/>
    <n v="5347"/>
    <s v="Centralización ventas febrero 2026  #37611 - iva débito fiscal"/>
    <n v="-5347"/>
    <s v="Pasivo"/>
    <n v="5347"/>
    <x v="68"/>
  </r>
  <r>
    <n v="2026"/>
    <n v="2"/>
    <s v="28-02-2026"/>
    <n v="10102"/>
    <s v="2108-02"/>
    <n v="0"/>
    <n v="9098"/>
    <s v="Centralización ventas febrero 2026  #37612 - iva débito fiscal"/>
    <n v="-9098"/>
    <s v="Pasivo"/>
    <n v="9098"/>
    <x v="68"/>
  </r>
  <r>
    <n v="2026"/>
    <n v="2"/>
    <s v="28-02-2026"/>
    <n v="10103"/>
    <s v="2108-02"/>
    <n v="0"/>
    <n v="5906"/>
    <s v="Centralización ventas febrero 2026  #37614 - iva débito fiscal"/>
    <n v="-5906"/>
    <s v="Pasivo"/>
    <n v="5906"/>
    <x v="68"/>
  </r>
  <r>
    <n v="2026"/>
    <n v="2"/>
    <s v="28-02-2026"/>
    <n v="10104"/>
    <s v="2108-02"/>
    <n v="0"/>
    <n v="4629"/>
    <s v="Centralización ventas febrero 2026  #37615 - iva débito fiscal"/>
    <n v="-4629"/>
    <s v="Pasivo"/>
    <n v="4629"/>
    <x v="68"/>
  </r>
  <r>
    <n v="2026"/>
    <n v="2"/>
    <s v="28-02-2026"/>
    <n v="10105"/>
    <s v="2108-02"/>
    <n v="0"/>
    <n v="4788"/>
    <s v="Centralización ventas febrero 2026  #37616 - iva débito fiscal"/>
    <n v="-4788"/>
    <s v="Pasivo"/>
    <n v="4788"/>
    <x v="68"/>
  </r>
  <r>
    <n v="2026"/>
    <n v="2"/>
    <s v="28-02-2026"/>
    <n v="10106"/>
    <s v="2108-02"/>
    <n v="0"/>
    <n v="3511"/>
    <s v="Centralización ventas febrero 2026  #37617 - iva débito fiscal"/>
    <n v="-3511"/>
    <s v="Pasivo"/>
    <n v="3511"/>
    <x v="68"/>
  </r>
  <r>
    <n v="2026"/>
    <n v="2"/>
    <s v="28-02-2026"/>
    <n v="10107"/>
    <s v="2108-02"/>
    <n v="0"/>
    <n v="3511"/>
    <s v="Centralización ventas febrero 2026  #37618 - iva débito fiscal"/>
    <n v="-3511"/>
    <s v="Pasivo"/>
    <n v="3511"/>
    <x v="68"/>
  </r>
  <r>
    <n v="2026"/>
    <n v="2"/>
    <s v="28-02-2026"/>
    <n v="10108"/>
    <s v="2108-02"/>
    <n v="0"/>
    <n v="5108"/>
    <s v="Centralización ventas febrero 2026  #37619 - iva débito fiscal"/>
    <n v="-5108"/>
    <s v="Pasivo"/>
    <n v="5108"/>
    <x v="68"/>
  </r>
  <r>
    <n v="2026"/>
    <n v="2"/>
    <s v="28-02-2026"/>
    <n v="10109"/>
    <s v="2108-02"/>
    <n v="0"/>
    <n v="4150"/>
    <s v="Centralización ventas febrero 2026  #37620 - iva débito fiscal"/>
    <n v="-4150"/>
    <s v="Pasivo"/>
    <n v="4150"/>
    <x v="68"/>
  </r>
  <r>
    <n v="2026"/>
    <n v="2"/>
    <s v="28-02-2026"/>
    <n v="10110"/>
    <s v="2108-02"/>
    <n v="0"/>
    <n v="4788"/>
    <s v="Centralización ventas febrero 2026  #37623 - iva débito fiscal"/>
    <n v="-4788"/>
    <s v="Pasivo"/>
    <n v="4788"/>
    <x v="68"/>
  </r>
  <r>
    <n v="2026"/>
    <n v="2"/>
    <s v="28-02-2026"/>
    <n v="10111"/>
    <s v="2108-02"/>
    <n v="0"/>
    <n v="4150"/>
    <s v="Centralización ventas febrero 2026  #37624 - iva débito fiscal"/>
    <n v="-4150"/>
    <s v="Pasivo"/>
    <n v="4150"/>
    <x v="68"/>
  </r>
  <r>
    <n v="2026"/>
    <n v="2"/>
    <s v="28-02-2026"/>
    <n v="10112"/>
    <s v="2108-02"/>
    <n v="0"/>
    <n v="6225"/>
    <s v="Centralización ventas febrero 2026  #37626 - iva débito fiscal"/>
    <n v="-6225"/>
    <s v="Pasivo"/>
    <n v="6225"/>
    <x v="68"/>
  </r>
  <r>
    <n v="2026"/>
    <n v="2"/>
    <s v="28-02-2026"/>
    <n v="10113"/>
    <s v="2108-02"/>
    <n v="0"/>
    <n v="9736"/>
    <s v="Centralización ventas febrero 2026  #37628 - iva débito fiscal"/>
    <n v="-9736"/>
    <s v="Pasivo"/>
    <n v="9736"/>
    <x v="68"/>
  </r>
  <r>
    <n v="2026"/>
    <n v="2"/>
    <s v="28-02-2026"/>
    <n v="10114"/>
    <s v="2108-02"/>
    <n v="0"/>
    <n v="22653"/>
    <s v="Centralización ventas febrero 2026  #37629 - iva débito fiscal"/>
    <n v="-22653"/>
    <s v="Pasivo"/>
    <n v="22653"/>
    <x v="68"/>
  </r>
  <r>
    <n v="2026"/>
    <n v="2"/>
    <s v="28-02-2026"/>
    <n v="10115"/>
    <s v="2108-02"/>
    <n v="0"/>
    <n v="9736"/>
    <s v="Centralización ventas febrero 2026  #37630 - iva débito fiscal"/>
    <n v="-9736"/>
    <s v="Pasivo"/>
    <n v="9736"/>
    <x v="68"/>
  </r>
  <r>
    <n v="2026"/>
    <n v="2"/>
    <s v="28-02-2026"/>
    <n v="10116"/>
    <s v="2108-02"/>
    <n v="0"/>
    <n v="6387"/>
    <s v="Centralización ventas febrero 2026  #37631 - iva débito fiscal"/>
    <n v="-6387"/>
    <s v="Pasivo"/>
    <n v="6387"/>
    <x v="68"/>
  </r>
  <r>
    <n v="2026"/>
    <n v="2"/>
    <s v="28-02-2026"/>
    <n v="10117"/>
    <s v="2108-02"/>
    <n v="0"/>
    <n v="3990"/>
    <s v="Centralización ventas febrero 2026  #37633 - iva débito fiscal"/>
    <n v="-3990"/>
    <s v="Pasivo"/>
    <n v="3990"/>
    <x v="68"/>
  </r>
  <r>
    <n v="2026"/>
    <n v="2"/>
    <s v="28-02-2026"/>
    <n v="10118"/>
    <s v="2108-02"/>
    <n v="0"/>
    <n v="4788"/>
    <s v="Centralización ventas febrero 2026  #37635 - iva débito fiscal"/>
    <n v="-4788"/>
    <s v="Pasivo"/>
    <n v="4788"/>
    <x v="68"/>
  </r>
  <r>
    <n v="2026"/>
    <n v="2"/>
    <s v="28-02-2026"/>
    <n v="10119"/>
    <s v="2108-02"/>
    <n v="0"/>
    <n v="9736"/>
    <s v="Centralización ventas febrero 2026  #37636 - iva débito fiscal"/>
    <n v="-9736"/>
    <s v="Pasivo"/>
    <n v="9736"/>
    <x v="68"/>
  </r>
  <r>
    <n v="2026"/>
    <n v="2"/>
    <s v="28-02-2026"/>
    <n v="10120"/>
    <s v="2108-02"/>
    <n v="0"/>
    <n v="7022"/>
    <s v="Centralización ventas febrero 2026  #37637 - iva débito fiscal"/>
    <n v="-7022"/>
    <s v="Pasivo"/>
    <n v="7022"/>
    <x v="68"/>
  </r>
  <r>
    <n v="2026"/>
    <n v="2"/>
    <s v="28-02-2026"/>
    <n v="10121"/>
    <s v="2108-02"/>
    <n v="0"/>
    <n v="3511"/>
    <s v="Centralización ventas febrero 2026  #37638 - iva débito fiscal"/>
    <n v="-3511"/>
    <s v="Pasivo"/>
    <n v="3511"/>
    <x v="68"/>
  </r>
  <r>
    <n v="2026"/>
    <n v="2"/>
    <s v="28-02-2026"/>
    <n v="10122"/>
    <s v="2108-02"/>
    <n v="0"/>
    <n v="2393"/>
    <s v="Centralización ventas febrero 2026  #37639 - iva débito fiscal"/>
    <n v="-2393"/>
    <s v="Pasivo"/>
    <n v="2393"/>
    <x v="68"/>
  </r>
  <r>
    <n v="2026"/>
    <n v="2"/>
    <s v="28-02-2026"/>
    <n v="10123"/>
    <s v="2108-02"/>
    <n v="0"/>
    <n v="27067"/>
    <s v="Centralización ventas febrero 2026  #37640 - iva débito fiscal"/>
    <n v="-27067"/>
    <s v="Pasivo"/>
    <n v="27067"/>
    <x v="68"/>
  </r>
  <r>
    <n v="2026"/>
    <n v="2"/>
    <s v="28-02-2026"/>
    <n v="10124"/>
    <s v="2108-02"/>
    <n v="0"/>
    <n v="2393"/>
    <s v="Centralización ventas febrero 2026  #37641 - iva débito fiscal"/>
    <n v="-2393"/>
    <s v="Pasivo"/>
    <n v="2393"/>
    <x v="68"/>
  </r>
  <r>
    <n v="2026"/>
    <n v="2"/>
    <s v="28-02-2026"/>
    <n v="10125"/>
    <s v="2108-02"/>
    <n v="0"/>
    <n v="3511"/>
    <s v="Centralización ventas febrero 2026  #37642 - iva débito fiscal"/>
    <n v="-3511"/>
    <s v="Pasivo"/>
    <n v="3511"/>
    <x v="68"/>
  </r>
  <r>
    <n v="2026"/>
    <n v="2"/>
    <s v="28-02-2026"/>
    <n v="10126"/>
    <s v="2108-02"/>
    <n v="0"/>
    <n v="5267"/>
    <s v="Centralización ventas febrero 2026  #37643 - iva débito fiscal"/>
    <n v="-5267"/>
    <s v="Pasivo"/>
    <n v="5267"/>
    <x v="68"/>
  </r>
  <r>
    <n v="2026"/>
    <n v="2"/>
    <s v="28-02-2026"/>
    <n v="10127"/>
    <s v="2108-02"/>
    <n v="0"/>
    <n v="4788"/>
    <s v="Centralización ventas febrero 2026  #37644 - iva débito fiscal"/>
    <n v="-4788"/>
    <s v="Pasivo"/>
    <n v="4788"/>
    <x v="68"/>
  </r>
  <r>
    <n v="2026"/>
    <n v="2"/>
    <s v="28-02-2026"/>
    <n v="10128"/>
    <s v="2108-02"/>
    <n v="0"/>
    <n v="25761"/>
    <s v="Centralización ventas febrero 2026  #37645 - iva débito fiscal"/>
    <n v="-25761"/>
    <s v="Pasivo"/>
    <n v="25761"/>
    <x v="68"/>
  </r>
  <r>
    <n v="2026"/>
    <n v="2"/>
    <s v="28-02-2026"/>
    <n v="10129"/>
    <s v="2108-02"/>
    <n v="0"/>
    <n v="22653"/>
    <s v="Centralización ventas febrero 2026  #37646 - iva débito fiscal"/>
    <n v="-22653"/>
    <s v="Pasivo"/>
    <n v="22653"/>
    <x v="68"/>
  </r>
  <r>
    <n v="2026"/>
    <n v="2"/>
    <s v="28-02-2026"/>
    <n v="10130"/>
    <s v="2108-02"/>
    <n v="0"/>
    <n v="3192"/>
    <s v="Centralización ventas febrero 2026  #37648 - iva débito fiscal"/>
    <n v="-3192"/>
    <s v="Pasivo"/>
    <n v="3192"/>
    <x v="68"/>
  </r>
  <r>
    <n v="2026"/>
    <n v="2"/>
    <s v="28-02-2026"/>
    <n v="10131"/>
    <s v="2108-02"/>
    <n v="0"/>
    <n v="3192"/>
    <s v="Centralización ventas febrero 2026  #37649 - iva débito fiscal"/>
    <n v="-3192"/>
    <s v="Pasivo"/>
    <n v="3192"/>
    <x v="68"/>
  </r>
  <r>
    <n v="2026"/>
    <n v="2"/>
    <s v="28-02-2026"/>
    <n v="10132"/>
    <s v="2108-02"/>
    <n v="0"/>
    <n v="4629"/>
    <s v="Centralización ventas febrero 2026  #37650 - iva débito fiscal"/>
    <n v="-4629"/>
    <s v="Pasivo"/>
    <n v="4629"/>
    <x v="68"/>
  </r>
  <r>
    <n v="2026"/>
    <n v="2"/>
    <s v="28-02-2026"/>
    <n v="10133"/>
    <s v="2108-02"/>
    <n v="0"/>
    <n v="3192"/>
    <s v="Centralización ventas febrero 2026  #37651 - iva débito fiscal"/>
    <n v="-3192"/>
    <s v="Pasivo"/>
    <n v="3192"/>
    <x v="68"/>
  </r>
  <r>
    <n v="2026"/>
    <n v="2"/>
    <s v="28-02-2026"/>
    <n v="10134"/>
    <s v="2108-02"/>
    <n v="0"/>
    <n v="3192"/>
    <s v="Centralización ventas febrero 2026  #37653 - iva débito fiscal"/>
    <n v="-3192"/>
    <s v="Pasivo"/>
    <n v="3192"/>
    <x v="68"/>
  </r>
  <r>
    <n v="2026"/>
    <n v="2"/>
    <s v="28-02-2026"/>
    <n v="10135"/>
    <s v="2108-02"/>
    <n v="0"/>
    <n v="5746"/>
    <s v="Centralización ventas febrero 2026  #37654 - iva débito fiscal"/>
    <n v="-5746"/>
    <s v="Pasivo"/>
    <n v="5746"/>
    <x v="68"/>
  </r>
  <r>
    <n v="2026"/>
    <n v="2"/>
    <s v="28-02-2026"/>
    <n v="10136"/>
    <s v="2108-02"/>
    <n v="0"/>
    <n v="4788"/>
    <s v="Centralización ventas febrero 2026  #37655 - iva débito fiscal"/>
    <n v="-4788"/>
    <s v="Pasivo"/>
    <n v="4788"/>
    <x v="68"/>
  </r>
  <r>
    <n v="2026"/>
    <n v="2"/>
    <s v="28-02-2026"/>
    <n v="10137"/>
    <s v="2108-02"/>
    <n v="0"/>
    <n v="15487"/>
    <s v="Centralización ventas febrero 2026  #37656 - iva débito fiscal"/>
    <n v="-15487"/>
    <s v="Pasivo"/>
    <n v="15487"/>
    <x v="68"/>
  </r>
  <r>
    <n v="2026"/>
    <n v="2"/>
    <s v="28-02-2026"/>
    <n v="10138"/>
    <s v="2108-02"/>
    <n v="0"/>
    <n v="5108"/>
    <s v="Centralización ventas febrero 2026  #37657 - iva débito fiscal"/>
    <n v="-5108"/>
    <s v="Pasivo"/>
    <n v="5108"/>
    <x v="68"/>
  </r>
  <r>
    <n v="2026"/>
    <n v="2"/>
    <s v="28-02-2026"/>
    <n v="10139"/>
    <s v="2108-02"/>
    <n v="0"/>
    <n v="248185"/>
    <s v="Centralización ventas febrero 2026  #37658 - iva débito fiscal"/>
    <n v="-248185"/>
    <s v="Pasivo"/>
    <n v="248185"/>
    <x v="68"/>
  </r>
  <r>
    <n v="2026"/>
    <n v="2"/>
    <s v="28-02-2026"/>
    <n v="10140"/>
    <s v="2108-02"/>
    <n v="0"/>
    <n v="4309"/>
    <s v="Centralización ventas febrero 2026  #37660 - iva débito fiscal"/>
    <n v="-4309"/>
    <s v="Pasivo"/>
    <n v="4309"/>
    <x v="68"/>
  </r>
  <r>
    <n v="2026"/>
    <n v="2"/>
    <s v="28-02-2026"/>
    <n v="10141"/>
    <s v="2108-02"/>
    <n v="0"/>
    <n v="4788"/>
    <s v="Centralización ventas febrero 2026  #37661 - iva débito fiscal"/>
    <n v="-4788"/>
    <s v="Pasivo"/>
    <n v="4788"/>
    <x v="68"/>
  </r>
  <r>
    <n v="2026"/>
    <n v="2"/>
    <s v="28-02-2026"/>
    <n v="10142"/>
    <s v="2108-02"/>
    <n v="0"/>
    <n v="4787"/>
    <s v="Centralización ventas febrero 2026  #37662 - iva débito fiscal"/>
    <n v="-4787"/>
    <s v="Pasivo"/>
    <n v="4787"/>
    <x v="68"/>
  </r>
  <r>
    <n v="2026"/>
    <n v="2"/>
    <s v="28-02-2026"/>
    <n v="10143"/>
    <s v="2108-02"/>
    <n v="0"/>
    <n v="3990"/>
    <s v="Centralización ventas febrero 2026  #37663 - iva débito fiscal"/>
    <n v="-3990"/>
    <s v="Pasivo"/>
    <n v="3990"/>
    <x v="68"/>
  </r>
  <r>
    <n v="2026"/>
    <n v="2"/>
    <s v="28-02-2026"/>
    <n v="10144"/>
    <s v="2108-02"/>
    <n v="0"/>
    <n v="71734"/>
    <s v="Centralización ventas febrero 2026  #37665 - iva débito fiscal"/>
    <n v="-71734"/>
    <s v="Pasivo"/>
    <n v="71734"/>
    <x v="68"/>
  </r>
  <r>
    <n v="2026"/>
    <n v="2"/>
    <s v="28-02-2026"/>
    <n v="10145"/>
    <s v="2108-02"/>
    <n v="0"/>
    <n v="3192"/>
    <s v="Centralización ventas febrero 2026  #37666 - iva débito fiscal"/>
    <n v="-3192"/>
    <s v="Pasivo"/>
    <n v="3192"/>
    <x v="68"/>
  </r>
  <r>
    <n v="2026"/>
    <n v="2"/>
    <s v="28-02-2026"/>
    <n v="10146"/>
    <s v="2108-02"/>
    <n v="0"/>
    <n v="4788"/>
    <s v="Centralización ventas febrero 2026  #37667 - iva débito fiscal"/>
    <n v="-4788"/>
    <s v="Pasivo"/>
    <n v="4788"/>
    <x v="68"/>
  </r>
  <r>
    <n v="2026"/>
    <n v="2"/>
    <s v="28-02-2026"/>
    <n v="10147"/>
    <s v="2108-02"/>
    <n v="0"/>
    <n v="5745"/>
    <s v="Centralización ventas febrero 2026  #37668 - iva débito fiscal"/>
    <n v="-5745"/>
    <s v="Pasivo"/>
    <n v="5745"/>
    <x v="68"/>
  </r>
  <r>
    <n v="2026"/>
    <n v="2"/>
    <s v="28-02-2026"/>
    <n v="10148"/>
    <s v="2108-02"/>
    <n v="0"/>
    <n v="3511"/>
    <s v="Centralización ventas febrero 2026  #37669 - iva débito fiscal"/>
    <n v="-3511"/>
    <s v="Pasivo"/>
    <n v="3511"/>
    <x v="68"/>
  </r>
  <r>
    <n v="2026"/>
    <n v="2"/>
    <s v="28-02-2026"/>
    <n v="10149"/>
    <s v="2108-02"/>
    <n v="0"/>
    <n v="2393"/>
    <s v="Centralización ventas febrero 2026  #37670 - iva débito fiscal"/>
    <n v="-2393"/>
    <s v="Pasivo"/>
    <n v="2393"/>
    <x v="68"/>
  </r>
  <r>
    <n v="2026"/>
    <n v="2"/>
    <s v="28-02-2026"/>
    <n v="10150"/>
    <s v="2108-02"/>
    <n v="0"/>
    <n v="3990"/>
    <s v="Centralización ventas febrero 2026  #37671 - iva débito fiscal"/>
    <n v="-3990"/>
    <s v="Pasivo"/>
    <n v="3990"/>
    <x v="68"/>
  </r>
  <r>
    <n v="2026"/>
    <n v="2"/>
    <s v="28-02-2026"/>
    <n v="10151"/>
    <s v="2108-02"/>
    <n v="0"/>
    <n v="13560"/>
    <s v="Centralización ventas febrero 2026  #37672 - iva débito fiscal"/>
    <n v="-13560"/>
    <s v="Pasivo"/>
    <n v="13560"/>
    <x v="68"/>
  </r>
  <r>
    <n v="2026"/>
    <n v="2"/>
    <s v="28-02-2026"/>
    <n v="10152"/>
    <s v="2108-02"/>
    <n v="0"/>
    <n v="5108"/>
    <s v="Centralización ventas febrero 2026  #37673 - iva débito fiscal"/>
    <n v="-5108"/>
    <s v="Pasivo"/>
    <n v="5108"/>
    <x v="68"/>
  </r>
  <r>
    <n v="2026"/>
    <n v="2"/>
    <s v="28-02-2026"/>
    <n v="10153"/>
    <s v="2108-02"/>
    <n v="0"/>
    <n v="5587"/>
    <s v="Centralización ventas febrero 2026  #37674 - iva débito fiscal"/>
    <n v="-5587"/>
    <s v="Pasivo"/>
    <n v="5587"/>
    <x v="68"/>
  </r>
  <r>
    <n v="2026"/>
    <n v="2"/>
    <s v="28-02-2026"/>
    <n v="10154"/>
    <s v="2108-02"/>
    <n v="0"/>
    <n v="3990"/>
    <s v="Centralización ventas febrero 2026  #37675 - iva débito fiscal"/>
    <n v="-3990"/>
    <s v="Pasivo"/>
    <n v="3990"/>
    <x v="68"/>
  </r>
  <r>
    <n v="2026"/>
    <n v="2"/>
    <s v="28-02-2026"/>
    <n v="10155"/>
    <s v="2108-02"/>
    <n v="0"/>
    <n v="8461"/>
    <s v="Centralización ventas febrero 2026  #37676 - iva débito fiscal"/>
    <n v="-8461"/>
    <s v="Pasivo"/>
    <n v="8461"/>
    <x v="68"/>
  </r>
  <r>
    <n v="2026"/>
    <n v="2"/>
    <s v="28-02-2026"/>
    <n v="10156"/>
    <s v="2108-02"/>
    <n v="0"/>
    <n v="6225"/>
    <s v="Centralización ventas febrero 2026  #37677 - iva débito fiscal"/>
    <n v="-6225"/>
    <s v="Pasivo"/>
    <n v="6225"/>
    <x v="68"/>
  </r>
  <r>
    <n v="2026"/>
    <n v="2"/>
    <s v="28-02-2026"/>
    <n v="10157"/>
    <s v="2108-02"/>
    <n v="0"/>
    <n v="4788"/>
    <s v="Centralización ventas febrero 2026  #37678 - iva débito fiscal"/>
    <n v="-4788"/>
    <s v="Pasivo"/>
    <n v="4788"/>
    <x v="68"/>
  </r>
  <r>
    <n v="2026"/>
    <n v="2"/>
    <s v="28-02-2026"/>
    <n v="10158"/>
    <s v="2108-02"/>
    <n v="0"/>
    <n v="15965"/>
    <s v="Centralización ventas febrero 2026  #37679 - iva débito fiscal"/>
    <n v="-15965"/>
    <s v="Pasivo"/>
    <n v="15965"/>
    <x v="68"/>
  </r>
  <r>
    <n v="2026"/>
    <n v="2"/>
    <s v="28-02-2026"/>
    <n v="10159"/>
    <s v="2108-02"/>
    <n v="0"/>
    <n v="5587"/>
    <s v="Centralización ventas febrero 2026  #37681 - iva débito fiscal"/>
    <n v="-5587"/>
    <s v="Pasivo"/>
    <n v="5587"/>
    <x v="68"/>
  </r>
  <r>
    <n v="2026"/>
    <n v="2"/>
    <s v="28-02-2026"/>
    <n v="10160"/>
    <s v="2108-02"/>
    <n v="0"/>
    <n v="6385"/>
    <s v="Centralización ventas febrero 2026  #37682 - iva débito fiscal"/>
    <n v="-6385"/>
    <s v="Pasivo"/>
    <n v="6385"/>
    <x v="68"/>
  </r>
  <r>
    <n v="2026"/>
    <n v="2"/>
    <s v="28-02-2026"/>
    <n v="10161"/>
    <s v="2108-02"/>
    <n v="0"/>
    <n v="11973"/>
    <s v="Centralización ventas febrero 2026  #37683 - iva débito fiscal"/>
    <n v="-11973"/>
    <s v="Pasivo"/>
    <n v="11973"/>
    <x v="68"/>
  </r>
  <r>
    <n v="2026"/>
    <n v="2"/>
    <s v="28-02-2026"/>
    <n v="10162"/>
    <s v="2108-02"/>
    <n v="0"/>
    <n v="27282"/>
    <s v="Centralización ventas febrero 2026  #37684 - iva débito fiscal"/>
    <n v="-27282"/>
    <s v="Pasivo"/>
    <n v="27282"/>
    <x v="68"/>
  </r>
  <r>
    <n v="2026"/>
    <n v="2"/>
    <s v="28-02-2026"/>
    <n v="10163"/>
    <s v="2108-02"/>
    <n v="0"/>
    <n v="8780"/>
    <s v="Centralización ventas febrero 2026  #37685 - iva débito fiscal"/>
    <n v="-8780"/>
    <s v="Pasivo"/>
    <n v="8780"/>
    <x v="68"/>
  </r>
  <r>
    <n v="2026"/>
    <n v="2"/>
    <s v="28-02-2026"/>
    <n v="10164"/>
    <s v="2108-02"/>
    <n v="0"/>
    <n v="5108"/>
    <s v="Centralización ventas febrero 2026  #37686 - iva débito fiscal"/>
    <n v="-5108"/>
    <s v="Pasivo"/>
    <n v="5108"/>
    <x v="68"/>
  </r>
  <r>
    <n v="2026"/>
    <n v="2"/>
    <s v="28-02-2026"/>
    <n v="10165"/>
    <s v="2108-02"/>
    <n v="0"/>
    <n v="4788"/>
    <s v="Centralización ventas febrero 2026  #37687 - iva débito fiscal"/>
    <n v="-4788"/>
    <s v="Pasivo"/>
    <n v="4788"/>
    <x v="68"/>
  </r>
  <r>
    <n v="2026"/>
    <n v="2"/>
    <s v="28-02-2026"/>
    <n v="10166"/>
    <s v="2108-02"/>
    <n v="0"/>
    <n v="3671"/>
    <s v="Centralización ventas febrero 2026  #37688 - iva débito fiscal"/>
    <n v="-3671"/>
    <s v="Pasivo"/>
    <n v="3671"/>
    <x v="68"/>
  </r>
  <r>
    <n v="2026"/>
    <n v="2"/>
    <s v="28-02-2026"/>
    <n v="10167"/>
    <s v="2108-02"/>
    <n v="0"/>
    <n v="43974"/>
    <s v="Centralización ventas febrero 2026  #37690 - iva débito fiscal"/>
    <n v="-43974"/>
    <s v="Pasivo"/>
    <n v="43974"/>
    <x v="68"/>
  </r>
  <r>
    <n v="2026"/>
    <n v="2"/>
    <s v="28-02-2026"/>
    <n v="10168"/>
    <s v="2108-02"/>
    <n v="0"/>
    <n v="52857"/>
    <s v="Centralización ventas febrero 2026  #37691 - iva débito fiscal"/>
    <n v="-52857"/>
    <s v="Pasivo"/>
    <n v="52857"/>
    <x v="68"/>
  </r>
  <r>
    <n v="2026"/>
    <n v="2"/>
    <s v="28-02-2026"/>
    <n v="10169"/>
    <s v="2108-02"/>
    <n v="0"/>
    <n v="6066"/>
    <s v="Centralización ventas febrero 2026  #37692 - iva débito fiscal"/>
    <n v="-6066"/>
    <s v="Pasivo"/>
    <n v="6066"/>
    <x v="68"/>
  </r>
  <r>
    <n v="2026"/>
    <n v="2"/>
    <s v="28-02-2026"/>
    <n v="10170"/>
    <s v="2108-02"/>
    <n v="0"/>
    <n v="3192"/>
    <s v="Centralización ventas febrero 2026  #37693 - iva débito fiscal"/>
    <n v="-3192"/>
    <s v="Pasivo"/>
    <n v="3192"/>
    <x v="68"/>
  </r>
  <r>
    <n v="2026"/>
    <n v="2"/>
    <s v="28-02-2026"/>
    <n v="10171"/>
    <s v="2108-02"/>
    <n v="0"/>
    <n v="291675"/>
    <s v="Centralización ventas febrero 2026  #37694 - iva débito fiscal"/>
    <n v="-291675"/>
    <s v="Pasivo"/>
    <n v="291675"/>
    <x v="68"/>
  </r>
  <r>
    <n v="2026"/>
    <n v="2"/>
    <s v="28-02-2026"/>
    <n v="10172"/>
    <s v="2108-02"/>
    <n v="0"/>
    <n v="5347"/>
    <s v="Centralización ventas febrero 2026  #37695 - iva débito fiscal"/>
    <n v="-5347"/>
    <s v="Pasivo"/>
    <n v="5347"/>
    <x v="68"/>
  </r>
  <r>
    <n v="2026"/>
    <n v="2"/>
    <s v="28-02-2026"/>
    <n v="10173"/>
    <s v="2108-02"/>
    <n v="0"/>
    <n v="4790"/>
    <s v="Centralización ventas febrero 2026  #37696 - iva débito fiscal"/>
    <n v="-4790"/>
    <s v="Pasivo"/>
    <n v="4790"/>
    <x v="68"/>
  </r>
  <r>
    <n v="2026"/>
    <n v="2"/>
    <s v="28-02-2026"/>
    <n v="10174"/>
    <s v="2108-02"/>
    <n v="0"/>
    <n v="6540"/>
    <s v="Centralización ventas febrero 2026  #37697 - iva débito fiscal"/>
    <n v="-6540"/>
    <s v="Pasivo"/>
    <n v="6540"/>
    <x v="68"/>
  </r>
  <r>
    <n v="2026"/>
    <n v="2"/>
    <s v="28-02-2026"/>
    <n v="10175"/>
    <s v="2108-02"/>
    <n v="0"/>
    <n v="4790"/>
    <s v="Centralización ventas febrero 2026  #37699 - iva débito fiscal"/>
    <n v="-4790"/>
    <s v="Pasivo"/>
    <n v="4790"/>
    <x v="68"/>
  </r>
  <r>
    <n v="2026"/>
    <n v="2"/>
    <s v="28-02-2026"/>
    <n v="10176"/>
    <s v="2108-02"/>
    <n v="0"/>
    <n v="3511"/>
    <s v="Centralización ventas febrero 2026  #37700 - iva débito fiscal"/>
    <n v="-3511"/>
    <s v="Pasivo"/>
    <n v="3511"/>
    <x v="68"/>
  </r>
  <r>
    <n v="2026"/>
    <n v="2"/>
    <s v="28-02-2026"/>
    <n v="10177"/>
    <s v="2108-02"/>
    <n v="0"/>
    <n v="3511"/>
    <s v="Centralización ventas febrero 2026  #37701 - iva débito fiscal"/>
    <n v="-3511"/>
    <s v="Pasivo"/>
    <n v="3511"/>
    <x v="68"/>
  </r>
  <r>
    <n v="2026"/>
    <n v="2"/>
    <s v="28-02-2026"/>
    <n v="10178"/>
    <s v="2108-02"/>
    <n v="0"/>
    <n v="3990"/>
    <s v="Centralización ventas febrero 2026  #37702 - iva débito fiscal"/>
    <n v="-3990"/>
    <s v="Pasivo"/>
    <n v="3990"/>
    <x v="68"/>
  </r>
  <r>
    <n v="2026"/>
    <n v="2"/>
    <s v="28-02-2026"/>
    <n v="10179"/>
    <s v="2108-02"/>
    <n v="0"/>
    <n v="3192"/>
    <s v="Centralización ventas febrero 2026  #37703 - iva débito fiscal"/>
    <n v="-3192"/>
    <s v="Pasivo"/>
    <n v="3192"/>
    <x v="68"/>
  </r>
  <r>
    <n v="2026"/>
    <n v="2"/>
    <s v="28-02-2026"/>
    <n v="10180"/>
    <s v="2108-02"/>
    <n v="0"/>
    <n v="4629"/>
    <s v="Centralización ventas febrero 2026  #37704 - iva débito fiscal"/>
    <n v="-4629"/>
    <s v="Pasivo"/>
    <n v="4629"/>
    <x v="68"/>
  </r>
  <r>
    <n v="2026"/>
    <n v="2"/>
    <s v="28-02-2026"/>
    <n v="10181"/>
    <s v="2108-02"/>
    <n v="0"/>
    <n v="4790"/>
    <s v="Centralización ventas febrero 2026  #37705 - iva débito fiscal"/>
    <n v="-4790"/>
    <s v="Pasivo"/>
    <n v="4790"/>
    <x v="68"/>
  </r>
  <r>
    <n v="2026"/>
    <n v="2"/>
    <s v="28-02-2026"/>
    <n v="10182"/>
    <s v="2108-02"/>
    <n v="0"/>
    <n v="5745"/>
    <s v="Centralización ventas febrero 2026  #37706 - iva débito fiscal"/>
    <n v="-5745"/>
    <s v="Pasivo"/>
    <n v="5745"/>
    <x v="68"/>
  </r>
  <r>
    <n v="2026"/>
    <n v="2"/>
    <s v="28-02-2026"/>
    <n v="10183"/>
    <s v="2108-02"/>
    <n v="0"/>
    <n v="11652"/>
    <s v="Centralización ventas febrero 2026  #37707 - iva débito fiscal"/>
    <n v="-11652"/>
    <s v="Pasivo"/>
    <n v="11652"/>
    <x v="68"/>
  </r>
  <r>
    <n v="2026"/>
    <n v="2"/>
    <s v="28-02-2026"/>
    <n v="10184"/>
    <s v="2108-02"/>
    <n v="0"/>
    <n v="3192"/>
    <s v="Centralización ventas febrero 2026  #37708 - iva débito fiscal"/>
    <n v="-3192"/>
    <s v="Pasivo"/>
    <n v="3192"/>
    <x v="68"/>
  </r>
  <r>
    <n v="2026"/>
    <n v="2"/>
    <s v="28-02-2026"/>
    <n v="10185"/>
    <s v="2108-02"/>
    <n v="0"/>
    <n v="4788"/>
    <s v="Centralización ventas febrero 2026  #37709 - iva débito fiscal"/>
    <n v="-4788"/>
    <s v="Pasivo"/>
    <n v="4788"/>
    <x v="68"/>
  </r>
  <r>
    <n v="2026"/>
    <n v="2"/>
    <s v="28-02-2026"/>
    <n v="10186"/>
    <s v="2108-02"/>
    <n v="0"/>
    <n v="22653"/>
    <s v="Centralización ventas febrero 2026  #37710 - iva débito fiscal"/>
    <n v="-22653"/>
    <s v="Pasivo"/>
    <n v="22653"/>
    <x v="68"/>
  </r>
  <r>
    <n v="2026"/>
    <n v="2"/>
    <s v="28-02-2026"/>
    <n v="10187"/>
    <s v="2108-02"/>
    <n v="0"/>
    <n v="3990"/>
    <s v="Centralización ventas febrero 2026  #37711 - iva débito fiscal"/>
    <n v="-3990"/>
    <s v="Pasivo"/>
    <n v="3990"/>
    <x v="68"/>
  </r>
  <r>
    <n v="2026"/>
    <n v="2"/>
    <s v="28-02-2026"/>
    <n v="10188"/>
    <s v="2108-02"/>
    <n v="0"/>
    <n v="2393"/>
    <s v="Centralización ventas febrero 2026  #37712 - iva débito fiscal"/>
    <n v="-2393"/>
    <s v="Pasivo"/>
    <n v="2393"/>
    <x v="68"/>
  </r>
  <r>
    <n v="2026"/>
    <n v="2"/>
    <s v="28-02-2026"/>
    <n v="10189"/>
    <s v="2108-02"/>
    <n v="0"/>
    <n v="18122"/>
    <s v="Centralización ventas febrero 2026  #37713 - iva débito fiscal"/>
    <n v="-18122"/>
    <s v="Pasivo"/>
    <n v="18122"/>
    <x v="68"/>
  </r>
  <r>
    <n v="2026"/>
    <n v="2"/>
    <s v="28-02-2026"/>
    <n v="10190"/>
    <s v="2108-02"/>
    <n v="0"/>
    <n v="4309"/>
    <s v="Centralización ventas febrero 2026  #37714 - iva débito fiscal"/>
    <n v="-4309"/>
    <s v="Pasivo"/>
    <n v="4309"/>
    <x v="68"/>
  </r>
  <r>
    <n v="2026"/>
    <n v="2"/>
    <s v="28-02-2026"/>
    <n v="10191"/>
    <s v="2108-02"/>
    <n v="0"/>
    <n v="113265"/>
    <s v="Centralización ventas febrero 2026  #37715 - iva débito fiscal"/>
    <n v="-113265"/>
    <s v="Pasivo"/>
    <n v="113265"/>
    <x v="68"/>
  </r>
  <r>
    <n v="2026"/>
    <n v="2"/>
    <s v="28-02-2026"/>
    <n v="10192"/>
    <s v="2108-02"/>
    <n v="0"/>
    <n v="3990"/>
    <s v="Centralización ventas febrero 2026  #37716 - iva débito fiscal"/>
    <n v="-3990"/>
    <s v="Pasivo"/>
    <n v="3990"/>
    <x v="68"/>
  </r>
  <r>
    <n v="2026"/>
    <n v="2"/>
    <s v="28-02-2026"/>
    <n v="10193"/>
    <s v="2108-02"/>
    <n v="0"/>
    <n v="68564"/>
    <s v="Centralización ventas febrero 2026  #37717 - iva débito fiscal"/>
    <n v="-68564"/>
    <s v="Pasivo"/>
    <n v="68564"/>
    <x v="68"/>
  </r>
  <r>
    <n v="2026"/>
    <n v="2"/>
    <s v="28-02-2026"/>
    <n v="10194"/>
    <s v="2108-02"/>
    <n v="0"/>
    <n v="20437"/>
    <s v="Centralización ventas febrero 2026  #37718 - iva débito fiscal"/>
    <n v="-20437"/>
    <s v="Pasivo"/>
    <n v="20437"/>
    <x v="68"/>
  </r>
  <r>
    <n v="2026"/>
    <n v="2"/>
    <s v="28-02-2026"/>
    <n v="10195"/>
    <s v="2108-02"/>
    <n v="0"/>
    <n v="3671"/>
    <s v="Centralización ventas febrero 2026  #37719 - iva débito fiscal"/>
    <n v="-3671"/>
    <s v="Pasivo"/>
    <n v="3671"/>
    <x v="68"/>
  </r>
  <r>
    <n v="2026"/>
    <n v="2"/>
    <s v="28-02-2026"/>
    <n v="10196"/>
    <s v="2108-02"/>
    <n v="0"/>
    <n v="14368"/>
    <s v="Centralización ventas febrero 2026  #37720 - iva débito fiscal"/>
    <n v="-14368"/>
    <s v="Pasivo"/>
    <n v="14368"/>
    <x v="68"/>
  </r>
  <r>
    <n v="2026"/>
    <n v="2"/>
    <s v="28-02-2026"/>
    <n v="10197"/>
    <s v="2108-02"/>
    <n v="0"/>
    <n v="3990"/>
    <s v="Centralización ventas febrero 2026  #37721 - iva débito fiscal"/>
    <n v="-3990"/>
    <s v="Pasivo"/>
    <n v="3990"/>
    <x v="68"/>
  </r>
  <r>
    <n v="2026"/>
    <n v="2"/>
    <s v="28-02-2026"/>
    <n v="10198"/>
    <s v="2108-02"/>
    <n v="0"/>
    <n v="6387"/>
    <s v="Centralización ventas febrero 2026  #37722 - iva débito fiscal"/>
    <n v="-6387"/>
    <s v="Pasivo"/>
    <n v="6387"/>
    <x v="68"/>
  </r>
  <r>
    <n v="2026"/>
    <n v="2"/>
    <s v="28-02-2026"/>
    <n v="10199"/>
    <s v="2108-02"/>
    <n v="0"/>
    <n v="5267"/>
    <s v="Centralización ventas febrero 2026  #37723 - iva débito fiscal"/>
    <n v="-5267"/>
    <s v="Pasivo"/>
    <n v="5267"/>
    <x v="68"/>
  </r>
  <r>
    <n v="2026"/>
    <n v="2"/>
    <s v="28-02-2026"/>
    <n v="10200"/>
    <s v="2108-02"/>
    <n v="0"/>
    <n v="3990"/>
    <s v="Centralización ventas febrero 2026  #37724 - iva débito fiscal"/>
    <n v="-3990"/>
    <s v="Pasivo"/>
    <n v="3990"/>
    <x v="68"/>
  </r>
  <r>
    <n v="2026"/>
    <n v="2"/>
    <s v="28-02-2026"/>
    <n v="10201"/>
    <s v="2108-02"/>
    <n v="0"/>
    <n v="3511"/>
    <s v="Centralización ventas febrero 2026  #37726 - iva débito fiscal"/>
    <n v="-3511"/>
    <s v="Pasivo"/>
    <n v="3511"/>
    <x v="68"/>
  </r>
  <r>
    <n v="2026"/>
    <n v="2"/>
    <s v="28-02-2026"/>
    <n v="10202"/>
    <s v="2108-02"/>
    <n v="0"/>
    <n v="17395"/>
    <s v="Centralización ventas febrero 2026  #37727 - iva débito fiscal"/>
    <n v="-17395"/>
    <s v="Pasivo"/>
    <n v="17395"/>
    <x v="68"/>
  </r>
  <r>
    <n v="2026"/>
    <n v="2"/>
    <s v="28-02-2026"/>
    <n v="10203"/>
    <s v="2108-02"/>
    <n v="0"/>
    <n v="4626"/>
    <s v="Centralización ventas febrero 2026  #37728 - iva débito fiscal"/>
    <n v="-4626"/>
    <s v="Pasivo"/>
    <n v="4626"/>
    <x v="68"/>
  </r>
  <r>
    <n v="2026"/>
    <n v="2"/>
    <s v="28-02-2026"/>
    <n v="10204"/>
    <s v="2108-02"/>
    <n v="0"/>
    <n v="7021"/>
    <s v="Centralización ventas febrero 2026  #37729 - iva débito fiscal"/>
    <n v="-7021"/>
    <s v="Pasivo"/>
    <n v="7021"/>
    <x v="68"/>
  </r>
  <r>
    <n v="2026"/>
    <n v="2"/>
    <s v="28-02-2026"/>
    <n v="10205"/>
    <s v="2108-02"/>
    <n v="0"/>
    <n v="5587"/>
    <s v="Centralización ventas febrero 2026  #37731 - iva débito fiscal"/>
    <n v="-5587"/>
    <s v="Pasivo"/>
    <n v="5587"/>
    <x v="68"/>
  </r>
  <r>
    <n v="2026"/>
    <n v="2"/>
    <s v="28-02-2026"/>
    <n v="10206"/>
    <s v="2108-02"/>
    <n v="0"/>
    <n v="4788"/>
    <s v="Centralización ventas febrero 2026  #37732 - iva débito fiscal"/>
    <n v="-4788"/>
    <s v="Pasivo"/>
    <n v="4788"/>
    <x v="68"/>
  </r>
  <r>
    <n v="2026"/>
    <n v="2"/>
    <s v="28-02-2026"/>
    <n v="10207"/>
    <s v="2108-02"/>
    <n v="0"/>
    <n v="2393"/>
    <s v="Centralización ventas febrero 2026  #37733 - iva débito fiscal"/>
    <n v="-2393"/>
    <s v="Pasivo"/>
    <n v="2393"/>
    <x v="68"/>
  </r>
  <r>
    <n v="2026"/>
    <n v="2"/>
    <s v="28-02-2026"/>
    <n v="10208"/>
    <s v="2108-02"/>
    <n v="0"/>
    <n v="67959"/>
    <s v="Centralización ventas febrero 2026  #37735 - iva débito fiscal"/>
    <n v="-67959"/>
    <s v="Pasivo"/>
    <n v="67959"/>
    <x v="68"/>
  </r>
  <r>
    <n v="2026"/>
    <n v="2"/>
    <s v="28-02-2026"/>
    <n v="10209"/>
    <s v="2108-02"/>
    <n v="0"/>
    <n v="3671"/>
    <s v="Centralización ventas febrero 2026  #37736 - iva débito fiscal"/>
    <n v="-3671"/>
    <s v="Pasivo"/>
    <n v="3671"/>
    <x v="68"/>
  </r>
  <r>
    <n v="2026"/>
    <n v="2"/>
    <s v="28-02-2026"/>
    <n v="10210"/>
    <s v="2108-02"/>
    <n v="0"/>
    <n v="4788"/>
    <s v="Centralización ventas febrero 2026  #37737 - iva débito fiscal"/>
    <n v="-4788"/>
    <s v="Pasivo"/>
    <n v="4788"/>
    <x v="68"/>
  </r>
  <r>
    <n v="2026"/>
    <n v="2"/>
    <s v="28-02-2026"/>
    <n v="10211"/>
    <s v="2108-02"/>
    <n v="0"/>
    <n v="7025"/>
    <s v="Centralización ventas febrero 2026  #37738 - iva débito fiscal"/>
    <n v="-7025"/>
    <s v="Pasivo"/>
    <n v="7025"/>
    <x v="68"/>
  </r>
  <r>
    <n v="2026"/>
    <n v="2"/>
    <s v="28-02-2026"/>
    <n v="10212"/>
    <s v="2108-02"/>
    <n v="0"/>
    <n v="5267"/>
    <s v="Centralización ventas febrero 2026  #37740 - iva débito fiscal"/>
    <n v="-5267"/>
    <s v="Pasivo"/>
    <n v="5267"/>
    <x v="68"/>
  </r>
  <r>
    <n v="2026"/>
    <n v="2"/>
    <s v="28-02-2026"/>
    <n v="10213"/>
    <s v="2108-02"/>
    <n v="0"/>
    <n v="11176"/>
    <s v="Centralización ventas febrero 2026  #37741 - iva débito fiscal"/>
    <n v="-11176"/>
    <s v="Pasivo"/>
    <n v="11176"/>
    <x v="68"/>
  </r>
  <r>
    <n v="2026"/>
    <n v="2"/>
    <s v="28-02-2026"/>
    <n v="10214"/>
    <s v="2108-02"/>
    <n v="0"/>
    <n v="6864"/>
    <s v="Centralización ventas febrero 2026  #37742 - iva débito fiscal"/>
    <n v="-6864"/>
    <s v="Pasivo"/>
    <n v="6864"/>
    <x v="68"/>
  </r>
  <r>
    <n v="2026"/>
    <n v="2"/>
    <s v="28-02-2026"/>
    <n v="10215"/>
    <s v="2108-02"/>
    <n v="0"/>
    <n v="2872"/>
    <s v="Centralización ventas febrero 2026  #37743 - iva débito fiscal"/>
    <n v="-2872"/>
    <s v="Pasivo"/>
    <n v="2872"/>
    <x v="68"/>
  </r>
  <r>
    <n v="2026"/>
    <n v="2"/>
    <s v="28-02-2026"/>
    <n v="10216"/>
    <s v="2108-02"/>
    <n v="0"/>
    <n v="3990"/>
    <s v="Centralización ventas febrero 2026  #37744 - iva débito fiscal"/>
    <n v="-3990"/>
    <s v="Pasivo"/>
    <n v="3990"/>
    <x v="68"/>
  </r>
  <r>
    <n v="2026"/>
    <n v="2"/>
    <s v="28-02-2026"/>
    <n v="10217"/>
    <s v="2108-02"/>
    <n v="0"/>
    <n v="3990"/>
    <s v="Centralización ventas febrero 2026  #37745 - iva débito fiscal"/>
    <n v="-3990"/>
    <s v="Pasivo"/>
    <n v="3990"/>
    <x v="68"/>
  </r>
  <r>
    <n v="2026"/>
    <n v="2"/>
    <s v="28-02-2026"/>
    <n v="10218"/>
    <s v="2108-02"/>
    <n v="0"/>
    <n v="26428"/>
    <s v="Centralización ventas febrero 2026  #37746 - iva débito fiscal"/>
    <n v="-26428"/>
    <s v="Pasivo"/>
    <n v="26428"/>
    <x v="68"/>
  </r>
  <r>
    <n v="2026"/>
    <n v="2"/>
    <s v="28-02-2026"/>
    <n v="10219"/>
    <s v="2108-02"/>
    <n v="0"/>
    <n v="6385"/>
    <s v="Centralización ventas febrero 2026  #37747 - iva débito fiscal"/>
    <n v="-6385"/>
    <s v="Pasivo"/>
    <n v="6385"/>
    <x v="68"/>
  </r>
  <r>
    <n v="2026"/>
    <n v="2"/>
    <s v="28-02-2026"/>
    <n v="10220"/>
    <s v="2108-02"/>
    <n v="0"/>
    <n v="8301"/>
    <s v="Centralización ventas febrero 2026  #37748 - iva débito fiscal"/>
    <n v="-8301"/>
    <s v="Pasivo"/>
    <n v="8301"/>
    <x v="68"/>
  </r>
  <r>
    <n v="2026"/>
    <n v="2"/>
    <s v="28-02-2026"/>
    <n v="10221"/>
    <s v="2108-02"/>
    <n v="0"/>
    <n v="3990"/>
    <s v="Centralización ventas febrero 2026  #37749 - iva débito fiscal"/>
    <n v="-3990"/>
    <s v="Pasivo"/>
    <n v="3990"/>
    <x v="68"/>
  </r>
  <r>
    <n v="2026"/>
    <n v="2"/>
    <s v="28-02-2026"/>
    <n v="10222"/>
    <s v="2108-02"/>
    <n v="0"/>
    <n v="5108"/>
    <s v="Centralización ventas febrero 2026  #37750 - iva débito fiscal"/>
    <n v="-5108"/>
    <s v="Pasivo"/>
    <n v="5108"/>
    <x v="68"/>
  </r>
  <r>
    <n v="2026"/>
    <n v="2"/>
    <s v="28-02-2026"/>
    <n v="10223"/>
    <s v="2108-02"/>
    <n v="0"/>
    <n v="6385"/>
    <s v="Centralización ventas febrero 2026  #37751 - iva débito fiscal"/>
    <n v="-6385"/>
    <s v="Pasivo"/>
    <n v="6385"/>
    <x v="68"/>
  </r>
  <r>
    <n v="2026"/>
    <n v="2"/>
    <s v="28-02-2026"/>
    <n v="10224"/>
    <s v="2108-02"/>
    <n v="0"/>
    <n v="7503"/>
    <s v="Centralización ventas febrero 2026  #37752 - iva débito fiscal"/>
    <n v="-7503"/>
    <s v="Pasivo"/>
    <n v="7503"/>
    <x v="68"/>
  </r>
  <r>
    <n v="2026"/>
    <n v="2"/>
    <s v="28-02-2026"/>
    <n v="10225"/>
    <s v="2108-02"/>
    <n v="0"/>
    <n v="46441"/>
    <s v="Centralización ventas febrero 2026  #37753 - iva débito fiscal"/>
    <n v="-46441"/>
    <s v="Pasivo"/>
    <n v="46441"/>
    <x v="68"/>
  </r>
  <r>
    <n v="2026"/>
    <n v="2"/>
    <s v="28-02-2026"/>
    <n v="10226"/>
    <s v="2108-02"/>
    <n v="0"/>
    <n v="7819"/>
    <s v="Centralización ventas febrero 2026  #37754 - iva débito fiscal"/>
    <n v="-7819"/>
    <s v="Pasivo"/>
    <n v="7819"/>
    <x v="68"/>
  </r>
  <r>
    <n v="2026"/>
    <n v="2"/>
    <s v="28-02-2026"/>
    <n v="10227"/>
    <s v="2108-02"/>
    <n v="0"/>
    <n v="6864"/>
    <s v="Centralización ventas febrero 2026  #37755 - iva débito fiscal"/>
    <n v="-6864"/>
    <s v="Pasivo"/>
    <n v="6864"/>
    <x v="68"/>
  </r>
  <r>
    <n v="2026"/>
    <n v="2"/>
    <s v="28-02-2026"/>
    <n v="10228"/>
    <s v="2108-02"/>
    <n v="0"/>
    <n v="3511"/>
    <s v="Centralización ventas febrero 2026  #37756 - iva débito fiscal"/>
    <n v="-3511"/>
    <s v="Pasivo"/>
    <n v="3511"/>
    <x v="68"/>
  </r>
  <r>
    <n v="2026"/>
    <n v="2"/>
    <s v="28-02-2026"/>
    <n v="10229"/>
    <s v="2108-02"/>
    <n v="0"/>
    <n v="3671"/>
    <s v="Centralización ventas febrero 2026  #37757 - iva débito fiscal"/>
    <n v="-3671"/>
    <s v="Pasivo"/>
    <n v="3671"/>
    <x v="68"/>
  </r>
  <r>
    <n v="2026"/>
    <n v="2"/>
    <s v="28-02-2026"/>
    <n v="10230"/>
    <s v="2108-02"/>
    <n v="0"/>
    <n v="3511"/>
    <s v="Centralización ventas febrero 2026  #37759 - iva débito fiscal"/>
    <n v="-3511"/>
    <s v="Pasivo"/>
    <n v="3511"/>
    <x v="68"/>
  </r>
  <r>
    <n v="2026"/>
    <n v="2"/>
    <s v="28-02-2026"/>
    <n v="10231"/>
    <s v="2108-02"/>
    <n v="0"/>
    <n v="139647"/>
    <s v="Centralización ventas febrero 2026  #37760 - iva débito fiscal"/>
    <n v="-139647"/>
    <s v="Pasivo"/>
    <n v="139647"/>
    <x v="68"/>
  </r>
  <r>
    <n v="2026"/>
    <n v="2"/>
    <s v="28-02-2026"/>
    <n v="10232"/>
    <s v="2108-02"/>
    <n v="0"/>
    <n v="3990"/>
    <s v="Centralización ventas febrero 2026  #37761 - iva débito fiscal"/>
    <n v="-3990"/>
    <s v="Pasivo"/>
    <n v="3990"/>
    <x v="68"/>
  </r>
  <r>
    <n v="2026"/>
    <n v="2"/>
    <s v="28-02-2026"/>
    <n v="10233"/>
    <s v="2108-02"/>
    <n v="0"/>
    <n v="5588"/>
    <s v="Centralización ventas febrero 2026  #37762 - iva débito fiscal"/>
    <n v="-5588"/>
    <s v="Pasivo"/>
    <n v="5588"/>
    <x v="68"/>
  </r>
  <r>
    <n v="2026"/>
    <n v="2"/>
    <s v="28-02-2026"/>
    <n v="10234"/>
    <s v="2108-02"/>
    <n v="0"/>
    <n v="4629"/>
    <s v="Centralización ventas febrero 2026  #37763 - iva débito fiscal"/>
    <n v="-4629"/>
    <s v="Pasivo"/>
    <n v="4629"/>
    <x v="68"/>
  </r>
  <r>
    <n v="2026"/>
    <n v="2"/>
    <s v="28-02-2026"/>
    <n v="10235"/>
    <s v="2108-02"/>
    <n v="0"/>
    <n v="3990"/>
    <s v="Centralización ventas febrero 2026  #37764 - iva débito fiscal"/>
    <n v="-3990"/>
    <s v="Pasivo"/>
    <n v="3990"/>
    <x v="68"/>
  </r>
  <r>
    <n v="2026"/>
    <n v="2"/>
    <s v="28-02-2026"/>
    <n v="10236"/>
    <s v="2108-02"/>
    <n v="0"/>
    <n v="3511"/>
    <s v="Centralización ventas febrero 2026  #37766 - iva débito fiscal"/>
    <n v="-3511"/>
    <s v="Pasivo"/>
    <n v="3511"/>
    <x v="68"/>
  </r>
  <r>
    <n v="2026"/>
    <n v="2"/>
    <s v="28-02-2026"/>
    <n v="10237"/>
    <s v="2108-02"/>
    <n v="0"/>
    <n v="75510"/>
    <s v="Centralización ventas febrero 2026  #37767 - iva débito fiscal"/>
    <n v="-75510"/>
    <s v="Pasivo"/>
    <n v="75510"/>
    <x v="68"/>
  </r>
  <r>
    <n v="2026"/>
    <n v="2"/>
    <s v="28-02-2026"/>
    <n v="10238"/>
    <s v="2108-02"/>
    <n v="0"/>
    <n v="3990"/>
    <s v="Centralización ventas febrero 2026  #37768 - iva débito fiscal"/>
    <n v="-3990"/>
    <s v="Pasivo"/>
    <n v="3990"/>
    <x v="68"/>
  </r>
  <r>
    <n v="2026"/>
    <n v="2"/>
    <s v="28-02-2026"/>
    <n v="10239"/>
    <s v="2108-02"/>
    <n v="0"/>
    <n v="12770"/>
    <s v="Centralización ventas febrero 2026  #37769 - iva débito fiscal"/>
    <n v="-12770"/>
    <s v="Pasivo"/>
    <n v="12770"/>
    <x v="68"/>
  </r>
  <r>
    <n v="2026"/>
    <n v="2"/>
    <s v="28-02-2026"/>
    <n v="10240"/>
    <s v="2108-02"/>
    <n v="0"/>
    <n v="5587"/>
    <s v="Centralización ventas febrero 2026  #37770 - iva débito fiscal"/>
    <n v="-5587"/>
    <s v="Pasivo"/>
    <n v="5587"/>
    <x v="68"/>
  </r>
  <r>
    <n v="2026"/>
    <n v="2"/>
    <s v="28-02-2026"/>
    <n v="10241"/>
    <s v="2108-02"/>
    <n v="0"/>
    <n v="5906"/>
    <s v="Centralización ventas febrero 2026  #37771 - iva débito fiscal"/>
    <n v="-5906"/>
    <s v="Pasivo"/>
    <n v="5906"/>
    <x v="68"/>
  </r>
  <r>
    <n v="2026"/>
    <n v="2"/>
    <s v="28-02-2026"/>
    <n v="10242"/>
    <s v="2108-02"/>
    <n v="0"/>
    <n v="5587"/>
    <s v="Centralización ventas febrero 2026  #37772 - iva débito fiscal"/>
    <n v="-5587"/>
    <s v="Pasivo"/>
    <n v="5587"/>
    <x v="68"/>
  </r>
  <r>
    <n v="2026"/>
    <n v="2"/>
    <s v="28-02-2026"/>
    <n v="10243"/>
    <s v="2108-02"/>
    <n v="0"/>
    <n v="7183"/>
    <s v="Centralización ventas febrero 2026  #37773 - iva débito fiscal"/>
    <n v="-7183"/>
    <s v="Pasivo"/>
    <n v="7183"/>
    <x v="68"/>
  </r>
  <r>
    <n v="2026"/>
    <n v="2"/>
    <s v="28-02-2026"/>
    <n v="10244"/>
    <s v="2108-02"/>
    <n v="0"/>
    <n v="15102"/>
    <s v="Centralización ventas febrero 2026  #37774 - iva débito fiscal"/>
    <n v="-15102"/>
    <s v="Pasivo"/>
    <n v="15102"/>
    <x v="68"/>
  </r>
  <r>
    <n v="2026"/>
    <n v="2"/>
    <s v="28-02-2026"/>
    <n v="10245"/>
    <s v="2108-02"/>
    <n v="0"/>
    <n v="8780"/>
    <s v="Centralización ventas febrero 2026  #37775 - iva débito fiscal"/>
    <n v="-8780"/>
    <s v="Pasivo"/>
    <n v="8780"/>
    <x v="68"/>
  </r>
  <r>
    <n v="2026"/>
    <n v="2"/>
    <s v="28-02-2026"/>
    <n v="10246"/>
    <s v="2108-02"/>
    <n v="0"/>
    <n v="11111"/>
    <s v="Centralización ventas febrero 2026  #37776 - iva débito fiscal"/>
    <n v="-11111"/>
    <s v="Pasivo"/>
    <n v="11111"/>
    <x v="68"/>
  </r>
  <r>
    <n v="2026"/>
    <n v="2"/>
    <s v="28-02-2026"/>
    <n v="10247"/>
    <s v="2108-02"/>
    <n v="0"/>
    <n v="380000"/>
    <s v="Centralización ventas febrero 2026  #37777 - iva débito fiscal"/>
    <n v="-380000"/>
    <s v="Pasivo"/>
    <n v="380000"/>
    <x v="68"/>
  </r>
  <r>
    <n v="2026"/>
    <n v="2"/>
    <s v="28-02-2026"/>
    <n v="10248"/>
    <s v="2108-02"/>
    <n v="0"/>
    <n v="5425"/>
    <s v="Centralización ventas febrero 2026  #37778 - iva débito fiscal"/>
    <n v="-5425"/>
    <s v="Pasivo"/>
    <n v="5425"/>
    <x v="68"/>
  </r>
  <r>
    <n v="2026"/>
    <n v="2"/>
    <s v="28-02-2026"/>
    <n v="10249"/>
    <s v="2108-02"/>
    <n v="0"/>
    <n v="6385"/>
    <s v="Centralización ventas febrero 2026  #37779 - iva débito fiscal"/>
    <n v="-6385"/>
    <s v="Pasivo"/>
    <n v="6385"/>
    <x v="68"/>
  </r>
  <r>
    <n v="2026"/>
    <n v="2"/>
    <s v="28-02-2026"/>
    <n v="10250"/>
    <s v="2108-02"/>
    <n v="0"/>
    <n v="7983"/>
    <s v="Centralización ventas febrero 2026  #37780 - iva débito fiscal"/>
    <n v="-7983"/>
    <s v="Pasivo"/>
    <n v="7983"/>
    <x v="68"/>
  </r>
  <r>
    <n v="2026"/>
    <n v="2"/>
    <s v="28-02-2026"/>
    <n v="10251"/>
    <s v="2108-02"/>
    <n v="0"/>
    <n v="7983"/>
    <s v="Centralización ventas febrero 2026  #37781 - iva débito fiscal"/>
    <n v="-7983"/>
    <s v="Pasivo"/>
    <n v="7983"/>
    <x v="68"/>
  </r>
  <r>
    <n v="2026"/>
    <n v="2"/>
    <s v="28-02-2026"/>
    <n v="10252"/>
    <s v="2108-02"/>
    <n v="0"/>
    <n v="9730"/>
    <s v="Centralización ventas febrero 2026  #37782 - iva débito fiscal"/>
    <n v="-9730"/>
    <s v="Pasivo"/>
    <n v="9730"/>
    <x v="68"/>
  </r>
  <r>
    <n v="2026"/>
    <n v="2"/>
    <s v="28-02-2026"/>
    <n v="10253"/>
    <s v="2108-02"/>
    <n v="0"/>
    <n v="4629"/>
    <s v="Centralización ventas febrero 2026  #37783 - iva débito fiscal"/>
    <n v="-4629"/>
    <s v="Pasivo"/>
    <n v="4629"/>
    <x v="68"/>
  </r>
  <r>
    <n v="2026"/>
    <n v="2"/>
    <s v="28-02-2026"/>
    <n v="10254"/>
    <s v="2108-02"/>
    <n v="0"/>
    <n v="18122"/>
    <s v="Centralización ventas febrero 2026  #37784 - iva débito fiscal"/>
    <n v="-18122"/>
    <s v="Pasivo"/>
    <n v="18122"/>
    <x v="68"/>
  </r>
  <r>
    <n v="2026"/>
    <n v="2"/>
    <s v="28-02-2026"/>
    <n v="10255"/>
    <s v="2108-02"/>
    <n v="0"/>
    <n v="15857"/>
    <s v="Centralización ventas febrero 2026  #37785 - iva débito fiscal"/>
    <n v="-15857"/>
    <s v="Pasivo"/>
    <n v="15857"/>
    <x v="68"/>
  </r>
  <r>
    <n v="2026"/>
    <n v="2"/>
    <s v="28-02-2026"/>
    <n v="10256"/>
    <s v="2108-02"/>
    <n v="0"/>
    <n v="37755"/>
    <s v="Centralización ventas febrero 2026  #37786 - iva débito fiscal"/>
    <n v="-37755"/>
    <s v="Pasivo"/>
    <n v="37755"/>
    <x v="68"/>
  </r>
  <r>
    <n v="2026"/>
    <n v="2"/>
    <s v="28-02-2026"/>
    <n v="10257"/>
    <s v="2108-02"/>
    <n v="0"/>
    <n v="27913"/>
    <s v="Centralización ventas febrero 2026  #37787 - iva débito fiscal"/>
    <n v="-27913"/>
    <s v="Pasivo"/>
    <n v="27913"/>
    <x v="68"/>
  </r>
  <r>
    <n v="2026"/>
    <n v="2"/>
    <s v="28-02-2026"/>
    <n v="10258"/>
    <s v="2108-02"/>
    <n v="0"/>
    <n v="35045"/>
    <s v="Centralización ventas febrero 2026  #37788 - iva débito fiscal"/>
    <n v="-35045"/>
    <s v="Pasivo"/>
    <n v="35045"/>
    <x v="68"/>
  </r>
  <r>
    <n v="2026"/>
    <n v="2"/>
    <s v="28-02-2026"/>
    <n v="10259"/>
    <s v="2108-02"/>
    <n v="0"/>
    <n v="67959"/>
    <s v="Centralización ventas febrero 2026  #37792 - iva débito fiscal"/>
    <n v="-67959"/>
    <s v="Pasivo"/>
    <n v="67959"/>
    <x v="68"/>
  </r>
  <r>
    <n v="2026"/>
    <n v="2"/>
    <s v="28-02-2026"/>
    <n v="10260"/>
    <s v="2108-02"/>
    <n v="0"/>
    <n v="3990"/>
    <s v="Centralización ventas febrero 2026  #37793 - iva débito fiscal"/>
    <n v="-3990"/>
    <s v="Pasivo"/>
    <n v="3990"/>
    <x v="68"/>
  </r>
  <r>
    <n v="2026"/>
    <n v="2"/>
    <s v="28-02-2026"/>
    <n v="10261"/>
    <s v="2108-02"/>
    <n v="0"/>
    <n v="6385"/>
    <s v="Centralización ventas febrero 2026  #37794 - iva débito fiscal"/>
    <n v="-6385"/>
    <s v="Pasivo"/>
    <n v="6385"/>
    <x v="68"/>
  </r>
  <r>
    <n v="2026"/>
    <n v="2"/>
    <s v="28-02-2026"/>
    <n v="10262"/>
    <s v="2108-02"/>
    <n v="0"/>
    <n v="4790"/>
    <s v="Centralización ventas febrero 2026  #37811 - iva débito fiscal"/>
    <n v="-4790"/>
    <s v="Pasivo"/>
    <n v="4790"/>
    <x v="68"/>
  </r>
  <r>
    <n v="2026"/>
    <n v="2"/>
    <s v="28-02-2026"/>
    <n v="10263"/>
    <s v="2108-02"/>
    <n v="0"/>
    <n v="4790"/>
    <s v="Centralización ventas febrero 2026  #37812 - iva débito fiscal"/>
    <n v="-4790"/>
    <s v="Pasivo"/>
    <n v="4790"/>
    <x v="68"/>
  </r>
  <r>
    <n v="2026"/>
    <n v="2"/>
    <s v="28-02-2026"/>
    <n v="10264"/>
    <s v="2108-02"/>
    <n v="0"/>
    <n v="7664"/>
    <s v="Centralización ventas febrero 2026  #37827 - iva débito fiscal"/>
    <n v="-7664"/>
    <s v="Pasivo"/>
    <n v="7664"/>
    <x v="68"/>
  </r>
  <r>
    <n v="2026"/>
    <n v="2"/>
    <s v="28-02-2026"/>
    <n v="10265"/>
    <s v="2108-02"/>
    <n v="0"/>
    <n v="3192"/>
    <s v="Centralización ventas febrero 2026  #37842 - iva débito fiscal"/>
    <n v="-3192"/>
    <s v="Pasivo"/>
    <n v="3192"/>
    <x v="68"/>
  </r>
  <r>
    <n v="2026"/>
    <n v="2"/>
    <s v="28-02-2026"/>
    <n v="10266"/>
    <s v="2108-02"/>
    <n v="0"/>
    <n v="22350"/>
    <s v="Centralización ventas febrero 2026  #37884 - iva débito fiscal"/>
    <n v="-22350"/>
    <s v="Pasivo"/>
    <n v="22350"/>
    <x v="68"/>
  </r>
  <r>
    <n v="2026"/>
    <n v="2"/>
    <s v="28-02-2026"/>
    <n v="10267"/>
    <s v="2108-02"/>
    <n v="0"/>
    <n v="89512"/>
    <s v="Centralización ventas febrero 2026  #37885 - iva débito fiscal"/>
    <n v="-89512"/>
    <s v="Pasivo"/>
    <n v="89512"/>
    <x v="68"/>
  </r>
  <r>
    <n v="2026"/>
    <n v="2"/>
    <s v="28-02-2026"/>
    <n v="10268"/>
    <s v="2108-02"/>
    <n v="0"/>
    <n v="35903"/>
    <s v="Centralización ventas febrero 2026  #37886 - iva débito fiscal"/>
    <n v="-35903"/>
    <s v="Pasivo"/>
    <n v="35903"/>
    <x v="68"/>
  </r>
  <r>
    <n v="2026"/>
    <n v="2"/>
    <s v="28-02-2026"/>
    <n v="10269"/>
    <s v="2108-02"/>
    <n v="0"/>
    <n v="6706"/>
    <s v="Centralización ventas febrero 2026  #37896 - iva débito fiscal"/>
    <n v="-6706"/>
    <s v="Pasivo"/>
    <n v="6706"/>
    <x v="68"/>
  </r>
  <r>
    <n v="2026"/>
    <n v="2"/>
    <s v="28-02-2026"/>
    <n v="10270"/>
    <s v="2108-02"/>
    <n v="0"/>
    <n v="2393"/>
    <s v="Centralización ventas febrero 2026  #37929 - iva débito fiscal"/>
    <n v="-2393"/>
    <s v="Pasivo"/>
    <n v="2393"/>
    <x v="68"/>
  </r>
  <r>
    <n v="2026"/>
    <n v="2"/>
    <s v="28-02-2026"/>
    <n v="10271"/>
    <s v="2108-02"/>
    <n v="0"/>
    <n v="323852"/>
    <s v="Centralización ventas febrero 2026  #37947 - iva débito fiscal"/>
    <n v="-323852"/>
    <s v="Pasivo"/>
    <n v="323852"/>
    <x v="68"/>
  </r>
  <r>
    <n v="2026"/>
    <n v="2"/>
    <s v="28-02-2026"/>
    <n v="10272"/>
    <s v="2108-02"/>
    <n v="0"/>
    <n v="25695"/>
    <s v="Centralización ventas febrero 2026  #37948 - iva débito fiscal"/>
    <n v="-25695"/>
    <s v="Pasivo"/>
    <n v="25695"/>
    <x v="68"/>
  </r>
  <r>
    <n v="2026"/>
    <n v="2"/>
    <s v="28-02-2026"/>
    <n v="10273"/>
    <s v="2108-02"/>
    <n v="0"/>
    <n v="21280"/>
    <s v="Centralización ventas febrero 2026  #37949 - iva débito fiscal"/>
    <n v="-21280"/>
    <s v="Pasivo"/>
    <n v="21280"/>
    <x v="68"/>
  </r>
  <r>
    <n v="2026"/>
    <n v="2"/>
    <s v="28-02-2026"/>
    <n v="10274"/>
    <s v="2108-02"/>
    <n v="0"/>
    <n v="11651"/>
    <s v="Centralización ventas febrero 2026  #37951 - iva débito fiscal"/>
    <n v="-11651"/>
    <s v="Pasivo"/>
    <n v="11651"/>
    <x v="68"/>
  </r>
  <r>
    <n v="2026"/>
    <n v="2"/>
    <s v="28-02-2026"/>
    <n v="10275"/>
    <s v="2108-02"/>
    <n v="0"/>
    <n v="5906"/>
    <s v="Centralización ventas febrero 2026  #37954 - iva débito fiscal"/>
    <n v="-5906"/>
    <s v="Pasivo"/>
    <n v="5906"/>
    <x v="68"/>
  </r>
  <r>
    <n v="2026"/>
    <n v="2"/>
    <s v="28-02-2026"/>
    <n v="10276"/>
    <s v="2108-02"/>
    <n v="0"/>
    <n v="5906"/>
    <s v="Centralización ventas febrero 2026  #37955 - iva débito fiscal"/>
    <n v="-5906"/>
    <s v="Pasivo"/>
    <n v="5906"/>
    <x v="68"/>
  </r>
  <r>
    <n v="2026"/>
    <n v="2"/>
    <s v="28-02-2026"/>
    <n v="10277"/>
    <s v="2108-02"/>
    <n v="0"/>
    <n v="6225"/>
    <s v="Centralización ventas febrero 2026  #37956 - iva débito fiscal"/>
    <n v="-6225"/>
    <s v="Pasivo"/>
    <n v="6225"/>
    <x v="68"/>
  </r>
  <r>
    <n v="2026"/>
    <n v="2"/>
    <s v="28-02-2026"/>
    <n v="10278"/>
    <s v="2108-02"/>
    <n v="0"/>
    <n v="5108"/>
    <s v="Centralización ventas febrero 2026  #37957 - iva débito fiscal"/>
    <n v="-5108"/>
    <s v="Pasivo"/>
    <n v="5108"/>
    <x v="68"/>
  </r>
  <r>
    <n v="2026"/>
    <n v="2"/>
    <s v="28-02-2026"/>
    <n v="10279"/>
    <s v="2108-02"/>
    <n v="0"/>
    <n v="3511"/>
    <s v="Centralización ventas febrero 2026  #37958 - iva débito fiscal"/>
    <n v="-3511"/>
    <s v="Pasivo"/>
    <n v="3511"/>
    <x v="68"/>
  </r>
  <r>
    <n v="2026"/>
    <n v="2"/>
    <s v="28-02-2026"/>
    <n v="10280"/>
    <s v="2108-02"/>
    <n v="0"/>
    <n v="5267"/>
    <s v="Centralización ventas febrero 2026  #37960 - iva débito fiscal"/>
    <n v="-5267"/>
    <s v="Pasivo"/>
    <n v="5267"/>
    <x v="68"/>
  </r>
  <r>
    <n v="2026"/>
    <n v="2"/>
    <s v="28-02-2026"/>
    <n v="10281"/>
    <s v="2108-02"/>
    <n v="0"/>
    <n v="8780"/>
    <s v="Centralización ventas febrero 2026  #37961 - iva débito fiscal"/>
    <n v="-8780"/>
    <s v="Pasivo"/>
    <n v="8780"/>
    <x v="68"/>
  </r>
  <r>
    <n v="2026"/>
    <n v="2"/>
    <s v="28-02-2026"/>
    <n v="10282"/>
    <s v="2108-02"/>
    <n v="1595"/>
    <n v="0"/>
    <s v="Centralización ventas febrero 2026  #4464 - iva débito fiscal"/>
    <n v="1595"/>
    <s v="Pasivo"/>
    <n v="-1595"/>
    <x v="68"/>
  </r>
  <r>
    <n v="2026"/>
    <n v="2"/>
    <s v="28-02-2026"/>
    <n v="10283"/>
    <s v="2108-02"/>
    <n v="1595"/>
    <n v="0"/>
    <s v="Centralización ventas febrero 2026  #4465 - iva débito fiscal"/>
    <n v="1595"/>
    <s v="Pasivo"/>
    <n v="-1595"/>
    <x v="68"/>
  </r>
  <r>
    <n v="2026"/>
    <n v="2"/>
    <s v="28-02-2026"/>
    <n v="10284"/>
    <s v="2108-02"/>
    <n v="1595"/>
    <n v="0"/>
    <s v="Centralización ventas febrero 2026  #4466 - iva débito fiscal"/>
    <n v="1595"/>
    <s v="Pasivo"/>
    <n v="-1595"/>
    <x v="68"/>
  </r>
  <r>
    <n v="2026"/>
    <n v="2"/>
    <s v="28-02-2026"/>
    <n v="10285"/>
    <s v="2108-02"/>
    <n v="6385"/>
    <n v="0"/>
    <s v="Centralización ventas febrero 2026  #4467 - iva débito fiscal"/>
    <n v="6385"/>
    <s v="Pasivo"/>
    <n v="-6385"/>
    <x v="68"/>
  </r>
  <r>
    <n v="2026"/>
    <n v="2"/>
    <s v="28-02-2026"/>
    <n v="10286"/>
    <s v="2108-02"/>
    <n v="6385"/>
    <n v="0"/>
    <s v="Centralización ventas febrero 2026  #4468 - iva débito fiscal"/>
    <n v="6385"/>
    <s v="Pasivo"/>
    <n v="-6385"/>
    <x v="68"/>
  </r>
  <r>
    <n v="2026"/>
    <n v="2"/>
    <s v="28-02-2026"/>
    <n v="10287"/>
    <s v="2108-02"/>
    <n v="720"/>
    <n v="0"/>
    <s v="Centralización ventas febrero 2026  #4469 - iva débito fiscal"/>
    <n v="720"/>
    <s v="Pasivo"/>
    <n v="-720"/>
    <x v="68"/>
  </r>
  <r>
    <n v="2026"/>
    <n v="2"/>
    <s v="28-02-2026"/>
    <n v="10288"/>
    <s v="2108-02"/>
    <n v="6225"/>
    <n v="0"/>
    <s v="Centralización ventas febrero 2026  #4470 - iva débito fiscal"/>
    <n v="6225"/>
    <s v="Pasivo"/>
    <n v="-6225"/>
    <x v="68"/>
  </r>
  <r>
    <n v="2026"/>
    <n v="2"/>
    <s v="28-02-2026"/>
    <n v="10289"/>
    <s v="2108-02"/>
    <n v="3511"/>
    <n v="0"/>
    <s v="Centralización ventas febrero 2026  #4471 - iva débito fiscal"/>
    <n v="3511"/>
    <s v="Pasivo"/>
    <n v="-3511"/>
    <x v="68"/>
  </r>
  <r>
    <n v="2026"/>
    <n v="2"/>
    <s v="28-02-2026"/>
    <n v="10290"/>
    <s v="2108-02"/>
    <n v="6385"/>
    <n v="0"/>
    <s v="Centralización ventas febrero 2026  #4473 - iva débito fiscal"/>
    <n v="6385"/>
    <s v="Pasivo"/>
    <n v="-6385"/>
    <x v="68"/>
  </r>
  <r>
    <n v="2026"/>
    <n v="2"/>
    <s v="28-02-2026"/>
    <n v="10291"/>
    <s v="2108-02"/>
    <n v="7024"/>
    <n v="0"/>
    <s v="Centralización ventas febrero 2026  #4474 - iva débito fiscal"/>
    <n v="7024"/>
    <s v="Pasivo"/>
    <n v="-7024"/>
    <x v="68"/>
  </r>
  <r>
    <n v="2026"/>
    <n v="2"/>
    <s v="28-02-2026"/>
    <n v="10292"/>
    <s v="2108-02"/>
    <n v="4351"/>
    <n v="0"/>
    <s v="Centralización ventas febrero 2026  #4475 - iva débito fiscal"/>
    <n v="4351"/>
    <s v="Pasivo"/>
    <n v="-4351"/>
    <x v="68"/>
  </r>
  <r>
    <n v="2026"/>
    <n v="2"/>
    <s v="28-02-2026"/>
    <n v="10293"/>
    <s v="2108-02"/>
    <n v="3031"/>
    <n v="0"/>
    <s v="Centralización ventas febrero 2026  #4476 - iva débito fiscal"/>
    <n v="3031"/>
    <s v="Pasivo"/>
    <n v="-3031"/>
    <x v="68"/>
  </r>
  <r>
    <n v="2026"/>
    <n v="2"/>
    <s v="28-02-2026"/>
    <n v="10294"/>
    <s v="2108-02"/>
    <n v="3669"/>
    <n v="0"/>
    <s v="Centralización ventas febrero 2026  #4477 - iva débito fiscal"/>
    <n v="3669"/>
    <s v="Pasivo"/>
    <n v="-3669"/>
    <x v="68"/>
  </r>
  <r>
    <n v="2026"/>
    <n v="2"/>
    <s v="28-02-2026"/>
    <n v="10295"/>
    <s v="2108-02"/>
    <n v="3669"/>
    <n v="0"/>
    <s v="Centralización ventas febrero 2026  #4478 - iva débito fiscal"/>
    <n v="3669"/>
    <s v="Pasivo"/>
    <n v="-3669"/>
    <x v="68"/>
  </r>
  <r>
    <n v="2026"/>
    <n v="2"/>
    <s v="28-02-2026"/>
    <n v="10296"/>
    <s v="2108-02"/>
    <n v="9580"/>
    <n v="0"/>
    <s v="Centralización ventas febrero 2026  #4480 - iva débito fiscal"/>
    <n v="9580"/>
    <s v="Pasivo"/>
    <n v="-9580"/>
    <x v="68"/>
  </r>
  <r>
    <n v="2026"/>
    <n v="2"/>
    <s v="28-02-2026"/>
    <n v="10297"/>
    <s v="2108-02"/>
    <n v="3829"/>
    <n v="0"/>
    <s v="Centralización ventas febrero 2026  #4481 - iva débito fiscal"/>
    <n v="3829"/>
    <s v="Pasivo"/>
    <n v="-3829"/>
    <x v="68"/>
  </r>
  <r>
    <n v="2026"/>
    <n v="2"/>
    <s v="28-02-2026"/>
    <n v="10298"/>
    <s v="2108-02"/>
    <n v="3829"/>
    <n v="0"/>
    <s v="Centralización ventas febrero 2026  #4482 - iva débito fiscal"/>
    <n v="3829"/>
    <s v="Pasivo"/>
    <n v="-3829"/>
    <x v="68"/>
  </r>
  <r>
    <n v="2026"/>
    <n v="2"/>
    <s v="28-02-2026"/>
    <n v="10299"/>
    <s v="2108-02"/>
    <n v="15965"/>
    <n v="0"/>
    <s v="Centralización ventas febrero 2026  #4483 - iva débito fiscal"/>
    <n v="15965"/>
    <s v="Pasivo"/>
    <n v="-15965"/>
    <x v="68"/>
  </r>
  <r>
    <n v="2026"/>
    <n v="2"/>
    <s v="28-02-2026"/>
    <n v="10300"/>
    <s v="2108-02"/>
    <n v="3669"/>
    <n v="0"/>
    <s v="Centralización ventas febrero 2026  #4484 - iva débito fiscal"/>
    <n v="3669"/>
    <s v="Pasivo"/>
    <n v="-3669"/>
    <x v="68"/>
  </r>
  <r>
    <n v="2026"/>
    <n v="2"/>
    <s v="28-02-2026"/>
    <n v="10301"/>
    <s v="2108-02"/>
    <n v="3669"/>
    <n v="0"/>
    <s v="Centralización ventas febrero 2026  #4485 - iva débito fiscal"/>
    <n v="3669"/>
    <s v="Pasivo"/>
    <n v="-3669"/>
    <x v="68"/>
  </r>
  <r>
    <n v="2026"/>
    <n v="2"/>
    <s v="28-02-2026"/>
    <n v="10302"/>
    <s v="2108-02"/>
    <n v="3669"/>
    <n v="0"/>
    <s v="Centralización ventas febrero 2026  #4486 - iva débito fiscal"/>
    <n v="3669"/>
    <s v="Pasivo"/>
    <n v="-3669"/>
    <x v="68"/>
  </r>
  <r>
    <n v="2026"/>
    <n v="2"/>
    <s v="28-02-2026"/>
    <n v="10303"/>
    <s v="2108-02"/>
    <n v="6385"/>
    <n v="0"/>
    <s v="Centralización ventas febrero 2026  #4487 - iva débito fiscal"/>
    <n v="6385"/>
    <s v="Pasivo"/>
    <n v="-6385"/>
    <x v="68"/>
  </r>
  <r>
    <n v="2026"/>
    <n v="2"/>
    <s v="28-02-2026"/>
    <n v="10304"/>
    <s v="2108-02"/>
    <n v="6385"/>
    <n v="0"/>
    <s v="Centralización ventas febrero 2026  #4488 - iva débito fiscal"/>
    <n v="6385"/>
    <s v="Pasivo"/>
    <n v="-6385"/>
    <x v="68"/>
  </r>
  <r>
    <n v="2026"/>
    <n v="2"/>
    <s v="28-02-2026"/>
    <n v="10305"/>
    <s v="2108-02"/>
    <n v="6385"/>
    <n v="0"/>
    <s v="Centralización ventas febrero 2026  #4489 - iva débito fiscal"/>
    <n v="6385"/>
    <s v="Pasivo"/>
    <n v="-6385"/>
    <x v="68"/>
  </r>
  <r>
    <n v="2026"/>
    <n v="2"/>
    <s v="28-02-2026"/>
    <n v="10306"/>
    <s v="2108-02"/>
    <n v="5424"/>
    <n v="0"/>
    <s v="Centralización ventas febrero 2026  #4490 - iva débito fiscal"/>
    <n v="5424"/>
    <s v="Pasivo"/>
    <n v="-5424"/>
    <x v="68"/>
  </r>
  <r>
    <n v="2026"/>
    <n v="2"/>
    <s v="28-02-2026"/>
    <n v="10307"/>
    <s v="2108-02"/>
    <n v="79477"/>
    <n v="0"/>
    <s v="Centralización ventas febrero 2026  #4491 - iva débito fiscal"/>
    <n v="79477"/>
    <s v="Pasivo"/>
    <n v="-79477"/>
    <x v="68"/>
  </r>
  <r>
    <n v="2026"/>
    <n v="2"/>
    <s v="28-02-2026"/>
    <n v="10308"/>
    <s v="2108-02"/>
    <n v="3988"/>
    <n v="0"/>
    <s v="Centralización ventas febrero 2026  #4492 - iva débito fiscal"/>
    <n v="3988"/>
    <s v="Pasivo"/>
    <n v="-3988"/>
    <x v="68"/>
  </r>
  <r>
    <n v="2026"/>
    <n v="2"/>
    <s v="28-02-2026"/>
    <n v="10309"/>
    <s v="2108-02"/>
    <n v="2393"/>
    <n v="0"/>
    <s v="Centralización ventas febrero 2026  #4493 - iva débito fiscal"/>
    <n v="2393"/>
    <s v="Pasivo"/>
    <n v="-2393"/>
    <x v="68"/>
  </r>
  <r>
    <n v="2026"/>
    <n v="2"/>
    <s v="28-02-2026"/>
    <n v="10310"/>
    <s v="2108-02"/>
    <n v="6222"/>
    <n v="0"/>
    <s v="Centralización ventas febrero 2026  #4494 - iva débito fiscal"/>
    <n v="6222"/>
    <s v="Pasivo"/>
    <n v="-6222"/>
    <x v="68"/>
  </r>
  <r>
    <n v="2026"/>
    <n v="2"/>
    <s v="28-02-2026"/>
    <n v="10311"/>
    <s v="2108-02"/>
    <n v="3990"/>
    <n v="0"/>
    <s v="Centralización ventas febrero 2026  #4495 - iva débito fiscal"/>
    <n v="3990"/>
    <s v="Pasivo"/>
    <n v="-3990"/>
    <x v="68"/>
  </r>
  <r>
    <n v="2026"/>
    <n v="2"/>
    <s v="28-02-2026"/>
    <n v="10312"/>
    <s v="2108-02"/>
    <n v="6385"/>
    <n v="0"/>
    <s v="Centralización ventas febrero 2026  #4496 - iva débito fiscal"/>
    <n v="6385"/>
    <s v="Pasivo"/>
    <n v="-6385"/>
    <x v="68"/>
  </r>
  <r>
    <n v="2026"/>
    <n v="2"/>
    <s v="28-02-2026"/>
    <n v="10313"/>
    <s v="2108-02"/>
    <n v="4790"/>
    <n v="0"/>
    <s v="Centralización ventas febrero 2026  #4497 - iva débito fiscal"/>
    <n v="4790"/>
    <s v="Pasivo"/>
    <n v="-4790"/>
    <x v="68"/>
  </r>
  <r>
    <n v="2026"/>
    <n v="2"/>
    <s v="28-02-2026"/>
    <n v="10314"/>
    <s v="2108-02"/>
    <n v="4471"/>
    <n v="0"/>
    <s v="Centralización ventas febrero 2026  #4498 - iva débito fiscal"/>
    <n v="4471"/>
    <s v="Pasivo"/>
    <n v="-4471"/>
    <x v="68"/>
  </r>
  <r>
    <n v="2026"/>
    <n v="2"/>
    <s v="28-02-2026"/>
    <n v="10315"/>
    <s v="2108-02"/>
    <n v="6399"/>
    <n v="0"/>
    <s v="Centralización ventas febrero 2026  #4499 - iva débito fiscal"/>
    <n v="6399"/>
    <s v="Pasivo"/>
    <n v="-6399"/>
    <x v="68"/>
  </r>
  <r>
    <n v="2026"/>
    <n v="2"/>
    <s v="28-02-2026"/>
    <n v="10316"/>
    <s v="2108-02"/>
    <n v="4790"/>
    <n v="0"/>
    <s v="Centralización ventas febrero 2026  #4500 - iva débito fiscal"/>
    <n v="4790"/>
    <s v="Pasivo"/>
    <n v="-4790"/>
    <x v="68"/>
  </r>
  <r>
    <n v="2026"/>
    <n v="2"/>
    <s v="28-02-2026"/>
    <n v="10317"/>
    <s v="2108-02"/>
    <n v="3669"/>
    <n v="0"/>
    <s v="Centralización ventas febrero 2026  #4502 - iva débito fiscal"/>
    <n v="3669"/>
    <s v="Pasivo"/>
    <n v="-3669"/>
    <x v="68"/>
  </r>
  <r>
    <n v="2026"/>
    <n v="2"/>
    <s v="28-02-2026"/>
    <n v="10318"/>
    <s v="2108-02"/>
    <n v="6387"/>
    <n v="0"/>
    <s v="Centralización ventas febrero 2026  #4503 - iva débito fiscal"/>
    <n v="6387"/>
    <s v="Pasivo"/>
    <n v="-6387"/>
    <x v="68"/>
  </r>
  <r>
    <n v="2026"/>
    <n v="2"/>
    <s v="28-02-2026"/>
    <n v="10319"/>
    <s v="2108-02"/>
    <n v="19635"/>
    <n v="0"/>
    <s v="Centralización ventas febrero 2026  #4504 - iva débito fiscal"/>
    <n v="19635"/>
    <s v="Pasivo"/>
    <n v="-19635"/>
    <x v="68"/>
  </r>
  <r>
    <n v="2026"/>
    <n v="2"/>
    <s v="28-02-2026"/>
    <n v="10320"/>
    <s v="2108-02"/>
    <n v="2393"/>
    <n v="0"/>
    <s v="Centralización ventas febrero 2026  #4505 - iva débito fiscal"/>
    <n v="2393"/>
    <s v="Pasivo"/>
    <n v="-2393"/>
    <x v="68"/>
  </r>
  <r>
    <n v="2026"/>
    <n v="2"/>
    <s v="28-02-2026"/>
    <n v="10321"/>
    <s v="2108-02"/>
    <n v="8622"/>
    <n v="0"/>
    <s v="Centralización ventas febrero 2026  #4506 - iva débito fiscal"/>
    <n v="8622"/>
    <s v="Pasivo"/>
    <n v="-8622"/>
    <x v="68"/>
  </r>
  <r>
    <n v="2026"/>
    <n v="2"/>
    <s v="28-02-2026"/>
    <n v="10322"/>
    <s v="2108-02"/>
    <n v="2872"/>
    <n v="0"/>
    <s v="Centralización ventas febrero 2026  #4507 - iva débito fiscal"/>
    <n v="2872"/>
    <s v="Pasivo"/>
    <n v="-2872"/>
    <x v="68"/>
  </r>
  <r>
    <n v="2026"/>
    <n v="2"/>
    <s v="28-02-2026"/>
    <n v="10323"/>
    <s v="2108-02"/>
    <n v="3669"/>
    <n v="0"/>
    <s v="Centralización ventas febrero 2026  #4508 - iva débito fiscal"/>
    <n v="3669"/>
    <s v="Pasivo"/>
    <n v="-3669"/>
    <x v="68"/>
  </r>
  <r>
    <n v="2026"/>
    <n v="2"/>
    <s v="28-02-2026"/>
    <n v="10324"/>
    <s v="2108-02"/>
    <n v="8143"/>
    <n v="0"/>
    <s v="Centralización ventas febrero 2026  #4509 - iva débito fiscal"/>
    <n v="8143"/>
    <s v="Pasivo"/>
    <n v="-8143"/>
    <x v="68"/>
  </r>
  <r>
    <n v="2026"/>
    <n v="2"/>
    <s v="28-02-2026"/>
    <n v="10325"/>
    <s v="2108-02"/>
    <n v="6698"/>
    <n v="0"/>
    <s v="Centralización ventas febrero 2026  #4511 - iva débito fiscal"/>
    <n v="6698"/>
    <s v="Pasivo"/>
    <n v="-6698"/>
    <x v="68"/>
  </r>
  <r>
    <n v="2026"/>
    <n v="2"/>
    <s v="28-02-2026"/>
    <n v="10326"/>
    <s v="2108-02"/>
    <n v="5427"/>
    <n v="0"/>
    <s v="Centralización ventas febrero 2026  #4512 - iva débito fiscal"/>
    <n v="5427"/>
    <s v="Pasivo"/>
    <n v="-5427"/>
    <x v="68"/>
  </r>
  <r>
    <n v="2026"/>
    <n v="2"/>
    <s v="28-02-2026"/>
    <n v="10327"/>
    <s v="2108-02"/>
    <n v="6387"/>
    <n v="0"/>
    <s v="Centralización ventas febrero 2026  #4513 - iva débito fiscal"/>
    <n v="6387"/>
    <s v="Pasivo"/>
    <n v="-6387"/>
    <x v="68"/>
  </r>
  <r>
    <n v="2026"/>
    <n v="2"/>
    <s v="28-02-2026"/>
    <n v="10328"/>
    <s v="2108-02"/>
    <n v="6387"/>
    <n v="0"/>
    <s v="Centralización ventas febrero 2026  #4514 - iva débito fiscal"/>
    <n v="6387"/>
    <s v="Pasivo"/>
    <n v="-6387"/>
    <x v="68"/>
  </r>
  <r>
    <n v="2026"/>
    <n v="2"/>
    <s v="28-02-2026"/>
    <n v="10329"/>
    <s v="2108-02"/>
    <n v="3739"/>
    <n v="0"/>
    <s v="Centralización ventas febrero 2026  #4515 - iva débito fiscal"/>
    <n v="3739"/>
    <s v="Pasivo"/>
    <n v="-3739"/>
    <x v="68"/>
  </r>
  <r>
    <n v="2026"/>
    <n v="2"/>
    <s v="28-02-2026"/>
    <n v="10330"/>
    <s v="2108-02"/>
    <n v="4790"/>
    <n v="0"/>
    <s v="Centralización ventas febrero 2026  #4516 - iva débito fiscal"/>
    <n v="4790"/>
    <s v="Pasivo"/>
    <n v="-4790"/>
    <x v="68"/>
  </r>
  <r>
    <n v="2026"/>
    <n v="2"/>
    <s v="28-02-2026"/>
    <n v="10331"/>
    <s v="2108-02"/>
    <n v="1516"/>
    <n v="0"/>
    <s v="Centralización ventas febrero 2026  #4517 - iva débito fiscal"/>
    <n v="1516"/>
    <s v="Pasivo"/>
    <n v="-1516"/>
    <x v="68"/>
  </r>
  <r>
    <n v="2026"/>
    <n v="2"/>
    <s v="28-02-2026"/>
    <n v="10332"/>
    <s v="2108-02"/>
    <n v="3112"/>
    <n v="0"/>
    <s v="Centralización ventas febrero 2026  #4518 - iva débito fiscal"/>
    <n v="3112"/>
    <s v="Pasivo"/>
    <n v="-3112"/>
    <x v="68"/>
  </r>
  <r>
    <n v="2026"/>
    <n v="2"/>
    <s v="28-02-2026"/>
    <n v="10333"/>
    <s v="2108-02"/>
    <n v="3669"/>
    <n v="0"/>
    <s v="Centralización ventas febrero 2026  #4519 - iva débito fiscal"/>
    <n v="3669"/>
    <s v="Pasivo"/>
    <n v="-3669"/>
    <x v="68"/>
  </r>
  <r>
    <n v="2026"/>
    <n v="2"/>
    <s v="28-02-2026"/>
    <n v="10334"/>
    <s v="2108-02"/>
    <n v="5585"/>
    <n v="0"/>
    <s v="Centralización ventas febrero 2026  #4521 - iva débito fiscal"/>
    <n v="5585"/>
    <s v="Pasivo"/>
    <n v="-5585"/>
    <x v="68"/>
  </r>
  <r>
    <n v="2026"/>
    <n v="2"/>
    <s v="28-02-2026"/>
    <n v="10335"/>
    <s v="2108-02"/>
    <n v="4788"/>
    <n v="0"/>
    <s v="Centralización ventas febrero 2026  #4522 - iva débito fiscal"/>
    <n v="4788"/>
    <s v="Pasivo"/>
    <n v="-4788"/>
    <x v="68"/>
  </r>
  <r>
    <n v="2026"/>
    <n v="2"/>
    <s v="28-02-2026"/>
    <n v="10336"/>
    <s v="2108-02"/>
    <n v="2393"/>
    <n v="0"/>
    <s v="Centralización ventas febrero 2026  #4523 - iva débito fiscal"/>
    <n v="2393"/>
    <s v="Pasivo"/>
    <n v="-2393"/>
    <x v="68"/>
  </r>
  <r>
    <n v="2026"/>
    <n v="2"/>
    <s v="28-02-2026"/>
    <n v="10337"/>
    <s v="2108-02"/>
    <n v="3990"/>
    <n v="0"/>
    <s v="Centralización ventas febrero 2026  #4524 - iva débito fiscal"/>
    <n v="3990"/>
    <s v="Pasivo"/>
    <n v="-3990"/>
    <x v="68"/>
  </r>
  <r>
    <n v="2026"/>
    <n v="2"/>
    <s v="28-02-2026"/>
    <n v="10338"/>
    <s v="2108-02"/>
    <n v="0"/>
    <n v="8299"/>
    <s v="Centralización ventas febrero 2026  #37339 - iva débito fiscal"/>
    <n v="-8299"/>
    <s v="Pasivo"/>
    <n v="8299"/>
    <x v="68"/>
  </r>
  <r>
    <n v="2026"/>
    <n v="2"/>
    <s v="28-02-2026"/>
    <n v="10339"/>
    <s v="2108-02"/>
    <n v="0"/>
    <n v="6387"/>
    <s v="Centralización ventas febrero 2026  #37347 - iva débito fiscal"/>
    <n v="-6387"/>
    <s v="Pasivo"/>
    <n v="6387"/>
    <x v="68"/>
  </r>
  <r>
    <n v="2026"/>
    <n v="2"/>
    <s v="28-02-2026"/>
    <n v="10340"/>
    <s v="2108-02"/>
    <n v="0"/>
    <n v="5427"/>
    <s v="Centralización ventas febrero 2026  #37349 - iva débito fiscal"/>
    <n v="-5427"/>
    <s v="Pasivo"/>
    <n v="5427"/>
    <x v="68"/>
  </r>
  <r>
    <n v="2026"/>
    <n v="2"/>
    <s v="28-02-2026"/>
    <n v="10341"/>
    <s v="2108-02"/>
    <n v="0"/>
    <n v="32059"/>
    <s v="Centralización ventas febrero 2026  #37350 - iva débito fiscal"/>
    <n v="-32059"/>
    <s v="Pasivo"/>
    <n v="32059"/>
    <x v="68"/>
  </r>
  <r>
    <n v="2026"/>
    <n v="2"/>
    <s v="28-02-2026"/>
    <n v="10342"/>
    <s v="2108-02"/>
    <n v="0"/>
    <n v="13739"/>
    <s v="Centralización ventas febrero 2026  #37407 - iva débito fiscal"/>
    <n v="-13739"/>
    <s v="Pasivo"/>
    <n v="13739"/>
    <x v="68"/>
  </r>
  <r>
    <n v="2026"/>
    <n v="2"/>
    <s v="28-02-2026"/>
    <n v="10343"/>
    <s v="2108-02"/>
    <n v="0"/>
    <n v="7025"/>
    <s v="Centralización ventas febrero 2026  #37411 - iva débito fiscal"/>
    <n v="-7025"/>
    <s v="Pasivo"/>
    <n v="7025"/>
    <x v="68"/>
  </r>
  <r>
    <n v="2026"/>
    <n v="2"/>
    <s v="28-02-2026"/>
    <n v="10344"/>
    <s v="2108-02"/>
    <n v="0"/>
    <n v="5900"/>
    <s v="Centralización ventas febrero 2026  #37417 - iva débito fiscal"/>
    <n v="-5900"/>
    <s v="Pasivo"/>
    <n v="5900"/>
    <x v="68"/>
  </r>
  <r>
    <n v="2026"/>
    <n v="2"/>
    <s v="28-02-2026"/>
    <n v="10345"/>
    <s v="2108-02"/>
    <n v="0"/>
    <n v="2872"/>
    <s v="Centralización ventas febrero 2026  #37419 - iva débito fiscal"/>
    <n v="-2872"/>
    <s v="Pasivo"/>
    <n v="2872"/>
    <x v="68"/>
  </r>
  <r>
    <n v="2026"/>
    <n v="2"/>
    <s v="28-02-2026"/>
    <n v="10346"/>
    <s v="2108-02"/>
    <n v="0"/>
    <n v="7582"/>
    <s v="Centralización ventas febrero 2026  #37421 - iva débito fiscal"/>
    <n v="-7582"/>
    <s v="Pasivo"/>
    <n v="7582"/>
    <x v="68"/>
  </r>
  <r>
    <n v="2026"/>
    <n v="2"/>
    <s v="28-02-2026"/>
    <n v="10347"/>
    <s v="2108-02"/>
    <n v="0"/>
    <n v="5904"/>
    <s v="Centralización ventas febrero 2026  #37423 - iva débito fiscal"/>
    <n v="-5904"/>
    <s v="Pasivo"/>
    <n v="5904"/>
    <x v="68"/>
  </r>
  <r>
    <n v="2026"/>
    <n v="2"/>
    <s v="28-02-2026"/>
    <n v="10348"/>
    <s v="2108-02"/>
    <n v="0"/>
    <n v="3990"/>
    <s v="Centralización ventas febrero 2026  #37425 - iva débito fiscal"/>
    <n v="-3990"/>
    <s v="Pasivo"/>
    <n v="3990"/>
    <x v="68"/>
  </r>
  <r>
    <n v="2026"/>
    <n v="2"/>
    <s v="28-02-2026"/>
    <n v="10349"/>
    <s v="2108-02"/>
    <n v="0"/>
    <n v="4790"/>
    <s v="Centralización ventas febrero 2026  #37429 - iva débito fiscal"/>
    <n v="-4790"/>
    <s v="Pasivo"/>
    <n v="4790"/>
    <x v="68"/>
  </r>
  <r>
    <n v="2026"/>
    <n v="2"/>
    <s v="28-02-2026"/>
    <n v="10350"/>
    <s v="2108-02"/>
    <n v="0"/>
    <n v="4790"/>
    <s v="Centralización ventas febrero 2026  #37436 - iva débito fiscal"/>
    <n v="-4790"/>
    <s v="Pasivo"/>
    <n v="4790"/>
    <x v="68"/>
  </r>
  <r>
    <n v="2026"/>
    <n v="2"/>
    <s v="28-02-2026"/>
    <n v="10351"/>
    <s v="2108-02"/>
    <n v="0"/>
    <n v="6387"/>
    <s v="Centralización ventas febrero 2026  #37442 - iva débito fiscal"/>
    <n v="-6387"/>
    <s v="Pasivo"/>
    <n v="6387"/>
    <x v="68"/>
  </r>
  <r>
    <n v="2026"/>
    <n v="2"/>
    <s v="28-02-2026"/>
    <n v="10352"/>
    <s v="2108-02"/>
    <n v="0"/>
    <n v="9577"/>
    <s v="Centralización ventas febrero 2026  #37446 - iva débito fiscal"/>
    <n v="-9577"/>
    <s v="Pasivo"/>
    <n v="9577"/>
    <x v="68"/>
  </r>
  <r>
    <n v="2026"/>
    <n v="2"/>
    <s v="28-02-2026"/>
    <n v="10353"/>
    <s v="2108-02"/>
    <n v="0"/>
    <n v="5267"/>
    <s v="Centralización ventas febrero 2026  #37447 - iva débito fiscal"/>
    <n v="-5267"/>
    <s v="Pasivo"/>
    <n v="5267"/>
    <x v="68"/>
  </r>
  <r>
    <n v="2026"/>
    <n v="2"/>
    <s v="28-02-2026"/>
    <n v="10354"/>
    <s v="2108-02"/>
    <n v="0"/>
    <n v="5427"/>
    <s v="Centralización ventas febrero 2026  #37464 - iva débito fiscal"/>
    <n v="-5427"/>
    <s v="Pasivo"/>
    <n v="5427"/>
    <x v="68"/>
  </r>
  <r>
    <n v="2026"/>
    <n v="2"/>
    <s v="28-02-2026"/>
    <n v="10355"/>
    <s v="2108-02"/>
    <n v="0"/>
    <n v="4790"/>
    <s v="Centralización ventas febrero 2026  #37475 - iva débito fiscal"/>
    <n v="-4790"/>
    <s v="Pasivo"/>
    <n v="4790"/>
    <x v="68"/>
  </r>
  <r>
    <n v="2026"/>
    <n v="2"/>
    <s v="28-02-2026"/>
    <n v="10356"/>
    <s v="2108-02"/>
    <n v="0"/>
    <n v="4790"/>
    <s v="Centralización ventas febrero 2026  #37479 - iva débito fiscal"/>
    <n v="-4790"/>
    <s v="Pasivo"/>
    <n v="4790"/>
    <x v="68"/>
  </r>
  <r>
    <n v="2026"/>
    <n v="2"/>
    <s v="28-02-2026"/>
    <n v="10357"/>
    <s v="2108-02"/>
    <n v="0"/>
    <n v="6387"/>
    <s v="Centralización ventas febrero 2026  #37482 - iva débito fiscal"/>
    <n v="-6387"/>
    <s v="Pasivo"/>
    <n v="6387"/>
    <x v="68"/>
  </r>
  <r>
    <n v="2026"/>
    <n v="2"/>
    <s v="28-02-2026"/>
    <n v="10358"/>
    <s v="2108-02"/>
    <n v="0"/>
    <n v="4790"/>
    <s v="Centralización ventas febrero 2026  #37483 - iva débito fiscal"/>
    <n v="-4790"/>
    <s v="Pasivo"/>
    <n v="4790"/>
    <x v="68"/>
  </r>
  <r>
    <n v="2026"/>
    <n v="2"/>
    <s v="28-02-2026"/>
    <n v="10359"/>
    <s v="2108-02"/>
    <n v="0"/>
    <n v="6387"/>
    <s v="Centralización ventas febrero 2026  #37485 - iva débito fiscal"/>
    <n v="-6387"/>
    <s v="Pasivo"/>
    <n v="6387"/>
    <x v="68"/>
  </r>
  <r>
    <n v="2026"/>
    <n v="2"/>
    <s v="28-02-2026"/>
    <n v="10360"/>
    <s v="2108-02"/>
    <n v="0"/>
    <n v="3990"/>
    <s v="Centralización ventas febrero 2026  #37498 - iva débito fiscal"/>
    <n v="-3990"/>
    <s v="Pasivo"/>
    <n v="3990"/>
    <x v="68"/>
  </r>
  <r>
    <n v="2026"/>
    <n v="2"/>
    <s v="28-02-2026"/>
    <n v="10361"/>
    <s v="2108-02"/>
    <n v="0"/>
    <n v="19040"/>
    <s v="Centralización ventas febrero 2026  #37510 - iva débito fiscal"/>
    <n v="-19040"/>
    <s v="Pasivo"/>
    <n v="19040"/>
    <x v="68"/>
  </r>
  <r>
    <n v="2026"/>
    <n v="2"/>
    <s v="28-02-2026"/>
    <n v="10362"/>
    <s v="2108-02"/>
    <n v="0"/>
    <n v="5588"/>
    <s v="Centralización ventas febrero 2026  #37531 - iva débito fiscal"/>
    <n v="-5588"/>
    <s v="Pasivo"/>
    <n v="5588"/>
    <x v="68"/>
  </r>
  <r>
    <n v="2026"/>
    <n v="2"/>
    <s v="28-02-2026"/>
    <n v="10363"/>
    <s v="2108-02"/>
    <n v="0"/>
    <n v="6385"/>
    <s v="Centralización ventas febrero 2026  #37555 - iva débito fiscal"/>
    <n v="-6385"/>
    <s v="Pasivo"/>
    <n v="6385"/>
    <x v="68"/>
  </r>
  <r>
    <n v="2026"/>
    <n v="2"/>
    <s v="28-02-2026"/>
    <n v="10364"/>
    <s v="2108-02"/>
    <n v="0"/>
    <n v="7503"/>
    <s v="Centralización ventas febrero 2026  #37559 - iva débito fiscal"/>
    <n v="-7503"/>
    <s v="Pasivo"/>
    <n v="7503"/>
    <x v="68"/>
  </r>
  <r>
    <n v="2026"/>
    <n v="2"/>
    <s v="28-02-2026"/>
    <n v="10365"/>
    <s v="2108-02"/>
    <n v="0"/>
    <n v="4151"/>
    <s v="Centralización ventas febrero 2026  #37565 - iva débito fiscal"/>
    <n v="-4151"/>
    <s v="Pasivo"/>
    <n v="4151"/>
    <x v="68"/>
  </r>
  <r>
    <n v="2026"/>
    <n v="2"/>
    <s v="28-02-2026"/>
    <n v="10366"/>
    <s v="2108-02"/>
    <n v="0"/>
    <n v="2393"/>
    <s v="Centralización ventas febrero 2026  #37581 - iva débito fiscal"/>
    <n v="-2393"/>
    <s v="Pasivo"/>
    <n v="2393"/>
    <x v="68"/>
  </r>
  <r>
    <n v="2026"/>
    <n v="2"/>
    <s v="28-02-2026"/>
    <n v="10367"/>
    <s v="2108-02"/>
    <n v="0"/>
    <n v="6224"/>
    <s v="Centralización ventas febrero 2026  #37584 - iva débito fiscal"/>
    <n v="-6224"/>
    <s v="Pasivo"/>
    <n v="6224"/>
    <x v="68"/>
  </r>
  <r>
    <n v="2026"/>
    <n v="2"/>
    <s v="28-02-2026"/>
    <n v="10368"/>
    <s v="2108-02"/>
    <n v="0"/>
    <n v="3511"/>
    <s v="Centralización ventas febrero 2026  #37590 - iva débito fiscal"/>
    <n v="-3511"/>
    <s v="Pasivo"/>
    <n v="3511"/>
    <x v="68"/>
  </r>
  <r>
    <n v="2026"/>
    <n v="2"/>
    <s v="28-02-2026"/>
    <n v="10369"/>
    <s v="2108-02"/>
    <n v="0"/>
    <n v="4790"/>
    <s v="Centralización ventas febrero 2026  #37595 - iva débito fiscal"/>
    <n v="-4790"/>
    <s v="Pasivo"/>
    <n v="4790"/>
    <x v="68"/>
  </r>
  <r>
    <n v="2026"/>
    <n v="2"/>
    <s v="28-02-2026"/>
    <n v="10370"/>
    <s v="2108-02"/>
    <n v="0"/>
    <n v="5266"/>
    <s v="Centralización ventas febrero 2026  #37598 - iva débito fiscal"/>
    <n v="-5266"/>
    <s v="Pasivo"/>
    <n v="5266"/>
    <x v="68"/>
  </r>
  <r>
    <n v="2026"/>
    <n v="2"/>
    <s v="28-02-2026"/>
    <n v="10371"/>
    <s v="2108-02"/>
    <n v="0"/>
    <n v="7503"/>
    <s v="Centralización ventas febrero 2026  #37613 - iva débito fiscal"/>
    <n v="-7503"/>
    <s v="Pasivo"/>
    <n v="7503"/>
    <x v="68"/>
  </r>
  <r>
    <n v="2026"/>
    <n v="2"/>
    <s v="28-02-2026"/>
    <n v="10372"/>
    <s v="2108-02"/>
    <n v="0"/>
    <n v="98163"/>
    <s v="Centralización ventas febrero 2026  #37622 - iva débito fiscal"/>
    <n v="-98163"/>
    <s v="Pasivo"/>
    <n v="98163"/>
    <x v="68"/>
  </r>
  <r>
    <n v="2026"/>
    <n v="2"/>
    <s v="28-02-2026"/>
    <n v="10373"/>
    <s v="2108-02"/>
    <n v="0"/>
    <n v="3511"/>
    <s v="Centralización ventas febrero 2026  #37625 - iva débito fiscal"/>
    <n v="-3511"/>
    <s v="Pasivo"/>
    <n v="3511"/>
    <x v="68"/>
  </r>
  <r>
    <n v="2026"/>
    <n v="2"/>
    <s v="28-02-2026"/>
    <n v="10374"/>
    <s v="2108-02"/>
    <n v="0"/>
    <n v="5746"/>
    <s v="Centralización ventas febrero 2026  #37627 - iva débito fiscal"/>
    <n v="-5746"/>
    <s v="Pasivo"/>
    <n v="5746"/>
    <x v="68"/>
  </r>
  <r>
    <n v="2026"/>
    <n v="2"/>
    <s v="28-02-2026"/>
    <n v="10375"/>
    <s v="2108-02"/>
    <n v="0"/>
    <n v="3511"/>
    <s v="Centralización ventas febrero 2026  #37632 - iva débito fiscal"/>
    <n v="-3511"/>
    <s v="Pasivo"/>
    <n v="3511"/>
    <x v="68"/>
  </r>
  <r>
    <n v="2026"/>
    <n v="2"/>
    <s v="28-02-2026"/>
    <n v="10376"/>
    <s v="2108-02"/>
    <n v="0"/>
    <n v="31134"/>
    <s v="Centralización ventas febrero 2026  #37634 - iva débito fiscal"/>
    <n v="-31134"/>
    <s v="Pasivo"/>
    <n v="31134"/>
    <x v="68"/>
  </r>
  <r>
    <n v="2026"/>
    <n v="2"/>
    <s v="28-02-2026"/>
    <n v="10377"/>
    <s v="2108-02"/>
    <n v="0"/>
    <n v="5105"/>
    <s v="Centralización ventas febrero 2026  #37652 - iva débito fiscal"/>
    <n v="-5105"/>
    <s v="Pasivo"/>
    <n v="5105"/>
    <x v="68"/>
  </r>
  <r>
    <n v="2026"/>
    <n v="2"/>
    <s v="28-02-2026"/>
    <n v="10378"/>
    <s v="2108-02"/>
    <n v="0"/>
    <n v="4629"/>
    <s v="Centralización ventas febrero 2026  #37659 - iva débito fiscal"/>
    <n v="-4629"/>
    <s v="Pasivo"/>
    <n v="4629"/>
    <x v="68"/>
  </r>
  <r>
    <n v="2026"/>
    <n v="2"/>
    <s v="28-02-2026"/>
    <n v="10379"/>
    <s v="2108-02"/>
    <n v="0"/>
    <n v="3990"/>
    <s v="Centralización ventas febrero 2026  #37664 - iva débito fiscal"/>
    <n v="-3990"/>
    <s v="Pasivo"/>
    <n v="3990"/>
    <x v="68"/>
  </r>
  <r>
    <n v="2026"/>
    <n v="2"/>
    <s v="28-02-2026"/>
    <n v="10380"/>
    <s v="2108-02"/>
    <n v="0"/>
    <n v="4790"/>
    <s v="Centralización ventas febrero 2026  #37680 - iva débito fiscal"/>
    <n v="-4790"/>
    <s v="Pasivo"/>
    <n v="4790"/>
    <x v="68"/>
  </r>
  <r>
    <n v="2026"/>
    <n v="2"/>
    <s v="28-02-2026"/>
    <n v="10381"/>
    <s v="2108-02"/>
    <n v="0"/>
    <n v="14368"/>
    <s v="Centralización ventas febrero 2026  #37689 - iva débito fiscal"/>
    <n v="-14368"/>
    <s v="Pasivo"/>
    <n v="14368"/>
    <x v="68"/>
  </r>
  <r>
    <n v="2026"/>
    <n v="2"/>
    <s v="28-02-2026"/>
    <n v="10382"/>
    <s v="2108-02"/>
    <n v="0"/>
    <n v="11173"/>
    <s v="Centralización ventas febrero 2026  #37698 - iva débito fiscal"/>
    <n v="-11173"/>
    <s v="Pasivo"/>
    <n v="11173"/>
    <x v="68"/>
  </r>
  <r>
    <n v="2026"/>
    <n v="2"/>
    <s v="28-02-2026"/>
    <n v="10383"/>
    <s v="2108-02"/>
    <n v="0"/>
    <n v="17786"/>
    <s v="Centralización ventas febrero 2026  #37725 - iva débito fiscal"/>
    <n v="-17786"/>
    <s v="Pasivo"/>
    <n v="17786"/>
    <x v="68"/>
  </r>
  <r>
    <n v="2026"/>
    <n v="2"/>
    <s v="28-02-2026"/>
    <n v="10384"/>
    <s v="2108-02"/>
    <n v="0"/>
    <n v="3990"/>
    <s v="Centralización ventas febrero 2026  #37734 - iva débito fiscal"/>
    <n v="-3990"/>
    <s v="Pasivo"/>
    <n v="3990"/>
    <x v="68"/>
  </r>
  <r>
    <n v="2026"/>
    <n v="2"/>
    <s v="28-02-2026"/>
    <n v="10385"/>
    <s v="2108-02"/>
    <n v="0"/>
    <n v="3511"/>
    <s v="Centralización ventas febrero 2026  #37758 - iva débito fiscal"/>
    <n v="-3511"/>
    <s v="Pasivo"/>
    <n v="3511"/>
    <x v="68"/>
  </r>
  <r>
    <n v="2026"/>
    <n v="2"/>
    <s v="28-02-2026"/>
    <n v="10386"/>
    <s v="2108-02"/>
    <n v="0"/>
    <n v="4788"/>
    <s v="Centralización ventas febrero 2026  #37765 - iva débito fiscal"/>
    <n v="-4788"/>
    <s v="Pasivo"/>
    <n v="4788"/>
    <x v="68"/>
  </r>
  <r>
    <n v="2026"/>
    <n v="2"/>
    <s v="28-02-2026"/>
    <n v="10387"/>
    <s v="2108-02"/>
    <n v="0"/>
    <n v="3990"/>
    <s v="Centralización ventas febrero 2026  #37790 - iva débito fiscal"/>
    <n v="-3990"/>
    <s v="Pasivo"/>
    <n v="3990"/>
    <x v="68"/>
  </r>
  <r>
    <n v="2026"/>
    <n v="2"/>
    <s v="28-02-2026"/>
    <n v="10388"/>
    <s v="2108-02"/>
    <n v="0"/>
    <n v="4788"/>
    <s v="Centralización ventas febrero 2026  #37791 - iva débito fiscal"/>
    <n v="-4788"/>
    <s v="Pasivo"/>
    <n v="4788"/>
    <x v="68"/>
  </r>
  <r>
    <n v="2026"/>
    <n v="2"/>
    <s v="28-02-2026"/>
    <n v="10389"/>
    <s v="2108-02"/>
    <n v="0"/>
    <n v="5347"/>
    <s v="Centralización ventas febrero 2026  #37795 - iva débito fiscal"/>
    <n v="-5347"/>
    <s v="Pasivo"/>
    <n v="5347"/>
    <x v="68"/>
  </r>
  <r>
    <n v="2026"/>
    <n v="2"/>
    <s v="28-02-2026"/>
    <n v="10390"/>
    <s v="2108-02"/>
    <n v="0"/>
    <n v="4629"/>
    <s v="Centralización ventas febrero 2026  #37796 - iva débito fiscal"/>
    <n v="-4629"/>
    <s v="Pasivo"/>
    <n v="4629"/>
    <x v="68"/>
  </r>
  <r>
    <n v="2026"/>
    <n v="2"/>
    <s v="28-02-2026"/>
    <n v="10391"/>
    <s v="2108-02"/>
    <n v="0"/>
    <n v="3511"/>
    <s v="Centralización ventas febrero 2026  #37797 - iva débito fiscal"/>
    <n v="-3511"/>
    <s v="Pasivo"/>
    <n v="3511"/>
    <x v="68"/>
  </r>
  <r>
    <n v="2026"/>
    <n v="2"/>
    <s v="28-02-2026"/>
    <n v="10392"/>
    <s v="2108-02"/>
    <n v="0"/>
    <n v="11331"/>
    <s v="Centralización ventas febrero 2026  #37798 - iva débito fiscal"/>
    <n v="-11331"/>
    <s v="Pasivo"/>
    <n v="11331"/>
    <x v="68"/>
  </r>
  <r>
    <n v="2026"/>
    <n v="2"/>
    <s v="28-02-2026"/>
    <n v="10393"/>
    <s v="2108-02"/>
    <n v="0"/>
    <n v="4788"/>
    <s v="Centralización ventas febrero 2026  #37799 - iva débito fiscal"/>
    <n v="-4788"/>
    <s v="Pasivo"/>
    <n v="4788"/>
    <x v="68"/>
  </r>
  <r>
    <n v="2026"/>
    <n v="2"/>
    <s v="28-02-2026"/>
    <n v="10394"/>
    <s v="2108-02"/>
    <n v="0"/>
    <n v="4629"/>
    <s v="Centralización ventas febrero 2026  #37800 - iva débito fiscal"/>
    <n v="-4629"/>
    <s v="Pasivo"/>
    <n v="4629"/>
    <x v="68"/>
  </r>
  <r>
    <n v="2026"/>
    <n v="2"/>
    <s v="28-02-2026"/>
    <n v="10395"/>
    <s v="2108-02"/>
    <n v="0"/>
    <n v="26428"/>
    <s v="Centralización ventas febrero 2026  #37801 - iva débito fiscal"/>
    <n v="-26428"/>
    <s v="Pasivo"/>
    <n v="26428"/>
    <x v="68"/>
  </r>
  <r>
    <n v="2026"/>
    <n v="2"/>
    <s v="28-02-2026"/>
    <n v="10396"/>
    <s v="2108-02"/>
    <n v="0"/>
    <n v="4629"/>
    <s v="Centralización ventas febrero 2026  #37802 - iva débito fiscal"/>
    <n v="-4629"/>
    <s v="Pasivo"/>
    <n v="4629"/>
    <x v="68"/>
  </r>
  <r>
    <n v="2026"/>
    <n v="2"/>
    <s v="28-02-2026"/>
    <n v="10397"/>
    <s v="2108-02"/>
    <n v="0"/>
    <n v="11175"/>
    <s v="Centralización ventas febrero 2026  #37803 - iva débito fiscal"/>
    <n v="-11175"/>
    <s v="Pasivo"/>
    <n v="11175"/>
    <x v="68"/>
  </r>
  <r>
    <n v="2026"/>
    <n v="2"/>
    <s v="28-02-2026"/>
    <n v="10398"/>
    <s v="2108-02"/>
    <n v="0"/>
    <n v="9580"/>
    <s v="Centralización ventas febrero 2026  #37804 - iva débito fiscal"/>
    <n v="-9580"/>
    <s v="Pasivo"/>
    <n v="9580"/>
    <x v="68"/>
  </r>
  <r>
    <n v="2026"/>
    <n v="2"/>
    <s v="28-02-2026"/>
    <n v="10399"/>
    <s v="2108-02"/>
    <n v="0"/>
    <n v="9580"/>
    <s v="Centralización ventas febrero 2026  #37805 - iva débito fiscal"/>
    <n v="-9580"/>
    <s v="Pasivo"/>
    <n v="9580"/>
    <x v="68"/>
  </r>
  <r>
    <n v="2026"/>
    <n v="2"/>
    <s v="28-02-2026"/>
    <n v="10400"/>
    <s v="2108-02"/>
    <n v="0"/>
    <n v="248129"/>
    <s v="Centralización ventas febrero 2026  #37806 - iva débito fiscal"/>
    <n v="-248129"/>
    <s v="Pasivo"/>
    <n v="248129"/>
    <x v="68"/>
  </r>
  <r>
    <n v="2026"/>
    <n v="2"/>
    <s v="28-02-2026"/>
    <n v="10401"/>
    <s v="2108-02"/>
    <n v="0"/>
    <n v="7022"/>
    <s v="Centralización ventas febrero 2026  #37807 - iva débito fiscal"/>
    <n v="-7022"/>
    <s v="Pasivo"/>
    <n v="7022"/>
    <x v="68"/>
  </r>
  <r>
    <n v="2026"/>
    <n v="2"/>
    <s v="28-02-2026"/>
    <n v="10402"/>
    <s v="2108-02"/>
    <n v="0"/>
    <n v="8780"/>
    <s v="Centralización ventas febrero 2026  #37808 - iva débito fiscal"/>
    <n v="-8780"/>
    <s v="Pasivo"/>
    <n v="8780"/>
    <x v="68"/>
  </r>
  <r>
    <n v="2026"/>
    <n v="2"/>
    <s v="28-02-2026"/>
    <n v="10403"/>
    <s v="2108-02"/>
    <n v="0"/>
    <n v="128367"/>
    <s v="Centralización ventas febrero 2026  #37809 - iva débito fiscal"/>
    <n v="-128367"/>
    <s v="Pasivo"/>
    <n v="128367"/>
    <x v="68"/>
  </r>
  <r>
    <n v="2026"/>
    <n v="2"/>
    <s v="28-02-2026"/>
    <n v="10404"/>
    <s v="2108-02"/>
    <n v="0"/>
    <n v="13412"/>
    <s v="Centralización ventas febrero 2026  #37810 - iva débito fiscal"/>
    <n v="-13412"/>
    <s v="Pasivo"/>
    <n v="13412"/>
    <x v="68"/>
  </r>
  <r>
    <n v="2026"/>
    <n v="2"/>
    <s v="28-02-2026"/>
    <n v="10405"/>
    <s v="2108-02"/>
    <n v="0"/>
    <n v="67959"/>
    <s v="Centralización ventas febrero 2026  #37813 - iva débito fiscal"/>
    <n v="-67959"/>
    <s v="Pasivo"/>
    <n v="67959"/>
    <x v="68"/>
  </r>
  <r>
    <n v="2026"/>
    <n v="2"/>
    <s v="28-02-2026"/>
    <n v="10406"/>
    <s v="2108-02"/>
    <n v="0"/>
    <n v="8141"/>
    <s v="Centralización ventas febrero 2026  #37814 - iva débito fiscal"/>
    <n v="-8141"/>
    <s v="Pasivo"/>
    <n v="8141"/>
    <x v="68"/>
  </r>
  <r>
    <n v="2026"/>
    <n v="2"/>
    <s v="28-02-2026"/>
    <n v="10407"/>
    <s v="2108-02"/>
    <n v="0"/>
    <n v="7983"/>
    <s v="Centralización ventas febrero 2026  #37815 - iva débito fiscal"/>
    <n v="-7983"/>
    <s v="Pasivo"/>
    <n v="7983"/>
    <x v="68"/>
  </r>
  <r>
    <n v="2026"/>
    <n v="2"/>
    <s v="28-02-2026"/>
    <n v="10408"/>
    <s v="2108-02"/>
    <n v="0"/>
    <n v="3990"/>
    <s v="Centralización ventas febrero 2026  #37817 - iva débito fiscal"/>
    <n v="-3990"/>
    <s v="Pasivo"/>
    <n v="3990"/>
    <x v="68"/>
  </r>
  <r>
    <n v="2026"/>
    <n v="2"/>
    <s v="28-02-2026"/>
    <n v="10409"/>
    <s v="2108-02"/>
    <n v="0"/>
    <n v="67790"/>
    <s v="Centralización ventas febrero 2026  #37818 - iva débito fiscal"/>
    <n v="-67790"/>
    <s v="Pasivo"/>
    <n v="67790"/>
    <x v="68"/>
  </r>
  <r>
    <n v="2026"/>
    <n v="2"/>
    <s v="28-02-2026"/>
    <n v="10410"/>
    <s v="2108-02"/>
    <n v="0"/>
    <n v="5267"/>
    <s v="Centralización ventas febrero 2026  #37819 - iva débito fiscal"/>
    <n v="-5267"/>
    <s v="Pasivo"/>
    <n v="5267"/>
    <x v="68"/>
  </r>
  <r>
    <n v="2026"/>
    <n v="2"/>
    <s v="28-02-2026"/>
    <n v="10411"/>
    <s v="2108-02"/>
    <n v="0"/>
    <n v="3990"/>
    <s v="Centralización ventas febrero 2026  #37820 - iva débito fiscal"/>
    <n v="-3990"/>
    <s v="Pasivo"/>
    <n v="3990"/>
    <x v="68"/>
  </r>
  <r>
    <n v="2026"/>
    <n v="2"/>
    <s v="28-02-2026"/>
    <n v="10412"/>
    <s v="2108-02"/>
    <n v="0"/>
    <n v="107630"/>
    <s v="Centralización ventas febrero 2026  #37821 - iva débito fiscal"/>
    <n v="-107630"/>
    <s v="Pasivo"/>
    <n v="107630"/>
    <x v="68"/>
  </r>
  <r>
    <n v="2026"/>
    <n v="2"/>
    <s v="28-02-2026"/>
    <n v="10413"/>
    <s v="2108-02"/>
    <n v="0"/>
    <n v="6385"/>
    <s v="Centralización ventas febrero 2026  #37822 - iva débito fiscal"/>
    <n v="-6385"/>
    <s v="Pasivo"/>
    <n v="6385"/>
    <x v="68"/>
  </r>
  <r>
    <n v="2026"/>
    <n v="2"/>
    <s v="28-02-2026"/>
    <n v="10414"/>
    <s v="2108-02"/>
    <n v="0"/>
    <n v="3511"/>
    <s v="Centralización ventas febrero 2026  #37823 - iva débito fiscal"/>
    <n v="-3511"/>
    <s v="Pasivo"/>
    <n v="3511"/>
    <x v="68"/>
  </r>
  <r>
    <n v="2026"/>
    <n v="2"/>
    <s v="28-02-2026"/>
    <n v="10415"/>
    <s v="2108-02"/>
    <n v="0"/>
    <n v="9498"/>
    <s v="Centralización ventas febrero 2026  #37824 - iva débito fiscal"/>
    <n v="-9498"/>
    <s v="Pasivo"/>
    <n v="9498"/>
    <x v="68"/>
  </r>
  <r>
    <n v="2026"/>
    <n v="2"/>
    <s v="28-02-2026"/>
    <n v="10416"/>
    <s v="2108-02"/>
    <n v="0"/>
    <n v="10377"/>
    <s v="Centralización ventas febrero 2026  #37825 - iva débito fiscal"/>
    <n v="-10377"/>
    <s v="Pasivo"/>
    <n v="10377"/>
    <x v="68"/>
  </r>
  <r>
    <n v="2026"/>
    <n v="2"/>
    <s v="28-02-2026"/>
    <n v="10417"/>
    <s v="2108-02"/>
    <n v="0"/>
    <n v="6385"/>
    <s v="Centralización ventas febrero 2026  #37826 - iva débito fiscal"/>
    <n v="-6385"/>
    <s v="Pasivo"/>
    <n v="6385"/>
    <x v="68"/>
  </r>
  <r>
    <n v="2026"/>
    <n v="2"/>
    <s v="28-02-2026"/>
    <n v="10418"/>
    <s v="2108-02"/>
    <n v="0"/>
    <n v="3990"/>
    <s v="Centralización ventas febrero 2026  #37828 - iva débito fiscal"/>
    <n v="-3990"/>
    <s v="Pasivo"/>
    <n v="3990"/>
    <x v="68"/>
  </r>
  <r>
    <n v="2026"/>
    <n v="2"/>
    <s v="28-02-2026"/>
    <n v="10419"/>
    <s v="2108-02"/>
    <n v="0"/>
    <n v="7183"/>
    <s v="Centralización ventas febrero 2026  #37829 - iva débito fiscal"/>
    <n v="-7183"/>
    <s v="Pasivo"/>
    <n v="7183"/>
    <x v="68"/>
  </r>
  <r>
    <n v="2026"/>
    <n v="2"/>
    <s v="28-02-2026"/>
    <n v="10420"/>
    <s v="2108-02"/>
    <n v="0"/>
    <n v="3990"/>
    <s v="Centralización ventas febrero 2026  #37830 - iva débito fiscal"/>
    <n v="-3990"/>
    <s v="Pasivo"/>
    <n v="3990"/>
    <x v="68"/>
  </r>
  <r>
    <n v="2026"/>
    <n v="2"/>
    <s v="28-02-2026"/>
    <n v="10421"/>
    <s v="2108-02"/>
    <n v="0"/>
    <n v="10448"/>
    <s v="Centralización ventas febrero 2026  #37831 - iva débito fiscal"/>
    <n v="-10448"/>
    <s v="Pasivo"/>
    <n v="10448"/>
    <x v="68"/>
  </r>
  <r>
    <n v="2026"/>
    <n v="2"/>
    <s v="28-02-2026"/>
    <n v="10422"/>
    <s v="2108-02"/>
    <n v="0"/>
    <n v="4368"/>
    <s v="Centralización ventas febrero 2026  #37833 - iva débito fiscal"/>
    <n v="-4368"/>
    <s v="Pasivo"/>
    <n v="4368"/>
    <x v="68"/>
  </r>
  <r>
    <n v="2026"/>
    <n v="2"/>
    <s v="28-02-2026"/>
    <n v="10423"/>
    <s v="2108-02"/>
    <n v="0"/>
    <n v="4748"/>
    <s v="Centralización ventas febrero 2026  #37834 - iva débito fiscal"/>
    <n v="-4748"/>
    <s v="Pasivo"/>
    <n v="4748"/>
    <x v="68"/>
  </r>
  <r>
    <n v="2026"/>
    <n v="2"/>
    <s v="28-02-2026"/>
    <n v="10424"/>
    <s v="2108-02"/>
    <n v="0"/>
    <n v="7446"/>
    <s v="Centralización ventas febrero 2026  #37835 - iva débito fiscal"/>
    <n v="-7446"/>
    <s v="Pasivo"/>
    <n v="7446"/>
    <x v="68"/>
  </r>
  <r>
    <n v="2026"/>
    <n v="2"/>
    <s v="28-02-2026"/>
    <n v="10425"/>
    <s v="2108-02"/>
    <n v="0"/>
    <n v="4788"/>
    <s v="Centralización ventas febrero 2026  #37836 - iva débito fiscal"/>
    <n v="-4788"/>
    <s v="Pasivo"/>
    <n v="4788"/>
    <x v="68"/>
  </r>
  <r>
    <n v="2026"/>
    <n v="2"/>
    <s v="28-02-2026"/>
    <n v="10426"/>
    <s v="2108-02"/>
    <n v="0"/>
    <n v="6387"/>
    <s v="Centralización ventas febrero 2026  #37837 - iva débito fiscal"/>
    <n v="-6387"/>
    <s v="Pasivo"/>
    <n v="6387"/>
    <x v="68"/>
  </r>
  <r>
    <n v="2026"/>
    <n v="2"/>
    <s v="28-02-2026"/>
    <n v="10427"/>
    <s v="2108-02"/>
    <n v="0"/>
    <n v="5267"/>
    <s v="Centralización ventas febrero 2026  #37838 - iva débito fiscal"/>
    <n v="-5267"/>
    <s v="Pasivo"/>
    <n v="5267"/>
    <x v="68"/>
  </r>
  <r>
    <n v="2026"/>
    <n v="2"/>
    <s v="28-02-2026"/>
    <n v="10428"/>
    <s v="2108-02"/>
    <n v="0"/>
    <n v="6648"/>
    <s v="Centralización ventas febrero 2026  #37839 - iva débito fiscal"/>
    <n v="-6648"/>
    <s v="Pasivo"/>
    <n v="6648"/>
    <x v="68"/>
  </r>
  <r>
    <n v="2026"/>
    <n v="2"/>
    <s v="28-02-2026"/>
    <n v="10429"/>
    <s v="2108-02"/>
    <n v="0"/>
    <n v="6387"/>
    <s v="Centralización ventas febrero 2026  #37840 - iva débito fiscal"/>
    <n v="-6387"/>
    <s v="Pasivo"/>
    <n v="6387"/>
    <x v="68"/>
  </r>
  <r>
    <n v="2026"/>
    <n v="2"/>
    <s v="28-02-2026"/>
    <n v="10430"/>
    <s v="2108-02"/>
    <n v="0"/>
    <n v="3192"/>
    <s v="Centralización ventas febrero 2026  #37841 - iva débito fiscal"/>
    <n v="-3192"/>
    <s v="Pasivo"/>
    <n v="3192"/>
    <x v="68"/>
  </r>
  <r>
    <n v="2026"/>
    <n v="2"/>
    <s v="28-02-2026"/>
    <n v="10431"/>
    <s v="2108-02"/>
    <n v="0"/>
    <n v="2872"/>
    <s v="Centralización ventas febrero 2026  #37843 - iva débito fiscal"/>
    <n v="-2872"/>
    <s v="Pasivo"/>
    <n v="2872"/>
    <x v="68"/>
  </r>
  <r>
    <n v="2026"/>
    <n v="2"/>
    <s v="28-02-2026"/>
    <n v="10432"/>
    <s v="2108-02"/>
    <n v="0"/>
    <n v="3511"/>
    <s v="Centralización ventas febrero 2026  #37844 - iva débito fiscal"/>
    <n v="-3511"/>
    <s v="Pasivo"/>
    <n v="3511"/>
    <x v="68"/>
  </r>
  <r>
    <n v="2026"/>
    <n v="2"/>
    <s v="28-02-2026"/>
    <n v="10433"/>
    <s v="2108-02"/>
    <n v="0"/>
    <n v="15008"/>
    <s v="Centralización ventas febrero 2026  #37846 - iva débito fiscal"/>
    <n v="-15008"/>
    <s v="Pasivo"/>
    <n v="15008"/>
    <x v="68"/>
  </r>
  <r>
    <n v="2026"/>
    <n v="2"/>
    <s v="28-02-2026"/>
    <n v="10434"/>
    <s v="2108-02"/>
    <n v="0"/>
    <n v="3990"/>
    <s v="Centralización ventas febrero 2026  #37847 - iva débito fiscal"/>
    <n v="-3990"/>
    <s v="Pasivo"/>
    <n v="3990"/>
    <x v="68"/>
  </r>
  <r>
    <n v="2026"/>
    <n v="2"/>
    <s v="28-02-2026"/>
    <n v="10435"/>
    <s v="2108-02"/>
    <n v="0"/>
    <n v="3511"/>
    <s v="Centralización ventas febrero 2026  #37848 - iva débito fiscal"/>
    <n v="-3511"/>
    <s v="Pasivo"/>
    <n v="3511"/>
    <x v="68"/>
  </r>
  <r>
    <n v="2026"/>
    <n v="2"/>
    <s v="28-02-2026"/>
    <n v="10436"/>
    <s v="2108-02"/>
    <n v="0"/>
    <n v="9580"/>
    <s v="Centralización ventas febrero 2026  #37849 - iva débito fiscal"/>
    <n v="-9580"/>
    <s v="Pasivo"/>
    <n v="9580"/>
    <x v="68"/>
  </r>
  <r>
    <n v="2026"/>
    <n v="2"/>
    <s v="28-02-2026"/>
    <n v="10437"/>
    <s v="2108-02"/>
    <n v="0"/>
    <n v="3990"/>
    <s v="Centralización ventas febrero 2026  #37850 - iva débito fiscal"/>
    <n v="-3990"/>
    <s v="Pasivo"/>
    <n v="3990"/>
    <x v="68"/>
  </r>
  <r>
    <n v="2026"/>
    <n v="2"/>
    <s v="28-02-2026"/>
    <n v="10438"/>
    <s v="2108-02"/>
    <n v="0"/>
    <n v="13300"/>
    <s v="Centralización ventas febrero 2026  #37851 - iva débito fiscal"/>
    <n v="-13300"/>
    <s v="Pasivo"/>
    <n v="13300"/>
    <x v="68"/>
  </r>
  <r>
    <n v="2026"/>
    <n v="2"/>
    <s v="28-02-2026"/>
    <n v="10439"/>
    <s v="2108-02"/>
    <n v="0"/>
    <n v="2393"/>
    <s v="Centralización ventas febrero 2026  #37852 - iva débito fiscal"/>
    <n v="-2393"/>
    <s v="Pasivo"/>
    <n v="2393"/>
    <x v="68"/>
  </r>
  <r>
    <n v="2026"/>
    <n v="2"/>
    <s v="28-02-2026"/>
    <n v="10440"/>
    <s v="2108-02"/>
    <n v="0"/>
    <n v="24748"/>
    <s v="Centralización ventas febrero 2026  #37853 - iva débito fiscal"/>
    <n v="-24748"/>
    <s v="Pasivo"/>
    <n v="24748"/>
    <x v="68"/>
  </r>
  <r>
    <n v="2026"/>
    <n v="2"/>
    <s v="28-02-2026"/>
    <n v="10441"/>
    <s v="2108-02"/>
    <n v="0"/>
    <n v="3990"/>
    <s v="Centralización ventas febrero 2026  #37854 - iva débito fiscal"/>
    <n v="-3990"/>
    <s v="Pasivo"/>
    <n v="3990"/>
    <x v="68"/>
  </r>
  <r>
    <n v="2026"/>
    <n v="2"/>
    <s v="28-02-2026"/>
    <n v="10442"/>
    <s v="2108-02"/>
    <n v="0"/>
    <n v="8548"/>
    <s v="Centralización ventas febrero 2026  #37855 - iva débito fiscal"/>
    <n v="-8548"/>
    <s v="Pasivo"/>
    <n v="8548"/>
    <x v="68"/>
  </r>
  <r>
    <n v="2026"/>
    <n v="2"/>
    <s v="28-02-2026"/>
    <n v="10443"/>
    <s v="2108-02"/>
    <n v="0"/>
    <n v="6648"/>
    <s v="Centralización ventas febrero 2026  #37856 - iva débito fiscal"/>
    <n v="-6648"/>
    <s v="Pasivo"/>
    <n v="6648"/>
    <x v="68"/>
  </r>
  <r>
    <n v="2026"/>
    <n v="2"/>
    <s v="28-02-2026"/>
    <n v="10444"/>
    <s v="2108-02"/>
    <n v="0"/>
    <n v="2393"/>
    <s v="Centralización ventas febrero 2026  #37857 - iva débito fiscal"/>
    <n v="-2393"/>
    <s v="Pasivo"/>
    <n v="2393"/>
    <x v="68"/>
  </r>
  <r>
    <n v="2026"/>
    <n v="2"/>
    <s v="28-02-2026"/>
    <n v="10445"/>
    <s v="2108-02"/>
    <n v="0"/>
    <n v="4790"/>
    <s v="Centralización ventas febrero 2026  #37858 - iva débito fiscal"/>
    <n v="-4790"/>
    <s v="Pasivo"/>
    <n v="4790"/>
    <x v="68"/>
  </r>
  <r>
    <n v="2026"/>
    <n v="2"/>
    <s v="28-02-2026"/>
    <n v="10446"/>
    <s v="2108-02"/>
    <n v="0"/>
    <n v="3798"/>
    <s v="Centralización ventas febrero 2026  #37859 - iva débito fiscal"/>
    <n v="-3798"/>
    <s v="Pasivo"/>
    <n v="3798"/>
    <x v="68"/>
  </r>
  <r>
    <n v="2026"/>
    <n v="2"/>
    <s v="28-02-2026"/>
    <n v="10447"/>
    <s v="2108-02"/>
    <n v="0"/>
    <n v="4790"/>
    <s v="Centralización ventas febrero 2026  #37860 - iva débito fiscal"/>
    <n v="-4790"/>
    <s v="Pasivo"/>
    <n v="4790"/>
    <x v="68"/>
  </r>
  <r>
    <n v="2026"/>
    <n v="2"/>
    <s v="28-02-2026"/>
    <n v="10448"/>
    <s v="2108-02"/>
    <n v="0"/>
    <n v="18994"/>
    <s v="Centralización ventas febrero 2026  #37861 - iva débito fiscal"/>
    <n v="-18994"/>
    <s v="Pasivo"/>
    <n v="18994"/>
    <x v="68"/>
  </r>
  <r>
    <n v="2026"/>
    <n v="2"/>
    <s v="28-02-2026"/>
    <n v="10449"/>
    <s v="2108-02"/>
    <n v="0"/>
    <n v="3990"/>
    <s v="Centralización ventas febrero 2026  #37862 - iva débito fiscal"/>
    <n v="-3990"/>
    <s v="Pasivo"/>
    <n v="3990"/>
    <x v="68"/>
  </r>
  <r>
    <n v="2026"/>
    <n v="2"/>
    <s v="28-02-2026"/>
    <n v="10450"/>
    <s v="2108-02"/>
    <n v="0"/>
    <n v="51166"/>
    <s v="Centralización ventas febrero 2026  #37863 - iva débito fiscal"/>
    <n v="-51166"/>
    <s v="Pasivo"/>
    <n v="51166"/>
    <x v="68"/>
  </r>
  <r>
    <n v="2026"/>
    <n v="2"/>
    <s v="28-02-2026"/>
    <n v="10451"/>
    <s v="2108-02"/>
    <n v="0"/>
    <n v="3497"/>
    <s v="Centralización ventas febrero 2026  #37864 - iva débito fiscal"/>
    <n v="-3497"/>
    <s v="Pasivo"/>
    <n v="3497"/>
    <x v="68"/>
  </r>
  <r>
    <n v="2026"/>
    <n v="2"/>
    <s v="28-02-2026"/>
    <n v="10452"/>
    <s v="2108-02"/>
    <n v="0"/>
    <n v="3511"/>
    <s v="Centralización ventas febrero 2026  #37865 - iva débito fiscal"/>
    <n v="-3511"/>
    <s v="Pasivo"/>
    <n v="3511"/>
    <x v="68"/>
  </r>
  <r>
    <n v="2026"/>
    <n v="2"/>
    <s v="28-02-2026"/>
    <n v="10453"/>
    <s v="2108-02"/>
    <n v="0"/>
    <n v="7980"/>
    <s v="Centralización ventas febrero 2026  #37866 - iva débito fiscal"/>
    <n v="-7980"/>
    <s v="Pasivo"/>
    <n v="7980"/>
    <x v="68"/>
  </r>
  <r>
    <n v="2026"/>
    <n v="2"/>
    <s v="28-02-2026"/>
    <n v="10454"/>
    <s v="2108-02"/>
    <n v="0"/>
    <n v="3513"/>
    <s v="Centralización ventas febrero 2026  #37868 - iva débito fiscal"/>
    <n v="-3513"/>
    <s v="Pasivo"/>
    <n v="3513"/>
    <x v="68"/>
  </r>
  <r>
    <n v="2026"/>
    <n v="2"/>
    <s v="28-02-2026"/>
    <n v="10455"/>
    <s v="2108-02"/>
    <n v="0"/>
    <n v="3511"/>
    <s v="Centralización ventas febrero 2026  #37869 - iva débito fiscal"/>
    <n v="-3511"/>
    <s v="Pasivo"/>
    <n v="3511"/>
    <x v="68"/>
  </r>
  <r>
    <n v="2026"/>
    <n v="2"/>
    <s v="28-02-2026"/>
    <n v="10456"/>
    <s v="2108-02"/>
    <n v="0"/>
    <n v="29187"/>
    <s v="Centralización ventas febrero 2026  #37870 - iva débito fiscal"/>
    <n v="-29187"/>
    <s v="Pasivo"/>
    <n v="29187"/>
    <x v="68"/>
  </r>
  <r>
    <n v="2026"/>
    <n v="2"/>
    <s v="28-02-2026"/>
    <n v="10457"/>
    <s v="2108-02"/>
    <n v="0"/>
    <n v="5748"/>
    <s v="Centralización ventas febrero 2026  #37871 - iva débito fiscal"/>
    <n v="-5748"/>
    <s v="Pasivo"/>
    <n v="5748"/>
    <x v="68"/>
  </r>
  <r>
    <n v="2026"/>
    <n v="2"/>
    <s v="28-02-2026"/>
    <n v="10458"/>
    <s v="2108-02"/>
    <n v="0"/>
    <n v="2393"/>
    <s v="Centralización ventas febrero 2026  #37872 - iva débito fiscal"/>
    <n v="-2393"/>
    <s v="Pasivo"/>
    <n v="2393"/>
    <x v="68"/>
  </r>
  <r>
    <n v="2026"/>
    <n v="2"/>
    <s v="28-02-2026"/>
    <n v="10459"/>
    <s v="2108-02"/>
    <n v="0"/>
    <n v="3990"/>
    <s v="Centralización ventas febrero 2026  #37873 - iva débito fiscal"/>
    <n v="-3990"/>
    <s v="Pasivo"/>
    <n v="3990"/>
    <x v="68"/>
  </r>
  <r>
    <n v="2026"/>
    <n v="2"/>
    <s v="28-02-2026"/>
    <n v="10460"/>
    <s v="2108-02"/>
    <n v="0"/>
    <n v="4748"/>
    <s v="Centralización ventas febrero 2026  #37874 - iva débito fiscal"/>
    <n v="-4748"/>
    <s v="Pasivo"/>
    <n v="4748"/>
    <x v="68"/>
  </r>
  <r>
    <n v="2026"/>
    <n v="2"/>
    <s v="28-02-2026"/>
    <n v="10461"/>
    <s v="2108-02"/>
    <n v="0"/>
    <n v="58726"/>
    <s v="Centralización ventas febrero 2026  #37875 - iva débito fiscal"/>
    <n v="-58726"/>
    <s v="Pasivo"/>
    <n v="58726"/>
    <x v="68"/>
  </r>
  <r>
    <n v="2026"/>
    <n v="2"/>
    <s v="28-02-2026"/>
    <n v="10462"/>
    <s v="2108-02"/>
    <n v="0"/>
    <n v="25701"/>
    <s v="Centralización ventas febrero 2026  #37876 - iva débito fiscal"/>
    <n v="-25701"/>
    <s v="Pasivo"/>
    <n v="25701"/>
    <x v="68"/>
  </r>
  <r>
    <n v="2026"/>
    <n v="2"/>
    <s v="28-02-2026"/>
    <n v="10463"/>
    <s v="2108-02"/>
    <n v="0"/>
    <n v="4629"/>
    <s v="Centralización ventas febrero 2026  #37877 - iva débito fiscal"/>
    <n v="-4629"/>
    <s v="Pasivo"/>
    <n v="4629"/>
    <x v="68"/>
  </r>
  <r>
    <n v="2026"/>
    <n v="2"/>
    <s v="28-02-2026"/>
    <n v="10464"/>
    <s v="2108-02"/>
    <n v="0"/>
    <n v="3990"/>
    <s v="Centralización ventas febrero 2026  #37879 - iva débito fiscal"/>
    <n v="-3990"/>
    <s v="Pasivo"/>
    <n v="3990"/>
    <x v="68"/>
  </r>
  <r>
    <n v="2026"/>
    <n v="2"/>
    <s v="28-02-2026"/>
    <n v="10465"/>
    <s v="2108-02"/>
    <n v="0"/>
    <n v="5266"/>
    <s v="Centralización ventas febrero 2026  #37880 - iva débito fiscal"/>
    <n v="-5266"/>
    <s v="Pasivo"/>
    <n v="5266"/>
    <x v="68"/>
  </r>
  <r>
    <n v="2026"/>
    <n v="2"/>
    <s v="28-02-2026"/>
    <n v="10466"/>
    <s v="2108-02"/>
    <n v="0"/>
    <n v="2393"/>
    <s v="Centralización ventas febrero 2026  #37881 - iva débito fiscal"/>
    <n v="-2393"/>
    <s v="Pasivo"/>
    <n v="2393"/>
    <x v="68"/>
  </r>
  <r>
    <n v="2026"/>
    <n v="2"/>
    <s v="28-02-2026"/>
    <n v="10467"/>
    <s v="2108-02"/>
    <n v="0"/>
    <n v="3511"/>
    <s v="Centralización ventas febrero 2026  #37882 - iva débito fiscal"/>
    <n v="-3511"/>
    <s v="Pasivo"/>
    <n v="3511"/>
    <x v="68"/>
  </r>
  <r>
    <n v="2026"/>
    <n v="2"/>
    <s v="28-02-2026"/>
    <n v="10468"/>
    <s v="2108-02"/>
    <n v="0"/>
    <n v="6387"/>
    <s v="Centralización ventas febrero 2026  #37883 - iva débito fiscal"/>
    <n v="-6387"/>
    <s v="Pasivo"/>
    <n v="6387"/>
    <x v="68"/>
  </r>
  <r>
    <n v="2026"/>
    <n v="2"/>
    <s v="28-02-2026"/>
    <n v="10469"/>
    <s v="2108-02"/>
    <n v="0"/>
    <n v="37159"/>
    <s v="Centralización ventas febrero 2026  #37887 - iva débito fiscal"/>
    <n v="-37159"/>
    <s v="Pasivo"/>
    <n v="37159"/>
    <x v="68"/>
  </r>
  <r>
    <n v="2026"/>
    <n v="2"/>
    <s v="28-02-2026"/>
    <n v="10470"/>
    <s v="2108-02"/>
    <n v="0"/>
    <n v="17563"/>
    <s v="Centralización ventas febrero 2026  #37888 - iva débito fiscal"/>
    <n v="-17563"/>
    <s v="Pasivo"/>
    <n v="17563"/>
    <x v="68"/>
  </r>
  <r>
    <n v="2026"/>
    <n v="2"/>
    <s v="28-02-2026"/>
    <n v="10471"/>
    <s v="2108-02"/>
    <n v="0"/>
    <n v="2393"/>
    <s v="Centralización ventas febrero 2026  #37889 - iva débito fiscal"/>
    <n v="-2393"/>
    <s v="Pasivo"/>
    <n v="2393"/>
    <x v="68"/>
  </r>
  <r>
    <n v="2026"/>
    <n v="2"/>
    <s v="28-02-2026"/>
    <n v="10472"/>
    <s v="2108-02"/>
    <n v="0"/>
    <n v="5587"/>
    <s v="Centralización ventas febrero 2026  #37890 - iva débito fiscal"/>
    <n v="-5587"/>
    <s v="Pasivo"/>
    <n v="5587"/>
    <x v="68"/>
  </r>
  <r>
    <n v="2026"/>
    <n v="2"/>
    <s v="28-02-2026"/>
    <n v="10473"/>
    <s v="2108-02"/>
    <n v="0"/>
    <n v="83025"/>
    <s v="Centralización ventas febrero 2026  #37891 - iva débito fiscal"/>
    <n v="-83025"/>
    <s v="Pasivo"/>
    <n v="83025"/>
    <x v="68"/>
  </r>
  <r>
    <n v="2026"/>
    <n v="2"/>
    <s v="28-02-2026"/>
    <n v="10474"/>
    <s v="2108-02"/>
    <n v="0"/>
    <n v="3990"/>
    <s v="Centralización ventas febrero 2026  #37892 - iva débito fiscal"/>
    <n v="-3990"/>
    <s v="Pasivo"/>
    <n v="3990"/>
    <x v="68"/>
  </r>
  <r>
    <n v="2026"/>
    <n v="2"/>
    <s v="28-02-2026"/>
    <n v="10475"/>
    <s v="2108-02"/>
    <n v="0"/>
    <n v="33250"/>
    <s v="Centralización ventas febrero 2026  #37894 - iva débito fiscal"/>
    <n v="-33250"/>
    <s v="Pasivo"/>
    <n v="33250"/>
    <x v="68"/>
  </r>
  <r>
    <n v="2026"/>
    <n v="2"/>
    <s v="28-02-2026"/>
    <n v="10476"/>
    <s v="2108-02"/>
    <n v="0"/>
    <n v="4790"/>
    <s v="Centralización ventas febrero 2026  #37895 - iva débito fiscal"/>
    <n v="-4790"/>
    <s v="Pasivo"/>
    <n v="4790"/>
    <x v="68"/>
  </r>
  <r>
    <n v="2026"/>
    <n v="2"/>
    <s v="28-02-2026"/>
    <n v="10477"/>
    <s v="2108-02"/>
    <n v="0"/>
    <n v="83025"/>
    <s v="Centralización ventas febrero 2026  #37897 - iva débito fiscal"/>
    <n v="-83025"/>
    <s v="Pasivo"/>
    <n v="83025"/>
    <x v="68"/>
  </r>
  <r>
    <n v="2026"/>
    <n v="2"/>
    <s v="28-02-2026"/>
    <n v="10478"/>
    <s v="2108-02"/>
    <n v="0"/>
    <n v="26090"/>
    <s v="Centralización ventas febrero 2026  #37898 - iva débito fiscal"/>
    <n v="-26090"/>
    <s v="Pasivo"/>
    <n v="26090"/>
    <x v="68"/>
  </r>
  <r>
    <n v="2026"/>
    <n v="2"/>
    <s v="28-02-2026"/>
    <n v="10479"/>
    <s v="2108-02"/>
    <n v="0"/>
    <n v="6650"/>
    <s v="Centralización ventas febrero 2026  #37899 - iva débito fiscal"/>
    <n v="-6650"/>
    <s v="Pasivo"/>
    <n v="6650"/>
    <x v="68"/>
  </r>
  <r>
    <n v="2026"/>
    <n v="2"/>
    <s v="28-02-2026"/>
    <n v="10480"/>
    <s v="2108-02"/>
    <n v="0"/>
    <n v="3511"/>
    <s v="Centralización ventas febrero 2026  #37900 - iva débito fiscal"/>
    <n v="-3511"/>
    <s v="Pasivo"/>
    <n v="3511"/>
    <x v="68"/>
  </r>
  <r>
    <n v="2026"/>
    <n v="2"/>
    <s v="28-02-2026"/>
    <n v="10481"/>
    <s v="2108-02"/>
    <n v="0"/>
    <n v="12767"/>
    <s v="Centralización ventas febrero 2026  #37901 - iva débito fiscal"/>
    <n v="-12767"/>
    <s v="Pasivo"/>
    <n v="12767"/>
    <x v="68"/>
  </r>
  <r>
    <n v="2026"/>
    <n v="2"/>
    <s v="28-02-2026"/>
    <n v="10482"/>
    <s v="2108-02"/>
    <n v="0"/>
    <n v="8780"/>
    <s v="Centralización ventas febrero 2026  #37902 - iva débito fiscal"/>
    <n v="-8780"/>
    <s v="Pasivo"/>
    <n v="8780"/>
    <x v="68"/>
  </r>
  <r>
    <n v="2026"/>
    <n v="2"/>
    <s v="28-02-2026"/>
    <n v="10483"/>
    <s v="2108-02"/>
    <n v="0"/>
    <n v="83025"/>
    <s v="Centralización ventas febrero 2026  #37903 - iva débito fiscal"/>
    <n v="-83025"/>
    <s v="Pasivo"/>
    <n v="83025"/>
    <x v="68"/>
  </r>
  <r>
    <n v="2026"/>
    <n v="2"/>
    <s v="28-02-2026"/>
    <n v="10484"/>
    <s v="2108-02"/>
    <n v="0"/>
    <n v="3990"/>
    <s v="Centralización ventas febrero 2026  #37904 - iva débito fiscal"/>
    <n v="-3990"/>
    <s v="Pasivo"/>
    <n v="3990"/>
    <x v="68"/>
  </r>
  <r>
    <n v="2026"/>
    <n v="2"/>
    <s v="28-02-2026"/>
    <n v="10485"/>
    <s v="2108-02"/>
    <n v="0"/>
    <n v="5587"/>
    <s v="Centralización ventas febrero 2026  #37905 - iva débito fiscal"/>
    <n v="-5587"/>
    <s v="Pasivo"/>
    <n v="5587"/>
    <x v="68"/>
  </r>
  <r>
    <n v="2026"/>
    <n v="2"/>
    <s v="28-02-2026"/>
    <n v="10486"/>
    <s v="2108-02"/>
    <n v="0"/>
    <n v="52857"/>
    <s v="Centralización ventas febrero 2026  #37906 - iva débito fiscal"/>
    <n v="-52857"/>
    <s v="Pasivo"/>
    <n v="52857"/>
    <x v="68"/>
  </r>
  <r>
    <n v="2026"/>
    <n v="2"/>
    <s v="28-02-2026"/>
    <n v="10487"/>
    <s v="2108-02"/>
    <n v="0"/>
    <n v="2393"/>
    <s v="Centralización ventas febrero 2026  #37907 - iva débito fiscal"/>
    <n v="-2393"/>
    <s v="Pasivo"/>
    <n v="2393"/>
    <x v="68"/>
  </r>
  <r>
    <n v="2026"/>
    <n v="2"/>
    <s v="28-02-2026"/>
    <n v="10488"/>
    <s v="2108-02"/>
    <n v="0"/>
    <n v="4629"/>
    <s v="Centralización ventas febrero 2026  #37910 - iva débito fiscal"/>
    <n v="-4629"/>
    <s v="Pasivo"/>
    <n v="4629"/>
    <x v="68"/>
  </r>
  <r>
    <n v="2026"/>
    <n v="2"/>
    <s v="28-02-2026"/>
    <n v="10489"/>
    <s v="2108-02"/>
    <n v="0"/>
    <n v="5269"/>
    <s v="Centralización ventas febrero 2026  #37911 - iva débito fiscal"/>
    <n v="-5269"/>
    <s v="Pasivo"/>
    <n v="5269"/>
    <x v="68"/>
  </r>
  <r>
    <n v="2026"/>
    <n v="2"/>
    <s v="28-02-2026"/>
    <n v="10490"/>
    <s v="2108-02"/>
    <n v="0"/>
    <n v="350140"/>
    <s v="Centralización ventas febrero 2026  #37912 - iva débito fiscal"/>
    <n v="-350140"/>
    <s v="Pasivo"/>
    <n v="350140"/>
    <x v="68"/>
  </r>
  <r>
    <n v="2026"/>
    <n v="2"/>
    <s v="28-02-2026"/>
    <n v="10491"/>
    <s v="2108-02"/>
    <n v="0"/>
    <n v="127601"/>
    <s v="Centralización ventas febrero 2026  #37913 - iva débito fiscal"/>
    <n v="-127601"/>
    <s v="Pasivo"/>
    <n v="127601"/>
    <x v="68"/>
  </r>
  <r>
    <n v="2026"/>
    <n v="2"/>
    <s v="28-02-2026"/>
    <n v="10492"/>
    <s v="2108-02"/>
    <n v="0"/>
    <n v="9580"/>
    <s v="Centralización ventas febrero 2026  #37914 - iva débito fiscal"/>
    <n v="-9580"/>
    <s v="Pasivo"/>
    <n v="9580"/>
    <x v="68"/>
  </r>
  <r>
    <n v="2026"/>
    <n v="2"/>
    <s v="28-02-2026"/>
    <n v="10493"/>
    <s v="2108-02"/>
    <n v="0"/>
    <n v="14250"/>
    <s v="Centralización ventas febrero 2026  #37915 - iva débito fiscal"/>
    <n v="-14250"/>
    <s v="Pasivo"/>
    <n v="14250"/>
    <x v="68"/>
  </r>
  <r>
    <n v="2026"/>
    <n v="2"/>
    <s v="28-02-2026"/>
    <n v="10494"/>
    <s v="2108-02"/>
    <n v="0"/>
    <n v="8780"/>
    <s v="Centralización ventas febrero 2026  #37916 - iva débito fiscal"/>
    <n v="-8780"/>
    <s v="Pasivo"/>
    <n v="8780"/>
    <x v="68"/>
  </r>
  <r>
    <n v="2026"/>
    <n v="2"/>
    <s v="28-02-2026"/>
    <n v="10495"/>
    <s v="2108-02"/>
    <n v="0"/>
    <n v="3511"/>
    <s v="Centralización ventas febrero 2026  #37917 - iva débito fiscal"/>
    <n v="-3511"/>
    <s v="Pasivo"/>
    <n v="3511"/>
    <x v="68"/>
  </r>
  <r>
    <n v="2026"/>
    <n v="2"/>
    <s v="28-02-2026"/>
    <n v="10496"/>
    <s v="2108-02"/>
    <n v="0"/>
    <n v="14248"/>
    <s v="Centralización ventas febrero 2026  #37918 - iva débito fiscal"/>
    <n v="-14248"/>
    <s v="Pasivo"/>
    <n v="14248"/>
    <x v="68"/>
  </r>
  <r>
    <n v="2026"/>
    <n v="2"/>
    <s v="28-02-2026"/>
    <n v="10497"/>
    <s v="2108-02"/>
    <n v="0"/>
    <n v="3992"/>
    <s v="Centralización ventas febrero 2026  #37919 - iva débito fiscal"/>
    <n v="-3992"/>
    <s v="Pasivo"/>
    <n v="3992"/>
    <x v="68"/>
  </r>
  <r>
    <n v="2026"/>
    <n v="2"/>
    <s v="28-02-2026"/>
    <n v="10498"/>
    <s v="2108-02"/>
    <n v="0"/>
    <n v="123706"/>
    <s v="Centralización ventas febrero 2026  #37920 - iva débito fiscal"/>
    <n v="-123706"/>
    <s v="Pasivo"/>
    <n v="123706"/>
    <x v="68"/>
  </r>
  <r>
    <n v="2026"/>
    <n v="2"/>
    <s v="28-02-2026"/>
    <n v="10499"/>
    <s v="2108-02"/>
    <n v="0"/>
    <n v="30204"/>
    <s v="Centralización ventas febrero 2026  #37922 - iva débito fiscal"/>
    <n v="-30204"/>
    <s v="Pasivo"/>
    <n v="30204"/>
    <x v="68"/>
  </r>
  <r>
    <n v="2026"/>
    <n v="2"/>
    <s v="28-02-2026"/>
    <n v="10500"/>
    <s v="2108-02"/>
    <n v="0"/>
    <n v="2393"/>
    <s v="Centralización ventas febrero 2026  #37923 - iva débito fiscal"/>
    <n v="-2393"/>
    <s v="Pasivo"/>
    <n v="2393"/>
    <x v="68"/>
  </r>
  <r>
    <n v="2026"/>
    <n v="2"/>
    <s v="28-02-2026"/>
    <n v="10501"/>
    <s v="2108-02"/>
    <n v="0"/>
    <n v="5700"/>
    <s v="Centralización ventas febrero 2026  #37924 - iva débito fiscal"/>
    <n v="-5700"/>
    <s v="Pasivo"/>
    <n v="5700"/>
    <x v="68"/>
  </r>
  <r>
    <n v="2026"/>
    <n v="2"/>
    <s v="28-02-2026"/>
    <n v="10502"/>
    <s v="2108-02"/>
    <n v="0"/>
    <n v="6387"/>
    <s v="Centralización ventas febrero 2026  #37925 - iva débito fiscal"/>
    <n v="-6387"/>
    <s v="Pasivo"/>
    <n v="6387"/>
    <x v="68"/>
  </r>
  <r>
    <n v="2026"/>
    <n v="2"/>
    <s v="28-02-2026"/>
    <n v="10503"/>
    <s v="2108-02"/>
    <n v="0"/>
    <n v="272387"/>
    <s v="Centralización ventas febrero 2026  #37926 - iva débito fiscal"/>
    <n v="-272387"/>
    <s v="Pasivo"/>
    <n v="272387"/>
    <x v="68"/>
  </r>
  <r>
    <n v="2026"/>
    <n v="2"/>
    <s v="28-02-2026"/>
    <n v="10504"/>
    <s v="2108-02"/>
    <n v="0"/>
    <n v="3990"/>
    <s v="Centralización ventas febrero 2026  #37927 - iva débito fiscal"/>
    <n v="-3990"/>
    <s v="Pasivo"/>
    <n v="3990"/>
    <x v="68"/>
  </r>
  <r>
    <n v="2026"/>
    <n v="2"/>
    <s v="28-02-2026"/>
    <n v="10505"/>
    <s v="2108-02"/>
    <n v="0"/>
    <n v="3990"/>
    <s v="Centralización ventas febrero 2026  #37928 - iva débito fiscal"/>
    <n v="-3990"/>
    <s v="Pasivo"/>
    <n v="3990"/>
    <x v="68"/>
  </r>
  <r>
    <n v="2026"/>
    <n v="2"/>
    <s v="28-02-2026"/>
    <n v="10506"/>
    <s v="2108-02"/>
    <n v="0"/>
    <n v="2393"/>
    <s v="Centralización ventas febrero 2026  #37930 - iva débito fiscal"/>
    <n v="-2393"/>
    <s v="Pasivo"/>
    <n v="2393"/>
    <x v="68"/>
  </r>
  <r>
    <n v="2026"/>
    <n v="2"/>
    <s v="28-02-2026"/>
    <n v="10507"/>
    <s v="2108-02"/>
    <n v="0"/>
    <n v="5587"/>
    <s v="Centralización ventas febrero 2026  #37931 - iva débito fiscal"/>
    <n v="-5587"/>
    <s v="Pasivo"/>
    <n v="5587"/>
    <x v="68"/>
  </r>
  <r>
    <n v="2026"/>
    <n v="2"/>
    <s v="28-02-2026"/>
    <n v="10508"/>
    <s v="2108-02"/>
    <n v="0"/>
    <n v="90630"/>
    <s v="Centralización ventas febrero 2026  #37932 - iva débito fiscal"/>
    <n v="-90630"/>
    <s v="Pasivo"/>
    <n v="90630"/>
    <x v="68"/>
  </r>
  <r>
    <n v="2026"/>
    <n v="2"/>
    <s v="28-02-2026"/>
    <n v="10509"/>
    <s v="2108-02"/>
    <n v="0"/>
    <n v="5700"/>
    <s v="Centralización ventas febrero 2026  #37933 - iva débito fiscal"/>
    <n v="-5700"/>
    <s v="Pasivo"/>
    <n v="5700"/>
    <x v="68"/>
  </r>
  <r>
    <n v="2026"/>
    <n v="2"/>
    <s v="28-02-2026"/>
    <n v="10510"/>
    <s v="2108-02"/>
    <n v="0"/>
    <n v="3832"/>
    <s v="Centralización ventas febrero 2026  #37934 - iva débito fiscal"/>
    <n v="-3832"/>
    <s v="Pasivo"/>
    <n v="3832"/>
    <x v="68"/>
  </r>
  <r>
    <n v="2026"/>
    <n v="2"/>
    <s v="28-02-2026"/>
    <n v="10511"/>
    <s v="2108-02"/>
    <n v="0"/>
    <n v="4750"/>
    <s v="Centralización ventas febrero 2026  #37935 - iva débito fiscal"/>
    <n v="-4750"/>
    <s v="Pasivo"/>
    <n v="4750"/>
    <x v="68"/>
  </r>
  <r>
    <n v="2026"/>
    <n v="2"/>
    <s v="28-02-2026"/>
    <n v="10512"/>
    <s v="2108-02"/>
    <n v="0"/>
    <n v="12271"/>
    <s v="Centralización ventas febrero 2026  #37936 - iva débito fiscal"/>
    <n v="-12271"/>
    <s v="Pasivo"/>
    <n v="12271"/>
    <x v="68"/>
  </r>
  <r>
    <n v="2026"/>
    <n v="2"/>
    <s v="28-02-2026"/>
    <n v="10513"/>
    <s v="2108-02"/>
    <n v="0"/>
    <n v="380000"/>
    <s v="Centralización ventas febrero 2026  #37937 - iva débito fiscal"/>
    <n v="-380000"/>
    <s v="Pasivo"/>
    <n v="380000"/>
    <x v="68"/>
  </r>
  <r>
    <n v="2026"/>
    <n v="2"/>
    <s v="28-02-2026"/>
    <n v="10514"/>
    <s v="2108-02"/>
    <n v="0"/>
    <n v="380000"/>
    <s v="Centralización ventas febrero 2026  #37938 - iva débito fiscal"/>
    <n v="-380000"/>
    <s v="Pasivo"/>
    <n v="380000"/>
    <x v="68"/>
  </r>
  <r>
    <n v="2026"/>
    <n v="2"/>
    <s v="28-02-2026"/>
    <n v="10515"/>
    <s v="2108-02"/>
    <n v="0"/>
    <n v="9024"/>
    <s v="Centralización ventas febrero 2026  #37939 - iva débito fiscal"/>
    <n v="-9024"/>
    <s v="Pasivo"/>
    <n v="9024"/>
    <x v="68"/>
  </r>
  <r>
    <n v="2026"/>
    <n v="2"/>
    <s v="28-02-2026"/>
    <n v="10516"/>
    <s v="2108-02"/>
    <n v="0"/>
    <n v="19363"/>
    <s v="Centralización ventas febrero 2026  #37941 - iva débito fiscal"/>
    <n v="-19363"/>
    <s v="Pasivo"/>
    <n v="19363"/>
    <x v="68"/>
  </r>
  <r>
    <n v="2026"/>
    <n v="2"/>
    <s v="28-02-2026"/>
    <n v="10517"/>
    <s v="2108-02"/>
    <n v="0"/>
    <n v="39498"/>
    <s v="Centralización ventas febrero 2026  #37942 - iva débito fiscal"/>
    <n v="-39498"/>
    <s v="Pasivo"/>
    <n v="39498"/>
    <x v="68"/>
  </r>
  <r>
    <n v="2026"/>
    <n v="2"/>
    <s v="28-02-2026"/>
    <n v="10518"/>
    <s v="2108-02"/>
    <n v="0"/>
    <n v="20627"/>
    <s v="Centralización ventas febrero 2026  #37943 - iva débito fiscal"/>
    <n v="-20627"/>
    <s v="Pasivo"/>
    <n v="20627"/>
    <x v="68"/>
  </r>
  <r>
    <n v="2026"/>
    <n v="2"/>
    <s v="28-02-2026"/>
    <n v="10519"/>
    <s v="2108-02"/>
    <n v="0"/>
    <n v="24748"/>
    <s v="Centralización ventas febrero 2026  #37945 - iva débito fiscal"/>
    <n v="-24748"/>
    <s v="Pasivo"/>
    <n v="24748"/>
    <x v="68"/>
  </r>
  <r>
    <n v="2026"/>
    <n v="2"/>
    <s v="28-02-2026"/>
    <n v="10520"/>
    <s v="2108-02"/>
    <n v="0"/>
    <n v="130963"/>
    <s v="Centralización ventas febrero 2026  #37953 - iva débito fiscal"/>
    <n v="-130963"/>
    <s v="Pasivo"/>
    <n v="130963"/>
    <x v="68"/>
  </r>
  <r>
    <n v="2026"/>
    <n v="2"/>
    <s v="28-02-2026"/>
    <n v="10521"/>
    <s v="2108-02"/>
    <n v="0"/>
    <n v="4788"/>
    <s v="Centralización ventas febrero 2026  #37959 - iva débito fiscal"/>
    <n v="-4788"/>
    <s v="Pasivo"/>
    <n v="4788"/>
    <x v="68"/>
  </r>
  <r>
    <n v="2026"/>
    <n v="2"/>
    <s v="28-02-2026"/>
    <n v="10522"/>
    <s v="2108-02"/>
    <n v="0"/>
    <n v="4178"/>
    <s v="Centralización ventas febrero 2026  #37962 - iva débito fiscal"/>
    <n v="-4178"/>
    <s v="Pasivo"/>
    <n v="4178"/>
    <x v="68"/>
  </r>
  <r>
    <n v="2026"/>
    <n v="2"/>
    <s v="28-02-2026"/>
    <n v="10523"/>
    <s v="2108-02"/>
    <n v="0"/>
    <n v="4629"/>
    <s v="Centralización ventas febrero 2026  #37963 - iva débito fiscal"/>
    <n v="-4629"/>
    <s v="Pasivo"/>
    <n v="4629"/>
    <x v="68"/>
  </r>
  <r>
    <n v="2026"/>
    <n v="2"/>
    <s v="28-02-2026"/>
    <n v="10524"/>
    <s v="2108-02"/>
    <n v="0"/>
    <n v="3990"/>
    <s v="Centralización ventas febrero 2026  #37964 - iva débito fiscal"/>
    <n v="-3990"/>
    <s v="Pasivo"/>
    <n v="3990"/>
    <x v="68"/>
  </r>
  <r>
    <n v="2026"/>
    <n v="2"/>
    <s v="28-02-2026"/>
    <n v="10525"/>
    <s v="2108-02"/>
    <n v="0"/>
    <n v="53703"/>
    <s v="Centralización ventas febrero 2026  #37965 - iva débito fiscal"/>
    <n v="-53703"/>
    <s v="Pasivo"/>
    <n v="53703"/>
    <x v="68"/>
  </r>
  <r>
    <n v="2026"/>
    <n v="2"/>
    <s v="28-02-2026"/>
    <n v="10526"/>
    <s v="2108-02"/>
    <n v="0"/>
    <n v="55590"/>
    <s v="Centralización ventas febrero 2026  #37966 - iva débito fiscal"/>
    <n v="-55590"/>
    <s v="Pasivo"/>
    <n v="55590"/>
    <x v="68"/>
  </r>
  <r>
    <n v="2026"/>
    <n v="2"/>
    <s v="28-02-2026"/>
    <n v="10527"/>
    <s v="2108-02"/>
    <n v="0"/>
    <n v="395789"/>
    <s v="Centralización ventas febrero 2026  #37968 - iva débito fiscal"/>
    <n v="-395789"/>
    <s v="Pasivo"/>
    <n v="395789"/>
    <x v="68"/>
  </r>
  <r>
    <n v="2026"/>
    <n v="2"/>
    <s v="28-02-2026"/>
    <n v="10528"/>
    <s v="2108-02"/>
    <n v="0"/>
    <n v="3192"/>
    <s v="Centralización ventas febrero 2026  #37969 - iva débito fiscal"/>
    <n v="-3192"/>
    <s v="Pasivo"/>
    <n v="3192"/>
    <x v="68"/>
  </r>
  <r>
    <n v="2026"/>
    <n v="2"/>
    <s v="28-02-2026"/>
    <n v="10529"/>
    <s v="2108-02"/>
    <n v="4750"/>
    <n v="0"/>
    <s v="Centralización ventas febrero 2026  #4501 - iva débito fiscal"/>
    <n v="4750"/>
    <s v="Pasivo"/>
    <n v="-4750"/>
    <x v="68"/>
  </r>
  <r>
    <n v="2026"/>
    <n v="2"/>
    <s v="28-02-2026"/>
    <n v="10530"/>
    <s v="2108-02"/>
    <n v="14248"/>
    <n v="0"/>
    <s v="Centralización ventas febrero 2026  #4510 - iva débito fiscal"/>
    <n v="14248"/>
    <s v="Pasivo"/>
    <n v="-14248"/>
    <x v="68"/>
  </r>
  <r>
    <n v="2026"/>
    <n v="2"/>
    <s v="28-02-2026"/>
    <n v="10531"/>
    <s v="2108-02"/>
    <n v="39498"/>
    <n v="0"/>
    <s v="Centralización ventas febrero 2026  #4520 - iva débito fiscal"/>
    <n v="39498"/>
    <s v="Pasivo"/>
    <n v="-39498"/>
    <x v="68"/>
  </r>
  <r>
    <n v="2026"/>
    <n v="2"/>
    <s v="28-02-2026"/>
    <n v="10532"/>
    <s v="2108-02"/>
    <n v="8619"/>
    <n v="0"/>
    <s v="Centralización ventas febrero 2026  #4525 - iva débito fiscal"/>
    <n v="8619"/>
    <s v="Pasivo"/>
    <n v="-8619"/>
    <x v="68"/>
  </r>
  <r>
    <n v="2026"/>
    <n v="2"/>
    <s v="28-02-2026"/>
    <n v="10533"/>
    <s v="2108-02"/>
    <n v="3057"/>
    <n v="0"/>
    <s v="Centralización ventas febrero 2026  #4527 - iva débito fiscal"/>
    <n v="3057"/>
    <s v="Pasivo"/>
    <n v="-3057"/>
    <x v="68"/>
  </r>
  <r>
    <n v="2026"/>
    <n v="2"/>
    <s v="28-02-2026"/>
    <n v="10534"/>
    <s v="2108-02"/>
    <n v="2074"/>
    <n v="0"/>
    <s v="Centralización ventas febrero 2026  #4528 - iva débito fiscal"/>
    <n v="2074"/>
    <s v="Pasivo"/>
    <n v="-2074"/>
    <x v="68"/>
  </r>
  <r>
    <n v="2026"/>
    <n v="2"/>
    <s v="28-02-2026"/>
    <n v="10535"/>
    <s v="2108-02"/>
    <n v="5266"/>
    <n v="0"/>
    <s v="Centralización ventas febrero 2026  #4529 - iva débito fiscal"/>
    <n v="5266"/>
    <s v="Pasivo"/>
    <n v="-5266"/>
    <x v="68"/>
  </r>
  <r>
    <n v="2026"/>
    <n v="2"/>
    <s v="28-02-2026"/>
    <n v="10536"/>
    <s v="2108-02"/>
    <n v="5906"/>
    <n v="0"/>
    <s v="Centralización ventas febrero 2026  #4530 - iva débito fiscal"/>
    <n v="5906"/>
    <s v="Pasivo"/>
    <n v="-5906"/>
    <x v="68"/>
  </r>
  <r>
    <n v="2026"/>
    <n v="2"/>
    <s v="28-02-2026"/>
    <n v="10537"/>
    <s v="2108-02"/>
    <n v="21076"/>
    <n v="0"/>
    <s v="Centralización ventas febrero 2026  #4531 - iva débito fiscal"/>
    <n v="21076"/>
    <s v="Pasivo"/>
    <n v="-21076"/>
    <x v="68"/>
  </r>
  <r>
    <n v="2026"/>
    <n v="2"/>
    <s v="28-02-2026"/>
    <n v="10538"/>
    <s v="2108-02"/>
    <n v="24748"/>
    <n v="0"/>
    <s v="Centralización ventas febrero 2026  #4532 - iva débito fiscal"/>
    <n v="24748"/>
    <s v="Pasivo"/>
    <n v="-24748"/>
    <x v="68"/>
  </r>
  <r>
    <n v="2026"/>
    <n v="2"/>
    <s v="28-02-2026"/>
    <n v="10539"/>
    <s v="2108-02"/>
    <n v="3669"/>
    <n v="0"/>
    <s v="Centralización ventas febrero 2026  #4533 - iva débito fiscal"/>
    <n v="3669"/>
    <s v="Pasivo"/>
    <n v="-3669"/>
    <x v="68"/>
  </r>
  <r>
    <n v="2026"/>
    <n v="2"/>
    <s v="28-02-2026"/>
    <n v="10540"/>
    <s v="2108-02"/>
    <n v="6224"/>
    <n v="0"/>
    <s v="Centralización ventas febrero 2026  #4534 - iva débito fiscal"/>
    <n v="6224"/>
    <s v="Pasivo"/>
    <n v="-6224"/>
    <x v="68"/>
  </r>
  <r>
    <n v="2026"/>
    <n v="2"/>
    <s v="28-02-2026"/>
    <n v="10541"/>
    <s v="2108-02"/>
    <n v="1340"/>
    <n v="0"/>
    <s v="Centralización ventas febrero 2026  #4535 - iva débito fiscal"/>
    <n v="1340"/>
    <s v="Pasivo"/>
    <n v="-1340"/>
    <x v="68"/>
  </r>
  <r>
    <n v="2026"/>
    <n v="2"/>
    <s v="28-02-2026"/>
    <n v="10542"/>
    <s v="2108-02"/>
    <n v="2074"/>
    <n v="0"/>
    <s v="Centralización ventas febrero 2026  #4536 - iva débito fiscal"/>
    <n v="2074"/>
    <s v="Pasivo"/>
    <n v="-2074"/>
    <x v="68"/>
  </r>
  <r>
    <n v="2026"/>
    <n v="2"/>
    <s v="28-02-2026"/>
    <n v="10543"/>
    <s v="2108-02"/>
    <n v="3829"/>
    <n v="0"/>
    <s v="Centralización ventas febrero 2026  #4537 - iva débito fiscal"/>
    <n v="3829"/>
    <s v="Pasivo"/>
    <n v="-3829"/>
    <x v="68"/>
  </r>
  <r>
    <n v="2026"/>
    <n v="2"/>
    <s v="28-02-2026"/>
    <n v="10544"/>
    <s v="2108-02"/>
    <n v="4148"/>
    <n v="0"/>
    <s v="Centralización ventas febrero 2026  #4538 - iva débito fiscal"/>
    <n v="4148"/>
    <s v="Pasivo"/>
    <n v="-4148"/>
    <x v="68"/>
  </r>
  <r>
    <n v="2026"/>
    <n v="2"/>
    <s v="28-02-2026"/>
    <n v="10545"/>
    <s v="2108-02"/>
    <n v="5407"/>
    <n v="0"/>
    <s v="Centralización ventas febrero 2026  #4539 - iva débito fiscal"/>
    <n v="5407"/>
    <s v="Pasivo"/>
    <n v="-5407"/>
    <x v="68"/>
  </r>
  <r>
    <n v="2026"/>
    <n v="2"/>
    <s v="28-02-2026"/>
    <n v="10546"/>
    <s v="2108-02"/>
    <n v="4629"/>
    <n v="0"/>
    <s v="Centralización ventas febrero 2026  #4540 - iva débito fiscal"/>
    <n v="4629"/>
    <s v="Pasivo"/>
    <n v="-4629"/>
    <x v="68"/>
  </r>
  <r>
    <n v="2026"/>
    <n v="2"/>
    <s v="28-02-2026"/>
    <n v="10547"/>
    <s v="2108-02"/>
    <n v="4790"/>
    <n v="0"/>
    <s v="Centralización ventas febrero 2026  #4541 - iva débito fiscal"/>
    <n v="4790"/>
    <s v="Pasivo"/>
    <n v="-4790"/>
    <x v="68"/>
  </r>
  <r>
    <n v="2026"/>
    <n v="2"/>
    <s v="28-02-2026"/>
    <n v="10548"/>
    <s v="2108-02"/>
    <n v="2074"/>
    <n v="0"/>
    <s v="Centralización ventas febrero 2026  #4542 - iva débito fiscal"/>
    <n v="2074"/>
    <s v="Pasivo"/>
    <n v="-2074"/>
    <x v="68"/>
  </r>
  <r>
    <n v="2026"/>
    <n v="2"/>
    <s v="28-02-2026"/>
    <n v="10549"/>
    <s v="2108-02"/>
    <n v="1595"/>
    <n v="0"/>
    <s v="Centralización ventas febrero 2026  #4543 - iva débito fiscal"/>
    <n v="1595"/>
    <s v="Pasivo"/>
    <n v="-1595"/>
    <x v="68"/>
  </r>
  <r>
    <n v="2026"/>
    <n v="2"/>
    <s v="28-02-2026"/>
    <n v="10550"/>
    <s v="2108-02"/>
    <n v="9883"/>
    <n v="0"/>
    <s v="Centralización ventas febrero 2026  #4544 - iva débito fiscal"/>
    <n v="9883"/>
    <s v="Pasivo"/>
    <n v="-9883"/>
    <x v="68"/>
  </r>
  <r>
    <n v="2026"/>
    <n v="2"/>
    <s v="28-02-2026"/>
    <n v="10551"/>
    <s v="2108-02"/>
    <n v="7067"/>
    <n v="0"/>
    <s v="Centralización ventas febrero 2026  #4545 - iva débito fiscal"/>
    <n v="7067"/>
    <s v="Pasivo"/>
    <n v="-7067"/>
    <x v="68"/>
  </r>
  <r>
    <n v="2026"/>
    <n v="2"/>
    <s v="28-02-2026"/>
    <n v="10552"/>
    <s v="2108-02"/>
    <n v="319"/>
    <n v="0"/>
    <s v="Centralización ventas febrero 2026  #4546 - iva débito fiscal"/>
    <n v="319"/>
    <s v="Pasivo"/>
    <n v="-319"/>
    <x v="68"/>
  </r>
  <r>
    <n v="2026"/>
    <n v="2"/>
    <s v="28-02-2026"/>
    <n v="10553"/>
    <s v="2108-02"/>
    <n v="3511"/>
    <n v="0"/>
    <s v="Centralización ventas febrero 2026  #4547 - iva débito fiscal"/>
    <n v="3511"/>
    <s v="Pasivo"/>
    <n v="-3511"/>
    <x v="68"/>
  </r>
  <r>
    <n v="2026"/>
    <n v="2"/>
    <s v="28-02-2026"/>
    <n v="10554"/>
    <s v="2108-02"/>
    <n v="4884"/>
    <n v="0"/>
    <s v="Centralización ventas febrero 2026  #4548 - iva débito fiscal"/>
    <n v="4884"/>
    <s v="Pasivo"/>
    <n v="-4884"/>
    <x v="68"/>
  </r>
  <r>
    <n v="2026"/>
    <n v="2"/>
    <s v="28-02-2026"/>
    <n v="10555"/>
    <s v="2108-02"/>
    <n v="2341"/>
    <n v="0"/>
    <s v="Centralización ventas febrero 2026  #4549 - iva débito fiscal"/>
    <n v="2341"/>
    <s v="Pasivo"/>
    <n v="-2341"/>
    <x v="68"/>
  </r>
  <r>
    <n v="2026"/>
    <n v="2"/>
    <s v="28-02-2026"/>
    <n v="10556"/>
    <s v="2108-02"/>
    <n v="1516"/>
    <n v="0"/>
    <s v="Centralización ventas febrero 2026  #4550 - iva débito fiscal"/>
    <n v="1516"/>
    <s v="Pasivo"/>
    <n v="-1516"/>
    <x v="68"/>
  </r>
  <r>
    <n v="2026"/>
    <n v="2"/>
    <s v="28-02-2026"/>
    <n v="10557"/>
    <s v="2108-02"/>
    <n v="3192"/>
    <n v="0"/>
    <s v="Centralización ventas febrero 2026  #4551 - iva débito fiscal"/>
    <n v="3192"/>
    <s v="Pasivo"/>
    <n v="-3192"/>
    <x v="68"/>
  </r>
  <r>
    <n v="2026"/>
    <n v="2"/>
    <s v="28-02-2026"/>
    <n v="10558"/>
    <s v="2108-02"/>
    <n v="2575"/>
    <n v="0"/>
    <s v="Centralización ventas febrero 2026  #4552 - iva débito fiscal"/>
    <n v="2575"/>
    <s v="Pasivo"/>
    <n v="-2575"/>
    <x v="68"/>
  </r>
  <r>
    <n v="2026"/>
    <n v="2"/>
    <s v="28-02-2026"/>
    <n v="10559"/>
    <s v="2108-02"/>
    <n v="2393"/>
    <n v="0"/>
    <s v="Centralización ventas febrero 2026  #4553 - iva débito fiscal"/>
    <n v="2393"/>
    <s v="Pasivo"/>
    <n v="-2393"/>
    <x v="68"/>
  </r>
  <r>
    <n v="2026"/>
    <n v="2"/>
    <s v="28-02-2026"/>
    <n v="10560"/>
    <s v="2108-02"/>
    <n v="2074"/>
    <n v="0"/>
    <s v="Centralización ventas febrero 2026  #4554 - iva débito fiscal"/>
    <n v="2074"/>
    <s v="Pasivo"/>
    <n v="-2074"/>
    <x v="68"/>
  </r>
  <r>
    <n v="2026"/>
    <n v="2"/>
    <s v="28-02-2026"/>
    <n v="10561"/>
    <s v="2108-02"/>
    <n v="5263"/>
    <n v="0"/>
    <s v="Centralización ventas febrero 2026  #4555 - iva débito fiscal"/>
    <n v="5263"/>
    <s v="Pasivo"/>
    <n v="-5263"/>
    <x v="68"/>
  </r>
  <r>
    <n v="2026"/>
    <n v="2"/>
    <s v="28-02-2026"/>
    <n v="10562"/>
    <s v="2108-02"/>
    <n v="5106"/>
    <n v="0"/>
    <s v="Centralización ventas febrero 2026  #4556 - iva débito fiscal"/>
    <n v="5106"/>
    <s v="Pasivo"/>
    <n v="-5106"/>
    <x v="68"/>
  </r>
  <r>
    <n v="2026"/>
    <n v="2"/>
    <s v="28-02-2026"/>
    <n v="10563"/>
    <s v="2108-02"/>
    <n v="5104"/>
    <n v="0"/>
    <s v="Centralización ventas febrero 2026  #4557 - iva débito fiscal"/>
    <n v="5104"/>
    <s v="Pasivo"/>
    <n v="-5104"/>
    <x v="68"/>
  </r>
  <r>
    <n v="2026"/>
    <n v="2"/>
    <s v="28-02-2026"/>
    <n v="10564"/>
    <s v="2108-02"/>
    <n v="4948"/>
    <n v="0"/>
    <s v="Centralización ventas febrero 2026  #4558 - iva débito fiscal"/>
    <n v="4948"/>
    <s v="Pasivo"/>
    <n v="-4948"/>
    <x v="68"/>
  </r>
  <r>
    <n v="2026"/>
    <n v="2"/>
    <s v="28-02-2026"/>
    <n v="10565"/>
    <s v="2108-02"/>
    <n v="4790"/>
    <n v="0"/>
    <s v="Centralización ventas febrero 2026  #4559 - iva débito fiscal"/>
    <n v="4790"/>
    <s v="Pasivo"/>
    <n v="-4790"/>
    <x v="68"/>
  </r>
  <r>
    <n v="2026"/>
    <n v="2"/>
    <s v="28-02-2026"/>
    <n v="10566"/>
    <s v="2108-02"/>
    <n v="4790"/>
    <n v="0"/>
    <s v="Centralización ventas febrero 2026  #4560 - iva débito fiscal"/>
    <n v="4790"/>
    <s v="Pasivo"/>
    <n v="-4790"/>
    <x v="68"/>
  </r>
  <r>
    <n v="2026"/>
    <n v="2"/>
    <s v="28-02-2026"/>
    <n v="10567"/>
    <s v="2108-02"/>
    <n v="4629"/>
    <n v="0"/>
    <s v="Centralización ventas febrero 2026  #4561 - iva débito fiscal"/>
    <n v="4629"/>
    <s v="Pasivo"/>
    <n v="-4629"/>
    <x v="68"/>
  </r>
  <r>
    <n v="2026"/>
    <n v="2"/>
    <s v="28-02-2026"/>
    <n v="10568"/>
    <s v="2108-02"/>
    <n v="7183"/>
    <n v="0"/>
    <s v="Centralización ventas febrero 2026  #4562 - iva débito fiscal"/>
    <n v="7183"/>
    <s v="Pasivo"/>
    <n v="-7183"/>
    <x v="68"/>
  </r>
  <r>
    <n v="2026"/>
    <n v="2"/>
    <s v="28-02-2026"/>
    <n v="10569"/>
    <s v="2108-02"/>
    <n v="3988"/>
    <n v="0"/>
    <s v="Centralización ventas febrero 2026  #4563 - iva débito fiscal"/>
    <n v="3988"/>
    <s v="Pasivo"/>
    <n v="-3988"/>
    <x v="68"/>
  </r>
  <r>
    <n v="2026"/>
    <n v="2"/>
    <s v="28-02-2026"/>
    <n v="10570"/>
    <s v="2108-02"/>
    <n v="3671"/>
    <n v="0"/>
    <s v="Centralización ventas febrero 2026  #4564 - iva débito fiscal"/>
    <n v="3671"/>
    <s v="Pasivo"/>
    <n v="-3671"/>
    <x v="68"/>
  </r>
  <r>
    <n v="2026"/>
    <n v="2"/>
    <s v="28-02-2026"/>
    <n v="10571"/>
    <s v="2108-02"/>
    <n v="3669"/>
    <n v="0"/>
    <s v="Centralización ventas febrero 2026  #4565 - iva débito fiscal"/>
    <n v="3669"/>
    <s v="Pasivo"/>
    <n v="-3669"/>
    <x v="68"/>
  </r>
  <r>
    <n v="2026"/>
    <n v="2"/>
    <s v="28-02-2026"/>
    <n v="10572"/>
    <s v="2108-02"/>
    <n v="3511"/>
    <n v="0"/>
    <s v="Centralización ventas febrero 2026  #4566 - iva débito fiscal"/>
    <n v="3511"/>
    <s v="Pasivo"/>
    <n v="-3511"/>
    <x v="68"/>
  </r>
  <r>
    <n v="2026"/>
    <n v="2"/>
    <s v="28-02-2026"/>
    <n v="10573"/>
    <s v="2108-02"/>
    <n v="3393"/>
    <n v="0"/>
    <s v="Centralización ventas febrero 2026  #4567 - iva débito fiscal"/>
    <n v="3393"/>
    <s v="Pasivo"/>
    <n v="-3393"/>
    <x v="68"/>
  </r>
  <r>
    <n v="2026"/>
    <n v="2"/>
    <s v="28-02-2026"/>
    <n v="10574"/>
    <s v="2108-02"/>
    <n v="3192"/>
    <n v="0"/>
    <s v="Centralización ventas febrero 2026  #4568 - iva débito fiscal"/>
    <n v="3192"/>
    <s v="Pasivo"/>
    <n v="-3192"/>
    <x v="68"/>
  </r>
  <r>
    <n v="2026"/>
    <n v="2"/>
    <s v="28-02-2026"/>
    <n v="10575"/>
    <s v="2108-02"/>
    <n v="2395"/>
    <n v="0"/>
    <s v="Centralización ventas febrero 2026  #4569 - iva débito fiscal"/>
    <n v="2395"/>
    <s v="Pasivo"/>
    <n v="-2395"/>
    <x v="68"/>
  </r>
  <r>
    <n v="2026"/>
    <n v="2"/>
    <s v="28-02-2026"/>
    <n v="10576"/>
    <s v="2108-02"/>
    <n v="2393"/>
    <n v="0"/>
    <s v="Centralización ventas febrero 2026  #4570 - iva débito fiscal"/>
    <n v="2393"/>
    <s v="Pasivo"/>
    <n v="-2393"/>
    <x v="68"/>
  </r>
  <r>
    <n v="2026"/>
    <n v="2"/>
    <s v="28-02-2026"/>
    <n v="10577"/>
    <s v="2108-02"/>
    <n v="2393"/>
    <n v="0"/>
    <s v="Centralización ventas febrero 2026  #4571 - iva débito fiscal"/>
    <n v="2393"/>
    <s v="Pasivo"/>
    <n v="-2393"/>
    <x v="68"/>
  </r>
  <r>
    <n v="2026"/>
    <n v="2"/>
    <s v="28-02-2026"/>
    <n v="10578"/>
    <s v="2108-02"/>
    <n v="2074"/>
    <n v="0"/>
    <s v="Centralización ventas febrero 2026  #4572 - iva débito fiscal"/>
    <n v="2074"/>
    <s v="Pasivo"/>
    <n v="-2074"/>
    <x v="68"/>
  </r>
  <r>
    <n v="2026"/>
    <n v="2"/>
    <s v="28-02-2026"/>
    <n v="10579"/>
    <s v="2108-02"/>
    <n v="2074"/>
    <n v="0"/>
    <s v="Centralización ventas febrero 2026  #4573 - iva débito fiscal"/>
    <n v="2074"/>
    <s v="Pasivo"/>
    <n v="-2074"/>
    <x v="68"/>
  </r>
  <r>
    <n v="2026"/>
    <n v="2"/>
    <s v="28-02-2026"/>
    <n v="10580"/>
    <s v="2108-02"/>
    <n v="830"/>
    <n v="0"/>
    <s v="Centralización ventas febrero 2026  #4574 - iva débito fiscal"/>
    <n v="830"/>
    <s v="Pasivo"/>
    <n v="-830"/>
    <x v="68"/>
  </r>
  <r>
    <n v="2026"/>
    <n v="2"/>
    <s v="28-02-2026"/>
    <n v="10581"/>
    <s v="2108-02"/>
    <n v="7182"/>
    <n v="0"/>
    <s v="Centralización ventas febrero 2026  #4575 - iva débito fiscal"/>
    <n v="7182"/>
    <s v="Pasivo"/>
    <n v="-7182"/>
    <x v="68"/>
  </r>
  <r>
    <n v="2026"/>
    <n v="2"/>
    <s v="28-02-2026"/>
    <n v="10582"/>
    <s v="2108-02"/>
    <n v="6387"/>
    <n v="0"/>
    <s v="Centralización ventas febrero 2026  #4576 - iva débito fiscal"/>
    <n v="6387"/>
    <s v="Pasivo"/>
    <n v="-6387"/>
    <x v="68"/>
  </r>
  <r>
    <n v="2026"/>
    <n v="2"/>
    <s v="28-02-2026"/>
    <n v="10583"/>
    <s v="2108-02"/>
    <n v="6387"/>
    <n v="0"/>
    <s v="Centralización ventas febrero 2026  #4577 - iva débito fiscal"/>
    <n v="6387"/>
    <s v="Pasivo"/>
    <n v="-6387"/>
    <x v="68"/>
  </r>
  <r>
    <n v="2026"/>
    <n v="2"/>
    <s v="28-02-2026"/>
    <n v="10584"/>
    <s v="2108-02"/>
    <n v="6222"/>
    <n v="0"/>
    <s v="Centralización ventas febrero 2026  #4578 - iva débito fiscal"/>
    <n v="6222"/>
    <s v="Pasivo"/>
    <n v="-6222"/>
    <x v="68"/>
  </r>
  <r>
    <n v="2026"/>
    <n v="2"/>
    <s v="28-02-2026"/>
    <n v="10585"/>
    <s v="2108-02"/>
    <n v="4228"/>
    <n v="0"/>
    <s v="Centralización ventas febrero 2026  #4579 - iva débito fiscal"/>
    <n v="4228"/>
    <s v="Pasivo"/>
    <n v="-4228"/>
    <x v="68"/>
  </r>
  <r>
    <n v="2026"/>
    <n v="2"/>
    <s v="28-02-2026"/>
    <n v="10586"/>
    <s v="2108-02"/>
    <n v="130963"/>
    <n v="0"/>
    <s v="Centralización ventas febrero 2026  #4580 - iva débito fiscal"/>
    <n v="130963"/>
    <s v="Pasivo"/>
    <n v="-130963"/>
    <x v="68"/>
  </r>
  <r>
    <n v="2026"/>
    <n v="2"/>
    <s v="28-02-2026"/>
    <n v="10587"/>
    <s v="2108-02"/>
    <n v="4629"/>
    <n v="0"/>
    <s v="Centralización ventas febrero 2026  #4581 - iva débito fiscal"/>
    <n v="4629"/>
    <s v="Pasivo"/>
    <n v="-4629"/>
    <x v="68"/>
  </r>
  <r>
    <n v="2026"/>
    <n v="2"/>
    <s v="28-02-2026"/>
    <n v="10771"/>
    <s v="2108-02"/>
    <n v="36433691"/>
    <n v="0"/>
    <s v="Centralización f29 febrero"/>
    <n v="36433691"/>
    <s v="Pasivo"/>
    <n v="-36433691"/>
    <x v="68"/>
  </r>
  <r>
    <n v="2026"/>
    <n v="3"/>
    <s v="31-03-2026"/>
    <n v="10602"/>
    <s v="2108-02"/>
    <n v="0"/>
    <n v="24866433"/>
    <s v="Centralización ventas marzo 2026  #32026 - iva débito fiscal"/>
    <n v="-24866433"/>
    <s v="Pasivo"/>
    <n v="24866433"/>
    <x v="68"/>
  </r>
  <r>
    <n v="2026"/>
    <n v="3"/>
    <s v="31-03-2026"/>
    <n v="10741"/>
    <s v="2108-02"/>
    <n v="1614908"/>
    <n v="0"/>
    <s v="Centralización ventas marzo 2026  - iva débito fiscal"/>
    <n v="1614908"/>
    <s v="Pasivo"/>
    <n v="-1614908"/>
    <x v="68"/>
  </r>
  <r>
    <n v="2026"/>
    <n v="3"/>
    <s v="31-03-2026"/>
    <n v="10741"/>
    <s v="2108-02"/>
    <n v="0"/>
    <n v="12012930"/>
    <s v="Centralización ventas marzo 2026  - iva débito fiscal"/>
    <n v="-12012930"/>
    <s v="Pasivo"/>
    <n v="12012930"/>
    <x v="68"/>
  </r>
  <r>
    <n v="2026"/>
    <n v="3"/>
    <s v="31-03-2026"/>
    <n v="10772"/>
    <s v="2108-02"/>
    <n v="35264455"/>
    <n v="0"/>
    <s v="Centralización f29 marzo"/>
    <n v="35264455"/>
    <s v="Pasivo"/>
    <n v="-35264455"/>
    <x v="68"/>
  </r>
  <r>
    <n v="2026"/>
    <n v="4"/>
    <s v="30-04-2026"/>
    <n v="10755"/>
    <s v="2108-02"/>
    <n v="1110362"/>
    <n v="0"/>
    <s v="Centralización ventas abril 2026  - iva débito fiscal"/>
    <n v="1110362"/>
    <s v="Pasivo"/>
    <n v="-1110362"/>
    <x v="68"/>
  </r>
  <r>
    <n v="2026"/>
    <n v="4"/>
    <s v="30-04-2026"/>
    <n v="10755"/>
    <s v="2108-02"/>
    <n v="0"/>
    <n v="37767079"/>
    <s v="Centralización ventas abril 2026  - iva débito fiscal"/>
    <n v="-37767079"/>
    <s v="Pasivo"/>
    <n v="37767079"/>
    <x v="68"/>
  </r>
  <r>
    <n v="2026"/>
    <n v="4"/>
    <s v="30-04-2026"/>
    <n v="10769"/>
    <s v="2108-02"/>
    <n v="36656717"/>
    <n v="0"/>
    <s v="Centralización f29 abril"/>
    <n v="36656717"/>
    <s v="Pasivo"/>
    <n v="-36656717"/>
    <x v="68"/>
  </r>
  <r>
    <n v="2026"/>
    <n v="5"/>
    <s v="31-05-2026"/>
    <n v="10781"/>
    <s v="2108-02"/>
    <n v="1641421"/>
    <n v="0"/>
    <s v="Centralización ventas mayo 2026  - iva débito fiscal"/>
    <n v="1641421"/>
    <s v="Pasivo"/>
    <n v="-1641421"/>
    <x v="68"/>
  </r>
  <r>
    <n v="2026"/>
    <n v="5"/>
    <s v="31-05-2026"/>
    <n v="10781"/>
    <s v="2108-02"/>
    <n v="0"/>
    <n v="39286738"/>
    <s v="Centralización ventas mayo 2026  - iva débito fiscal"/>
    <n v="-39286738"/>
    <s v="Pasivo"/>
    <n v="39286738"/>
    <x v="68"/>
  </r>
  <r>
    <n v="2026"/>
    <n v="5"/>
    <s v="31-05-2026"/>
    <n v="10784"/>
    <s v="2108-02"/>
    <n v="37540959"/>
    <n v="0"/>
    <s v="Centralizacion f29 mayo "/>
    <n v="37540959"/>
    <s v="Pasivo"/>
    <n v="-37540959"/>
    <x v="68"/>
  </r>
  <r>
    <n v="2026"/>
    <n v="5"/>
    <s v="31-05-2026"/>
    <n v="10844"/>
    <s v="2108-02"/>
    <n v="104358"/>
    <n v="0"/>
    <s v="Centralización ventas mayo 2026  - iva débito fiscal"/>
    <n v="104358"/>
    <s v="Pasivo"/>
    <n v="-104358"/>
    <x v="68"/>
  </r>
  <r>
    <n v="2026"/>
    <n v="6"/>
    <s v="30-06-2026"/>
    <n v="10797"/>
    <s v="2108-02"/>
    <n v="1034847"/>
    <n v="0"/>
    <s v="Centralización ventas junio 2026  - iva débito fiscal"/>
    <n v="1034847"/>
    <s v="Pasivo"/>
    <n v="-1034847"/>
    <x v="68"/>
  </r>
  <r>
    <n v="2026"/>
    <n v="6"/>
    <s v="30-06-2026"/>
    <n v="10797"/>
    <s v="2108-02"/>
    <n v="0"/>
    <n v="38930506"/>
    <s v="Centralización ventas junio 2026  - iva débito fiscal"/>
    <n v="-38930506"/>
    <s v="Pasivo"/>
    <n v="38930506"/>
    <x v="68"/>
  </r>
  <r>
    <n v="2026"/>
    <n v="6"/>
    <s v="30-06-2026"/>
    <n v="10841"/>
    <s v="2108-02"/>
    <n v="37895659"/>
    <n v="0"/>
    <s v="Centralizacion f29 junio"/>
    <n v="37895659"/>
    <s v="Pasivo"/>
    <n v="-37895659"/>
    <x v="68"/>
  </r>
  <r>
    <n v="2026"/>
    <n v="7"/>
    <s v="31-07-2026"/>
    <n v="10851"/>
    <s v="2108-02"/>
    <n v="1498462"/>
    <n v="0"/>
    <s v="Centralización ventas julio 2026  - iva débito fiscal"/>
    <n v="1498462"/>
    <s v="Pasivo"/>
    <n v="-1498462"/>
    <x v="68"/>
  </r>
  <r>
    <n v="2026"/>
    <n v="7"/>
    <s v="31-07-2026"/>
    <n v="10851"/>
    <s v="2108-02"/>
    <n v="0"/>
    <n v="40418696"/>
    <s v="Centralización ventas julio 2026  - iva débito fiscal"/>
    <n v="-40418696"/>
    <s v="Pasivo"/>
    <n v="40418696"/>
    <x v="68"/>
  </r>
  <r>
    <n v="2026"/>
    <n v="1"/>
    <s v="31-01-2026"/>
    <n v="9812"/>
    <s v="2108-03"/>
    <n v="0"/>
    <n v="1371062"/>
    <s v="Centralizacion remuneraciones enero "/>
    <n v="-1371062"/>
    <s v="Pasivo"/>
    <n v="1371062"/>
    <x v="69"/>
  </r>
  <r>
    <n v="2026"/>
    <n v="1"/>
    <s v="31-01-2026"/>
    <n v="10770"/>
    <s v="2108-03"/>
    <n v="1371062"/>
    <n v="0"/>
    <s v="Centralización f29 enero"/>
    <n v="1371062"/>
    <s v="Pasivo"/>
    <n v="-1371062"/>
    <x v="69"/>
  </r>
  <r>
    <n v="2026"/>
    <n v="2"/>
    <s v="28-02-2026"/>
    <n v="9813"/>
    <s v="2108-03"/>
    <n v="0"/>
    <n v="1546523"/>
    <s v="Centralizacion remuneraciones febrero"/>
    <n v="-1546523"/>
    <s v="Pasivo"/>
    <n v="1546523"/>
    <x v="69"/>
  </r>
  <r>
    <n v="2026"/>
    <n v="2"/>
    <s v="28-02-2026"/>
    <n v="10771"/>
    <s v="2108-03"/>
    <n v="1546523"/>
    <n v="0"/>
    <s v="Centralización f29 febrero"/>
    <n v="1546523"/>
    <s v="Pasivo"/>
    <n v="-1546523"/>
    <x v="69"/>
  </r>
  <r>
    <n v="2026"/>
    <n v="3"/>
    <s v="31-03-2026"/>
    <n v="10744"/>
    <s v="2108-03"/>
    <n v="0"/>
    <n v="1506204"/>
    <s v="Centralizacion remuneraciones marzo"/>
    <n v="-1506204"/>
    <s v="Pasivo"/>
    <n v="1506204"/>
    <x v="69"/>
  </r>
  <r>
    <n v="2026"/>
    <n v="3"/>
    <s v="31-03-2026"/>
    <n v="10772"/>
    <s v="2108-03"/>
    <n v="1506204"/>
    <n v="0"/>
    <s v="Centralización f29 marzo"/>
    <n v="1506204"/>
    <s v="Pasivo"/>
    <n v="-1506204"/>
    <x v="69"/>
  </r>
  <r>
    <n v="2026"/>
    <n v="4"/>
    <s v="30-04-2026"/>
    <n v="10757"/>
    <s v="2108-03"/>
    <n v="0"/>
    <n v="2226962"/>
    <s v="Centralizacion remuneraciones abril"/>
    <n v="-2226962"/>
    <s v="Pasivo"/>
    <n v="2226962"/>
    <x v="69"/>
  </r>
  <r>
    <n v="2026"/>
    <n v="4"/>
    <s v="30-04-2026"/>
    <n v="10769"/>
    <s v="2108-03"/>
    <n v="2226962"/>
    <n v="0"/>
    <s v="Centralización f29 abril"/>
    <n v="2226962"/>
    <s v="Pasivo"/>
    <n v="-2226962"/>
    <x v="69"/>
  </r>
  <r>
    <n v="2026"/>
    <n v="5"/>
    <s v="31-05-2026"/>
    <n v="10782"/>
    <s v="2108-03"/>
    <n v="0"/>
    <n v="1357294"/>
    <s v="Centralizacion remuneraciones mayo"/>
    <n v="-1357294"/>
    <s v="Pasivo"/>
    <n v="1357294"/>
    <x v="69"/>
  </r>
  <r>
    <n v="2026"/>
    <n v="5"/>
    <s v="31-05-2026"/>
    <n v="10784"/>
    <s v="2108-03"/>
    <n v="1357294"/>
    <n v="0"/>
    <s v="Centralizacion f29 mayo "/>
    <n v="1357294"/>
    <s v="Pasivo"/>
    <n v="-1357294"/>
    <x v="69"/>
  </r>
  <r>
    <n v="2026"/>
    <n v="6"/>
    <s v="30-06-2026"/>
    <n v="10802"/>
    <s v="2108-03"/>
    <n v="0"/>
    <n v="1370951"/>
    <s v="Centralizacion remuneraciones junio"/>
    <n v="-1370951"/>
    <s v="Pasivo"/>
    <n v="1370951"/>
    <x v="69"/>
  </r>
  <r>
    <n v="2026"/>
    <n v="6"/>
    <s v="30-06-2026"/>
    <n v="10841"/>
    <s v="2108-03"/>
    <n v="1370951"/>
    <n v="0"/>
    <s v="Centralizacion f29 junio"/>
    <n v="1370951"/>
    <s v="Pasivo"/>
    <n v="-1370951"/>
    <x v="69"/>
  </r>
  <r>
    <n v="2026"/>
    <n v="7"/>
    <s v="31-07-2026"/>
    <n v="12633"/>
    <s v="2108-03"/>
    <n v="0"/>
    <n v="2550919"/>
    <s v="Centralizacion remuneraciones julio"/>
    <n v="-2550919"/>
    <s v="Pasivo"/>
    <n v="2550919"/>
    <x v="69"/>
  </r>
  <r>
    <n v="2026"/>
    <n v="1"/>
    <s v="31-01-2026"/>
    <n v="9757"/>
    <s v="2108-04"/>
    <n v="0"/>
    <n v="855569"/>
    <s v="Centralización honorarios enero 2026 - monto retención"/>
    <n v="-855569"/>
    <s v="Pasivo"/>
    <n v="855569"/>
    <x v="70"/>
  </r>
  <r>
    <n v="2026"/>
    <n v="1"/>
    <s v="31-01-2026"/>
    <n v="10770"/>
    <s v="2108-04"/>
    <n v="825569"/>
    <n v="0"/>
    <s v="Centralización f29 enero"/>
    <n v="825569"/>
    <s v="Pasivo"/>
    <n v="-825569"/>
    <x v="70"/>
  </r>
  <r>
    <n v="2026"/>
    <n v="1"/>
    <s v="31-01-2026"/>
    <n v="10770"/>
    <s v="2108-04"/>
    <n v="30000"/>
    <n v="0"/>
    <s v="Centralización f29 enero"/>
    <n v="30000"/>
    <s v="Pasivo"/>
    <n v="-30000"/>
    <x v="70"/>
  </r>
  <r>
    <n v="2026"/>
    <n v="2"/>
    <s v="28-02-2026"/>
    <n v="9811"/>
    <s v="2108-04"/>
    <n v="0"/>
    <n v="619307"/>
    <s v="Centralización honorarios febrero 2026 - monto retención"/>
    <n v="-619307"/>
    <s v="Pasivo"/>
    <n v="619307"/>
    <x v="70"/>
  </r>
  <r>
    <n v="2026"/>
    <n v="2"/>
    <s v="28-02-2026"/>
    <n v="10771"/>
    <s v="2108-04"/>
    <n v="589307"/>
    <n v="0"/>
    <s v="Centralización f29 febrero"/>
    <n v="589307"/>
    <s v="Pasivo"/>
    <n v="-589307"/>
    <x v="70"/>
  </r>
  <r>
    <n v="2026"/>
    <n v="2"/>
    <s v="28-02-2026"/>
    <n v="10771"/>
    <s v="2108-04"/>
    <n v="30000"/>
    <n v="0"/>
    <s v="Centralización f29 febrero"/>
    <n v="30000"/>
    <s v="Pasivo"/>
    <n v="-30000"/>
    <x v="70"/>
  </r>
  <r>
    <n v="2026"/>
    <n v="3"/>
    <s v="31-03-2026"/>
    <n v="10742"/>
    <s v="2108-04"/>
    <n v="0"/>
    <n v="657095"/>
    <s v="Centralización honorarios marzo 2026 - monto retención"/>
    <n v="-657095"/>
    <s v="Pasivo"/>
    <n v="657095"/>
    <x v="70"/>
  </r>
  <r>
    <n v="2026"/>
    <n v="3"/>
    <s v="31-03-2026"/>
    <n v="10772"/>
    <s v="2108-04"/>
    <n v="627095"/>
    <n v="0"/>
    <s v="Centralización f29 marzo"/>
    <n v="627095"/>
    <s v="Pasivo"/>
    <n v="-627095"/>
    <x v="70"/>
  </r>
  <r>
    <n v="2026"/>
    <n v="3"/>
    <s v="31-03-2026"/>
    <n v="10772"/>
    <s v="2108-04"/>
    <n v="30000"/>
    <n v="0"/>
    <s v="Centralización f29 marzo"/>
    <n v="30000"/>
    <s v="Pasivo"/>
    <n v="-30000"/>
    <x v="70"/>
  </r>
  <r>
    <n v="2026"/>
    <n v="4"/>
    <s v="30-04-2026"/>
    <n v="10756"/>
    <s v="2108-04"/>
    <n v="0"/>
    <n v="522139"/>
    <s v="Centralización honorarios abril 2026 - monto retención"/>
    <n v="-522139"/>
    <s v="Pasivo"/>
    <n v="522139"/>
    <x v="70"/>
  </r>
  <r>
    <n v="2026"/>
    <n v="4"/>
    <s v="30-04-2026"/>
    <n v="10769"/>
    <s v="2108-04"/>
    <n v="492139"/>
    <n v="0"/>
    <s v="Centralización f29 abril"/>
    <n v="492139"/>
    <s v="Pasivo"/>
    <n v="-492139"/>
    <x v="70"/>
  </r>
  <r>
    <n v="2026"/>
    <n v="4"/>
    <s v="30-04-2026"/>
    <n v="10769"/>
    <s v="2108-04"/>
    <n v="30000"/>
    <n v="0"/>
    <s v="Centralización f29 abril"/>
    <n v="30000"/>
    <s v="Pasivo"/>
    <n v="-30000"/>
    <x v="70"/>
  </r>
  <r>
    <n v="2026"/>
    <n v="5"/>
    <s v="31-05-2026"/>
    <n v="10780"/>
    <s v="2108-04"/>
    <n v="0"/>
    <n v="654003"/>
    <s v="Centralización honorarios mayo 2026 - monto retención"/>
    <n v="-654003"/>
    <s v="Pasivo"/>
    <n v="654003"/>
    <x v="70"/>
  </r>
  <r>
    <n v="2026"/>
    <n v="5"/>
    <s v="31-05-2026"/>
    <n v="10784"/>
    <s v="2108-04"/>
    <n v="624003"/>
    <n v="0"/>
    <s v="Centralizacion f29 mayo "/>
    <n v="624003"/>
    <s v="Pasivo"/>
    <n v="-624003"/>
    <x v="70"/>
  </r>
  <r>
    <n v="2026"/>
    <n v="5"/>
    <s v="31-05-2026"/>
    <n v="10784"/>
    <s v="2108-04"/>
    <n v="30000"/>
    <n v="0"/>
    <s v="Centralizacion f29 mayo "/>
    <n v="30000"/>
    <s v="Pasivo"/>
    <n v="-30000"/>
    <x v="70"/>
  </r>
  <r>
    <n v="2026"/>
    <n v="6"/>
    <s v="30-06-2026"/>
    <n v="10796"/>
    <s v="2108-04"/>
    <n v="0"/>
    <n v="458260"/>
    <s v="Centralización honorarios junio 2026 - monto retención"/>
    <n v="-458260"/>
    <s v="Pasivo"/>
    <n v="458260"/>
    <x v="70"/>
  </r>
  <r>
    <n v="2026"/>
    <n v="6"/>
    <s v="30-06-2026"/>
    <n v="10841"/>
    <s v="2108-04"/>
    <n v="608201"/>
    <n v="0"/>
    <s v="Centralizacion f29 junio"/>
    <n v="608201"/>
    <s v="Pasivo"/>
    <n v="-608201"/>
    <x v="70"/>
  </r>
  <r>
    <n v="2026"/>
    <n v="6"/>
    <s v="30-06-2026"/>
    <n v="10841"/>
    <s v="2108-04"/>
    <n v="30000"/>
    <n v="0"/>
    <s v="Centralizacion f29 junio"/>
    <n v="30000"/>
    <s v="Pasivo"/>
    <n v="-30000"/>
    <x v="70"/>
  </r>
  <r>
    <n v="2026"/>
    <n v="6"/>
    <s v="30-06-2026"/>
    <n v="10845"/>
    <s v="2108-04"/>
    <n v="0"/>
    <n v="179941"/>
    <s v="Centralización honorarios junio 2026 - monto retención"/>
    <n v="-179941"/>
    <s v="Pasivo"/>
    <n v="179941"/>
    <x v="70"/>
  </r>
  <r>
    <n v="2026"/>
    <n v="7"/>
    <s v="31-07-2026"/>
    <n v="10850"/>
    <s v="2108-04"/>
    <n v="0"/>
    <n v="720132"/>
    <s v="Centralización honorarios julio 2026 - monto retención"/>
    <n v="-720132"/>
    <s v="Pasivo"/>
    <n v="720132"/>
    <x v="70"/>
  </r>
  <r>
    <n v="2026"/>
    <n v="1"/>
    <s v="01-01-2026"/>
    <n v="9827"/>
    <s v="2108-06"/>
    <n v="0"/>
    <n v="25756035"/>
    <s v=""/>
    <n v="-25756035"/>
    <s v="Pasivo"/>
    <n v="25756035"/>
    <x v="71"/>
  </r>
  <r>
    <n v="2026"/>
    <n v="1"/>
    <s v="19-01-2026"/>
    <n v="7061"/>
    <s v="2108-06"/>
    <n v="101531"/>
    <n v="0"/>
    <s v="Pago en linea s.i.i."/>
    <n v="101531"/>
    <s v="Pasivo"/>
    <n v="-101531"/>
    <x v="71"/>
  </r>
  <r>
    <n v="2026"/>
    <n v="1"/>
    <s v="19-01-2026"/>
    <n v="7062"/>
    <s v="2108-06"/>
    <n v="62776"/>
    <n v="0"/>
    <s v="Pago en linea s.i.i."/>
    <n v="62776"/>
    <s v="Pasivo"/>
    <n v="-62776"/>
    <x v="71"/>
  </r>
  <r>
    <n v="2026"/>
    <n v="1"/>
    <s v="19-01-2026"/>
    <n v="7063"/>
    <s v="2108-06"/>
    <n v="41851"/>
    <n v="0"/>
    <s v="Pago en linea s.i.i."/>
    <n v="41851"/>
    <s v="Pasivo"/>
    <n v="-41851"/>
    <x v="71"/>
  </r>
  <r>
    <n v="2026"/>
    <n v="1"/>
    <s v="20-01-2026"/>
    <n v="7064"/>
    <s v="2108-06"/>
    <n v="25241289"/>
    <n v="0"/>
    <s v="Pago f29 diciembre 2025"/>
    <n v="25241289"/>
    <s v="Pasivo"/>
    <n v="-25241289"/>
    <x v="71"/>
  </r>
  <r>
    <n v="2026"/>
    <n v="1"/>
    <s v="31-01-2026"/>
    <n v="10770"/>
    <s v="2108-06"/>
    <n v="0"/>
    <n v="30656670"/>
    <s v="Centralización f29 enero"/>
    <n v="-30656670"/>
    <s v="Pasivo"/>
    <n v="30656670"/>
    <x v="71"/>
  </r>
  <r>
    <n v="2026"/>
    <n v="2"/>
    <s v="19-02-2026"/>
    <n v="7221"/>
    <s v="2108-06"/>
    <n v="30656670"/>
    <n v="0"/>
    <s v="Pago f29 enero"/>
    <n v="30656670"/>
    <s v="Pasivo"/>
    <n v="-30656670"/>
    <x v="71"/>
  </r>
  <r>
    <n v="2026"/>
    <n v="2"/>
    <s v="28-02-2026"/>
    <n v="10599"/>
    <s v="2108-06"/>
    <n v="11285"/>
    <n v="0"/>
    <s v="Sii"/>
    <n v="11285"/>
    <s v="Pasivo"/>
    <n v="-11285"/>
    <x v="71"/>
  </r>
  <r>
    <n v="2026"/>
    <n v="2"/>
    <s v="28-02-2026"/>
    <n v="10771"/>
    <s v="2108-06"/>
    <n v="0"/>
    <n v="29394703"/>
    <s v="Centralización f29 febrero"/>
    <n v="-29394703"/>
    <s v="Pasivo"/>
    <n v="29394703"/>
    <x v="71"/>
  </r>
  <r>
    <n v="2026"/>
    <n v="3"/>
    <s v="18-03-2026"/>
    <n v="7408"/>
    <s v="2108-06"/>
    <n v="29394703"/>
    <n v="0"/>
    <s v="Pago f29 febrero"/>
    <n v="29394703"/>
    <s v="Pasivo"/>
    <n v="-29394703"/>
    <x v="71"/>
  </r>
  <r>
    <n v="2026"/>
    <n v="3"/>
    <s v="31-03-2026"/>
    <n v="10748"/>
    <s v="2108-06"/>
    <n v="62306"/>
    <n v="0"/>
    <s v="Sii"/>
    <n v="62306"/>
    <s v="Pasivo"/>
    <n v="-62306"/>
    <x v="71"/>
  </r>
  <r>
    <n v="2026"/>
    <n v="3"/>
    <s v="31-03-2026"/>
    <n v="10748"/>
    <s v="2108-06"/>
    <n v="216050"/>
    <n v="0"/>
    <s v="Sii"/>
    <n v="216050"/>
    <s v="Pasivo"/>
    <n v="-216050"/>
    <x v="71"/>
  </r>
  <r>
    <n v="2026"/>
    <n v="3"/>
    <s v="31-03-2026"/>
    <n v="10772"/>
    <s v="2108-06"/>
    <n v="0"/>
    <n v="13339012"/>
    <s v="Centralización f29 marzo"/>
    <n v="-13339012"/>
    <s v="Pasivo"/>
    <n v="13339012"/>
    <x v="71"/>
  </r>
  <r>
    <n v="2026"/>
    <n v="4"/>
    <s v="17-04-2026"/>
    <n v="7612"/>
    <s v="2108-06"/>
    <n v="13339012"/>
    <n v="0"/>
    <s v="Pago f29 marzo"/>
    <n v="13339012"/>
    <s v="Pasivo"/>
    <n v="-13339012"/>
    <x v="71"/>
  </r>
  <r>
    <n v="2026"/>
    <n v="4"/>
    <s v="22-04-2026"/>
    <n v="10773"/>
    <s v="2108-06"/>
    <n v="18947"/>
    <n v="0"/>
    <s v="Sii"/>
    <n v="18947"/>
    <s v="Pasivo"/>
    <n v="-18947"/>
    <x v="71"/>
  </r>
  <r>
    <n v="2026"/>
    <n v="4"/>
    <s v="30-04-2026"/>
    <n v="10769"/>
    <s v="2108-06"/>
    <n v="0"/>
    <n v="29362549"/>
    <s v="Centralización f29 abril"/>
    <n v="-29362549"/>
    <s v="Pasivo"/>
    <n v="29362549"/>
    <x v="71"/>
  </r>
  <r>
    <n v="2026"/>
    <n v="5"/>
    <s v="20-05-2026"/>
    <n v="7824"/>
    <s v="2108-06"/>
    <n v="29362549"/>
    <n v="0"/>
    <s v="Pago f29 abril"/>
    <n v="29362549"/>
    <s v="Pasivo"/>
    <n v="-29362549"/>
    <x v="71"/>
  </r>
  <r>
    <n v="2026"/>
    <n v="5"/>
    <s v="31-05-2026"/>
    <n v="10784"/>
    <s v="2108-06"/>
    <n v="0"/>
    <n v="30881218"/>
    <s v="Centralizacion f29 mayo "/>
    <n v="-30881218"/>
    <s v="Pasivo"/>
    <n v="30881218"/>
    <x v="71"/>
  </r>
  <r>
    <n v="2026"/>
    <n v="6"/>
    <s v="22-06-2026"/>
    <n v="7924"/>
    <s v="2108-06"/>
    <n v="30881218"/>
    <n v="0"/>
    <s v="Pago f-29 mayo"/>
    <n v="30881218"/>
    <s v="Pasivo"/>
    <n v="-30881218"/>
    <x v="71"/>
  </r>
  <r>
    <n v="2026"/>
    <n v="6"/>
    <s v="30-06-2026"/>
    <n v="10841"/>
    <s v="2108-06"/>
    <n v="0"/>
    <n v="32586757"/>
    <s v="Centralizacion f29 junio"/>
    <n v="-32586757"/>
    <s v="Pasivo"/>
    <n v="32586757"/>
    <x v="71"/>
  </r>
  <r>
    <n v="2026"/>
    <n v="7"/>
    <s v="17-07-2026"/>
    <n v="8526"/>
    <s v="2108-06"/>
    <n v="32586757"/>
    <n v="0"/>
    <s v="Pago f29 junio"/>
    <n v="32586757"/>
    <s v="Pasivo"/>
    <n v="-32586757"/>
    <x v="71"/>
  </r>
  <r>
    <n v="2026"/>
    <n v="1"/>
    <s v="01-01-2026"/>
    <n v="9827"/>
    <s v="2108-07"/>
    <n v="0"/>
    <n v="8554110"/>
    <s v=""/>
    <n v="-8554110"/>
    <s v="Pasivo"/>
    <n v="8554110"/>
    <x v="72"/>
  </r>
  <r>
    <n v="2026"/>
    <n v="1"/>
    <s v="13-01-2026"/>
    <n v="7017"/>
    <s v="2108-07"/>
    <n v="8554110"/>
    <n v="0"/>
    <s v="Pago en linea previred"/>
    <n v="8554110"/>
    <s v="Pasivo"/>
    <n v="-8554110"/>
    <x v="72"/>
  </r>
  <r>
    <n v="2026"/>
    <n v="1"/>
    <s v="31-01-2026"/>
    <n v="9812"/>
    <s v="2108-07"/>
    <n v="0"/>
    <n v="8547722"/>
    <s v="Centralizacion remuneraciones enero "/>
    <n v="-8547722"/>
    <s v="Pasivo"/>
    <n v="8547722"/>
    <x v="72"/>
  </r>
  <r>
    <n v="2026"/>
    <n v="2"/>
    <s v="16-02-2026"/>
    <n v="7105"/>
    <s v="2108-07"/>
    <n v="8547722"/>
    <n v="0"/>
    <s v="Pago previred enero"/>
    <n v="8547722"/>
    <s v="Pasivo"/>
    <n v="-8547722"/>
    <x v="72"/>
  </r>
  <r>
    <n v="2026"/>
    <n v="2"/>
    <s v="28-02-2026"/>
    <n v="9813"/>
    <s v="2108-07"/>
    <n v="0"/>
    <n v="9618603"/>
    <s v="Centralizacion remuneraciones febrero"/>
    <n v="-9618603"/>
    <s v="Pasivo"/>
    <n v="9618603"/>
    <x v="72"/>
  </r>
  <r>
    <n v="2026"/>
    <n v="3"/>
    <s v="11-03-2026"/>
    <n v="7470"/>
    <s v="2108-07"/>
    <n v="9618603"/>
    <n v="0"/>
    <s v="Pago previred febrero"/>
    <n v="9618603"/>
    <s v="Pasivo"/>
    <n v="-9618603"/>
    <x v="72"/>
  </r>
  <r>
    <n v="2026"/>
    <n v="3"/>
    <s v="31-03-2026"/>
    <n v="10744"/>
    <s v="2108-07"/>
    <n v="0"/>
    <n v="9544535"/>
    <s v="Centralizacion remuneraciones marzo"/>
    <n v="-9544535"/>
    <s v="Pasivo"/>
    <n v="9544535"/>
    <x v="72"/>
  </r>
  <r>
    <n v="2026"/>
    <n v="4"/>
    <s v="10-04-2026"/>
    <n v="7680"/>
    <s v="2108-07"/>
    <n v="9544535"/>
    <n v="0"/>
    <s v="Bdp previred"/>
    <n v="9544535"/>
    <s v="Pasivo"/>
    <n v="-9544535"/>
    <x v="72"/>
  </r>
  <r>
    <n v="2026"/>
    <n v="4"/>
    <s v="30-04-2026"/>
    <n v="10757"/>
    <s v="2108-07"/>
    <n v="0"/>
    <n v="8594520"/>
    <s v="Centralizacion remuneraciones abril"/>
    <n v="-8594520"/>
    <s v="Pasivo"/>
    <n v="8594520"/>
    <x v="72"/>
  </r>
  <r>
    <n v="2026"/>
    <n v="5"/>
    <s v="12-05-2026"/>
    <n v="7776"/>
    <s v="2108-07"/>
    <n v="8594520"/>
    <n v="0"/>
    <s v="Pago en linea previred"/>
    <n v="8594520"/>
    <s v="Pasivo"/>
    <n v="-8594520"/>
    <x v="72"/>
  </r>
  <r>
    <n v="2026"/>
    <n v="5"/>
    <s v="31-05-2026"/>
    <n v="10782"/>
    <s v="2108-07"/>
    <n v="0"/>
    <n v="8622804"/>
    <s v="Centralizacion remuneraciones mayo"/>
    <n v="-8622804"/>
    <s v="Pasivo"/>
    <n v="8622804"/>
    <x v="72"/>
  </r>
  <r>
    <n v="2026"/>
    <n v="6"/>
    <s v="12-06-2026"/>
    <n v="7979"/>
    <s v="2108-07"/>
    <n v="8622804"/>
    <n v="0"/>
    <s v="Pago en linea previred"/>
    <n v="8622804"/>
    <s v="Pasivo"/>
    <n v="-8622804"/>
    <x v="72"/>
  </r>
  <r>
    <n v="2026"/>
    <n v="6"/>
    <s v="30-06-2026"/>
    <n v="10802"/>
    <s v="2108-07"/>
    <n v="0"/>
    <n v="9126905"/>
    <s v="Centralizacion remuneraciones junio"/>
    <n v="-9126905"/>
    <s v="Pasivo"/>
    <n v="9126905"/>
    <x v="72"/>
  </r>
  <r>
    <n v="2026"/>
    <n v="7"/>
    <s v="10-07-2026"/>
    <n v="8478"/>
    <s v="2108-07"/>
    <n v="9126905"/>
    <n v="0"/>
    <s v="Pago en linea previred"/>
    <n v="9126905"/>
    <s v="Pasivo"/>
    <n v="-9126905"/>
    <x v="72"/>
  </r>
  <r>
    <n v="2026"/>
    <n v="7"/>
    <s v="31-07-2026"/>
    <n v="12633"/>
    <s v="2108-07"/>
    <n v="0"/>
    <n v="9027984"/>
    <s v="Centralizacion remuneraciones julio"/>
    <n v="-9027984"/>
    <s v="Pasivo"/>
    <n v="9027984"/>
    <x v="72"/>
  </r>
  <r>
    <n v="2026"/>
    <n v="1"/>
    <s v="01-01-2026"/>
    <n v="8213"/>
    <s v="2108-08"/>
    <n v="0"/>
    <n v="1830959"/>
    <s v="Reclasifica ccaf a isapres"/>
    <n v="-1830959"/>
    <s v="Pasivo"/>
    <n v="1830959"/>
    <x v="73"/>
  </r>
  <r>
    <n v="2026"/>
    <n v="1"/>
    <s v="01-01-2026"/>
    <n v="9827"/>
    <s v="2108-08"/>
    <n v="0"/>
    <n v="752710"/>
    <s v=""/>
    <n v="-752710"/>
    <s v="Pasivo"/>
    <n v="752710"/>
    <x v="73"/>
  </r>
  <r>
    <n v="2026"/>
    <n v="1"/>
    <s v="13-01-2026"/>
    <n v="7017"/>
    <s v="2108-08"/>
    <n v="2583669"/>
    <n v="0"/>
    <s v="Pago en linea previred"/>
    <n v="2583669"/>
    <s v="Pasivo"/>
    <n v="-2583669"/>
    <x v="73"/>
  </r>
  <r>
    <n v="2026"/>
    <n v="1"/>
    <s v="31-01-2026"/>
    <n v="9812"/>
    <s v="2108-08"/>
    <n v="0"/>
    <n v="2309522"/>
    <s v="Centralizacion remuneraciones enero "/>
    <n v="-2309522"/>
    <s v="Pasivo"/>
    <n v="2309522"/>
    <x v="73"/>
  </r>
  <r>
    <n v="2026"/>
    <n v="2"/>
    <s v="16-02-2026"/>
    <n v="7105"/>
    <s v="2108-08"/>
    <n v="2309522"/>
    <n v="0"/>
    <s v="Pago previred enero"/>
    <n v="2309522"/>
    <s v="Pasivo"/>
    <n v="-2309522"/>
    <x v="73"/>
  </r>
  <r>
    <n v="2026"/>
    <n v="2"/>
    <s v="28-02-2026"/>
    <n v="9813"/>
    <s v="2108-08"/>
    <n v="0"/>
    <n v="2548361"/>
    <s v="Centralizacion remuneraciones febrero"/>
    <n v="-2548361"/>
    <s v="Pasivo"/>
    <n v="2548361"/>
    <x v="73"/>
  </r>
  <r>
    <n v="2026"/>
    <n v="3"/>
    <s v="11-03-2026"/>
    <n v="7470"/>
    <s v="2108-08"/>
    <n v="2548361"/>
    <n v="0"/>
    <s v="Pago previred febrero"/>
    <n v="2548361"/>
    <s v="Pasivo"/>
    <n v="-2548361"/>
    <x v="73"/>
  </r>
  <r>
    <n v="2026"/>
    <n v="3"/>
    <s v="31-03-2026"/>
    <n v="10744"/>
    <s v="2108-08"/>
    <n v="0"/>
    <n v="2578327"/>
    <s v="Centralizacion remuneraciones marzo"/>
    <n v="-2578327"/>
    <s v="Pasivo"/>
    <n v="2578327"/>
    <x v="73"/>
  </r>
  <r>
    <n v="2026"/>
    <n v="4"/>
    <s v="10-04-2026"/>
    <n v="7680"/>
    <s v="2108-08"/>
    <n v="2578327"/>
    <n v="0"/>
    <s v="Bdp previred"/>
    <n v="2578327"/>
    <s v="Pasivo"/>
    <n v="-2578327"/>
    <x v="73"/>
  </r>
  <r>
    <n v="2026"/>
    <n v="4"/>
    <s v="30-04-2026"/>
    <n v="10757"/>
    <s v="2108-08"/>
    <n v="0"/>
    <n v="2767999"/>
    <s v="Centralizacion remuneraciones abril"/>
    <n v="-2767999"/>
    <s v="Pasivo"/>
    <n v="2767999"/>
    <x v="73"/>
  </r>
  <r>
    <n v="2026"/>
    <n v="5"/>
    <s v="12-05-2026"/>
    <n v="7776"/>
    <s v="2108-08"/>
    <n v="2767999"/>
    <n v="0"/>
    <s v="Pago en linea previred"/>
    <n v="2767999"/>
    <s v="Pasivo"/>
    <n v="-2767999"/>
    <x v="73"/>
  </r>
  <r>
    <n v="2026"/>
    <n v="5"/>
    <s v="31-05-2026"/>
    <n v="10782"/>
    <s v="2108-08"/>
    <n v="0"/>
    <n v="2982000"/>
    <s v="Centralizacion remuneraciones mayo"/>
    <n v="-2982000"/>
    <s v="Pasivo"/>
    <n v="2982000"/>
    <x v="73"/>
  </r>
  <r>
    <n v="2026"/>
    <n v="6"/>
    <s v="12-06-2026"/>
    <n v="7979"/>
    <s v="2108-08"/>
    <n v="2982000"/>
    <n v="0"/>
    <s v="Pago en linea previred"/>
    <n v="2982000"/>
    <s v="Pasivo"/>
    <n v="-2982000"/>
    <x v="73"/>
  </r>
  <r>
    <n v="2026"/>
    <n v="6"/>
    <s v="30-06-2026"/>
    <n v="10802"/>
    <s v="2108-08"/>
    <n v="0"/>
    <n v="2989704"/>
    <s v="Centralizacion remuneraciones junio"/>
    <n v="-2989704"/>
    <s v="Pasivo"/>
    <n v="2989704"/>
    <x v="73"/>
  </r>
  <r>
    <n v="2026"/>
    <n v="7"/>
    <s v="10-07-2026"/>
    <n v="8478"/>
    <s v="2108-08"/>
    <n v="2989704"/>
    <n v="0"/>
    <s v="Pago en linea previred"/>
    <n v="2989704"/>
    <s v="Pasivo"/>
    <n v="-2989704"/>
    <x v="73"/>
  </r>
  <r>
    <n v="2026"/>
    <n v="7"/>
    <s v="31-07-2026"/>
    <n v="12633"/>
    <s v="2108-08"/>
    <n v="0"/>
    <n v="2068255"/>
    <s v="Centralizacion remuneraciones julio"/>
    <n v="-2068255"/>
    <s v="Pasivo"/>
    <n v="2068255"/>
    <x v="73"/>
  </r>
  <r>
    <n v="2026"/>
    <n v="6"/>
    <s v="30-06-2026"/>
    <n v="10798"/>
    <s v="2108-10"/>
    <n v="0"/>
    <n v="1770669"/>
    <s v="Centralización compras junio 2026 - iva retenido total"/>
    <n v="-1770669"/>
    <s v="Pasivo"/>
    <n v="1770669"/>
    <x v="74"/>
  </r>
  <r>
    <n v="2026"/>
    <n v="6"/>
    <s v="30-06-2026"/>
    <n v="10841"/>
    <s v="2108-10"/>
    <n v="1770669"/>
    <n v="0"/>
    <s v="Centralizacion f29 junio"/>
    <n v="1770669"/>
    <s v="Pasivo"/>
    <n v="-1770669"/>
    <x v="74"/>
  </r>
  <r>
    <n v="2026"/>
    <n v="1"/>
    <s v="01-01-2026"/>
    <n v="9827"/>
    <s v="2108-12"/>
    <n v="0"/>
    <n v="473410"/>
    <s v=""/>
    <n v="-473410"/>
    <s v="Pasivo"/>
    <n v="473410"/>
    <x v="75"/>
  </r>
  <r>
    <n v="2026"/>
    <n v="1"/>
    <s v="13-01-2026"/>
    <n v="7017"/>
    <s v="2108-12"/>
    <n v="473410"/>
    <n v="0"/>
    <s v="Pago en linea previred"/>
    <n v="473410"/>
    <s v="Pasivo"/>
    <n v="-473410"/>
    <x v="75"/>
  </r>
  <r>
    <n v="2026"/>
    <n v="1"/>
    <s v="31-01-2026"/>
    <n v="9812"/>
    <s v="2108-12"/>
    <n v="0"/>
    <n v="821855"/>
    <s v="Centralizacion remuneraciones enero "/>
    <n v="-821855"/>
    <s v="Pasivo"/>
    <n v="821855"/>
    <x v="75"/>
  </r>
  <r>
    <n v="2026"/>
    <n v="2"/>
    <s v="16-02-2026"/>
    <n v="7105"/>
    <s v="2108-12"/>
    <n v="821855"/>
    <n v="0"/>
    <s v="Pago previred enero"/>
    <n v="821855"/>
    <s v="Pasivo"/>
    <n v="-821855"/>
    <x v="75"/>
  </r>
  <r>
    <n v="2026"/>
    <n v="2"/>
    <s v="28-02-2026"/>
    <n v="9813"/>
    <s v="2108-12"/>
    <n v="0"/>
    <n v="926868"/>
    <s v="Centralizacion remuneraciones febrero"/>
    <n v="-926868"/>
    <s v="Pasivo"/>
    <n v="926868"/>
    <x v="75"/>
  </r>
  <r>
    <n v="2026"/>
    <n v="3"/>
    <s v="11-03-2026"/>
    <n v="7470"/>
    <s v="2108-12"/>
    <n v="926868"/>
    <n v="0"/>
    <s v="Pago previred febrero"/>
    <n v="926868"/>
    <s v="Pasivo"/>
    <n v="-926868"/>
    <x v="75"/>
  </r>
  <r>
    <n v="2026"/>
    <n v="3"/>
    <s v="31-03-2026"/>
    <n v="10744"/>
    <s v="2108-12"/>
    <n v="0"/>
    <n v="916273"/>
    <s v="Centralizacion remuneraciones marzo"/>
    <n v="-916273"/>
    <s v="Pasivo"/>
    <n v="916273"/>
    <x v="75"/>
  </r>
  <r>
    <n v="2026"/>
    <n v="4"/>
    <s v="10-04-2026"/>
    <n v="7680"/>
    <s v="2108-12"/>
    <n v="916273"/>
    <n v="0"/>
    <s v="Bdp previred"/>
    <n v="916273"/>
    <s v="Pasivo"/>
    <n v="-916273"/>
    <x v="75"/>
  </r>
  <r>
    <n v="2026"/>
    <n v="4"/>
    <s v="30-04-2026"/>
    <n v="10757"/>
    <s v="2108-12"/>
    <n v="0"/>
    <n v="821172"/>
    <s v="Centralizacion remuneraciones abril"/>
    <n v="-821172"/>
    <s v="Pasivo"/>
    <n v="821172"/>
    <x v="75"/>
  </r>
  <r>
    <n v="2026"/>
    <n v="5"/>
    <s v="12-05-2026"/>
    <n v="7776"/>
    <s v="2108-12"/>
    <n v="821172"/>
    <n v="0"/>
    <s v="Pago en linea previred"/>
    <n v="821172"/>
    <s v="Pasivo"/>
    <n v="-821172"/>
    <x v="75"/>
  </r>
  <r>
    <n v="2026"/>
    <n v="5"/>
    <s v="31-05-2026"/>
    <n v="10782"/>
    <s v="2108-12"/>
    <n v="0"/>
    <n v="821030"/>
    <s v="Centralizacion remuneraciones mayo"/>
    <n v="-821030"/>
    <s v="Pasivo"/>
    <n v="821030"/>
    <x v="75"/>
  </r>
  <r>
    <n v="2026"/>
    <n v="6"/>
    <s v="12-06-2026"/>
    <n v="7979"/>
    <s v="2108-12"/>
    <n v="821030"/>
    <n v="0"/>
    <s v="Pago en linea previred"/>
    <n v="821030"/>
    <s v="Pasivo"/>
    <n v="-821030"/>
    <x v="75"/>
  </r>
  <r>
    <n v="2026"/>
    <n v="6"/>
    <s v="30-06-2026"/>
    <n v="10802"/>
    <s v="2108-12"/>
    <n v="0"/>
    <n v="861009"/>
    <s v="Centralizacion remuneraciones junio"/>
    <n v="-861009"/>
    <s v="Pasivo"/>
    <n v="861009"/>
    <x v="75"/>
  </r>
  <r>
    <n v="2026"/>
    <n v="7"/>
    <s v="10-07-2026"/>
    <n v="8478"/>
    <s v="2108-12"/>
    <n v="861009"/>
    <n v="0"/>
    <s v="Pago en linea previred"/>
    <n v="861009"/>
    <s v="Pasivo"/>
    <n v="-861009"/>
    <x v="75"/>
  </r>
  <r>
    <n v="2026"/>
    <n v="7"/>
    <s v="31-07-2026"/>
    <n v="12633"/>
    <s v="2108-12"/>
    <n v="0"/>
    <n v="831908"/>
    <s v="Centralizacion remuneraciones julio"/>
    <n v="-831908"/>
    <s v="Pasivo"/>
    <n v="831908"/>
    <x v="75"/>
  </r>
  <r>
    <n v="2026"/>
    <n v="1"/>
    <s v="01-01-2026"/>
    <n v="9827"/>
    <s v="2108-13"/>
    <n v="0"/>
    <n v="323843"/>
    <s v=""/>
    <n v="-323843"/>
    <s v="Pasivo"/>
    <n v="323843"/>
    <x v="76"/>
  </r>
  <r>
    <n v="2026"/>
    <n v="1"/>
    <s v="01-01-2026"/>
    <n v="8213"/>
    <s v="2108-20"/>
    <n v="1825294"/>
    <n v="0"/>
    <s v="Reclasifica ccaf a isapres"/>
    <n v="1825294"/>
    <s v="Pasivo"/>
    <n v="-1825294"/>
    <x v="77"/>
  </r>
  <r>
    <n v="2026"/>
    <n v="1"/>
    <s v="01-01-2026"/>
    <n v="9827"/>
    <s v="2108-20"/>
    <n v="0"/>
    <n v="6060372"/>
    <s v=""/>
    <n v="-6060372"/>
    <s v="Pasivo"/>
    <n v="6060372"/>
    <x v="77"/>
  </r>
  <r>
    <n v="2026"/>
    <n v="1"/>
    <s v="13-01-2026"/>
    <n v="7017"/>
    <s v="2108-20"/>
    <n v="4235078"/>
    <n v="0"/>
    <s v="Pago en linea previred"/>
    <n v="4235078"/>
    <s v="Pasivo"/>
    <n v="-4235078"/>
    <x v="77"/>
  </r>
  <r>
    <n v="2026"/>
    <n v="1"/>
    <s v="31-01-2026"/>
    <n v="9812"/>
    <s v="2108-20"/>
    <n v="0"/>
    <n v="4301179"/>
    <s v="Centralizacion remuneraciones enero "/>
    <n v="-4301179"/>
    <s v="Pasivo"/>
    <n v="4301179"/>
    <x v="77"/>
  </r>
  <r>
    <n v="2026"/>
    <n v="2"/>
    <s v="16-02-2026"/>
    <n v="7105"/>
    <s v="2108-20"/>
    <n v="4301179"/>
    <n v="0"/>
    <s v="Pago previred enero"/>
    <n v="4301179"/>
    <s v="Pasivo"/>
    <n v="-4301179"/>
    <x v="77"/>
  </r>
  <r>
    <n v="2026"/>
    <n v="2"/>
    <s v="28-02-2026"/>
    <n v="9813"/>
    <s v="2108-20"/>
    <n v="0"/>
    <n v="4686715"/>
    <s v="Centralizacion remuneraciones febrero"/>
    <n v="-4686715"/>
    <s v="Pasivo"/>
    <n v="4686715"/>
    <x v="77"/>
  </r>
  <r>
    <n v="2026"/>
    <n v="3"/>
    <s v="11-03-2026"/>
    <n v="7470"/>
    <s v="2108-20"/>
    <n v="4686715"/>
    <n v="0"/>
    <s v="Pago previred febrero"/>
    <n v="4686715"/>
    <s v="Pasivo"/>
    <n v="-4686715"/>
    <x v="77"/>
  </r>
  <r>
    <n v="2026"/>
    <n v="3"/>
    <s v="31-03-2026"/>
    <n v="10744"/>
    <s v="2108-20"/>
    <n v="0"/>
    <n v="4805467"/>
    <s v="Centralizacion remuneraciones marzo"/>
    <n v="-4805467"/>
    <s v="Pasivo"/>
    <n v="4805467"/>
    <x v="77"/>
  </r>
  <r>
    <n v="2026"/>
    <n v="4"/>
    <s v="10-04-2026"/>
    <n v="7680"/>
    <s v="2108-20"/>
    <n v="4805467"/>
    <n v="0"/>
    <s v="Bdp previred"/>
    <n v="4805467"/>
    <s v="Pasivo"/>
    <n v="-4805467"/>
    <x v="77"/>
  </r>
  <r>
    <n v="2026"/>
    <n v="4"/>
    <s v="30-04-2026"/>
    <n v="10757"/>
    <s v="2108-20"/>
    <n v="0"/>
    <n v="4424296"/>
    <s v="Centralizacion remuneraciones abril"/>
    <n v="-4424296"/>
    <s v="Pasivo"/>
    <n v="4424296"/>
    <x v="77"/>
  </r>
  <r>
    <n v="2026"/>
    <n v="5"/>
    <s v="12-05-2026"/>
    <n v="7776"/>
    <s v="2108-20"/>
    <n v="4424296"/>
    <n v="0"/>
    <s v="Pago en linea previred"/>
    <n v="4424296"/>
    <s v="Pasivo"/>
    <n v="-4424296"/>
    <x v="77"/>
  </r>
  <r>
    <n v="2026"/>
    <n v="5"/>
    <s v="31-05-2026"/>
    <n v="10782"/>
    <s v="2108-20"/>
    <n v="0"/>
    <n v="4468129"/>
    <s v="Centralizacion remuneraciones mayo"/>
    <n v="-4468129"/>
    <s v="Pasivo"/>
    <n v="4468129"/>
    <x v="77"/>
  </r>
  <r>
    <n v="2026"/>
    <n v="6"/>
    <s v="12-06-2026"/>
    <n v="7979"/>
    <s v="2108-20"/>
    <n v="4468129"/>
    <n v="0"/>
    <s v="Pago en linea previred"/>
    <n v="4468129"/>
    <s v="Pasivo"/>
    <n v="-4468129"/>
    <x v="77"/>
  </r>
  <r>
    <n v="2026"/>
    <n v="6"/>
    <s v="30-06-2026"/>
    <n v="10802"/>
    <s v="2108-20"/>
    <n v="0"/>
    <n v="4755622"/>
    <s v="Centralizacion remuneraciones junio"/>
    <n v="-4755622"/>
    <s v="Pasivo"/>
    <n v="4755622"/>
    <x v="77"/>
  </r>
  <r>
    <n v="2026"/>
    <n v="7"/>
    <s v="10-07-2026"/>
    <n v="8478"/>
    <s v="2108-20"/>
    <n v="4755622"/>
    <n v="0"/>
    <s v="Pago en linea previred"/>
    <n v="4755622"/>
    <s v="Pasivo"/>
    <n v="-4755622"/>
    <x v="77"/>
  </r>
  <r>
    <n v="2026"/>
    <n v="7"/>
    <s v="31-07-2026"/>
    <n v="12633"/>
    <s v="2108-20"/>
    <n v="0"/>
    <n v="4198019"/>
    <s v="Centralizacion remuneraciones julio"/>
    <n v="-4198019"/>
    <s v="Pasivo"/>
    <n v="4198019"/>
    <x v="77"/>
  </r>
  <r>
    <n v="2026"/>
    <n v="1"/>
    <s v="01-01-2026"/>
    <n v="8100"/>
    <s v="2116-01"/>
    <n v="271508"/>
    <n v="0"/>
    <s v="Centralización pagos enero 2026 #616 - #616"/>
    <n v="271508"/>
    <s v="Pasivo"/>
    <n v="-271508"/>
    <x v="78"/>
  </r>
  <r>
    <n v="2026"/>
    <n v="1"/>
    <s v="01-01-2026"/>
    <n v="8102"/>
    <s v="2116-01"/>
    <n v="245083"/>
    <n v="0"/>
    <s v="Centralización pagos enero 2026 #621 - #621"/>
    <n v="245083"/>
    <s v="Pasivo"/>
    <n v="-245083"/>
    <x v="78"/>
  </r>
  <r>
    <n v="2026"/>
    <n v="1"/>
    <s v="01-01-2026"/>
    <n v="8103"/>
    <s v="2116-01"/>
    <n v="192957"/>
    <n v="0"/>
    <s v="Centralización pagos enero 2026 #623 - #623"/>
    <n v="192957"/>
    <s v="Pasivo"/>
    <n v="-192957"/>
    <x v="78"/>
  </r>
  <r>
    <n v="2026"/>
    <n v="1"/>
    <s v="01-01-2026"/>
    <n v="8104"/>
    <s v="2116-01"/>
    <n v="55228"/>
    <n v="0"/>
    <s v="Centralización pagos enero 2026 #625 - #625"/>
    <n v="55228"/>
    <s v="Pasivo"/>
    <n v="-55228"/>
    <x v="78"/>
  </r>
  <r>
    <n v="2026"/>
    <n v="1"/>
    <s v="01-01-2026"/>
    <n v="8106"/>
    <s v="2116-01"/>
    <n v="14081"/>
    <n v="0"/>
    <s v="Centralización pagos enero 2026 #630 - #630"/>
    <n v="14081"/>
    <s v="Pasivo"/>
    <n v="-14081"/>
    <x v="78"/>
  </r>
  <r>
    <n v="2026"/>
    <n v="1"/>
    <s v="01-01-2026"/>
    <n v="8107"/>
    <s v="2116-01"/>
    <n v="47000"/>
    <n v="0"/>
    <s v="Centralización pagos enero 2026 #631 - #631"/>
    <n v="47000"/>
    <s v="Pasivo"/>
    <n v="-47000"/>
    <x v="78"/>
  </r>
  <r>
    <n v="2026"/>
    <n v="1"/>
    <s v="01-01-2026"/>
    <n v="8108"/>
    <s v="2116-01"/>
    <n v="260591"/>
    <n v="0"/>
    <s v="Centralización pagos enero 2026 #632 - #632"/>
    <n v="260591"/>
    <s v="Pasivo"/>
    <n v="-260591"/>
    <x v="78"/>
  </r>
  <r>
    <n v="2026"/>
    <n v="1"/>
    <s v="01-01-2026"/>
    <n v="8109"/>
    <s v="2116-01"/>
    <n v="235990"/>
    <n v="0"/>
    <s v="Centralización pagos enero 2026 #633 - #633"/>
    <n v="235990"/>
    <s v="Pasivo"/>
    <n v="-235990"/>
    <x v="78"/>
  </r>
  <r>
    <n v="2026"/>
    <n v="1"/>
    <s v="01-01-2026"/>
    <n v="8110"/>
    <s v="2116-01"/>
    <n v="115938"/>
    <n v="0"/>
    <s v="Centralización pagos enero 2026 #634 - #634"/>
    <n v="115938"/>
    <s v="Pasivo"/>
    <n v="-115938"/>
    <x v="78"/>
  </r>
  <r>
    <n v="2026"/>
    <n v="1"/>
    <s v="01-01-2026"/>
    <n v="8111"/>
    <s v="2116-01"/>
    <n v="24500"/>
    <n v="0"/>
    <s v="Centralización pagos enero 2026 #635 - #635"/>
    <n v="24500"/>
    <s v="Pasivo"/>
    <n v="-24500"/>
    <x v="78"/>
  </r>
  <r>
    <n v="2026"/>
    <n v="1"/>
    <s v="01-01-2026"/>
    <n v="8112"/>
    <s v="2116-01"/>
    <n v="10838"/>
    <n v="0"/>
    <s v="Centralización pagos enero 2026 #639 - #639"/>
    <n v="10838"/>
    <s v="Pasivo"/>
    <n v="-10838"/>
    <x v="78"/>
  </r>
  <r>
    <n v="2026"/>
    <n v="1"/>
    <s v="01-01-2026"/>
    <n v="8113"/>
    <s v="2116-01"/>
    <n v="142324"/>
    <n v="0"/>
    <s v="Centralización pagos enero 2026 #640 - #640"/>
    <n v="142324"/>
    <s v="Pasivo"/>
    <n v="-142324"/>
    <x v="78"/>
  </r>
  <r>
    <n v="2026"/>
    <n v="1"/>
    <s v="01-01-2026"/>
    <n v="8114"/>
    <s v="2116-01"/>
    <n v="18816"/>
    <n v="0"/>
    <s v="Centralización pagos enero 2026 #642 - #642"/>
    <n v="18816"/>
    <s v="Pasivo"/>
    <n v="-18816"/>
    <x v="78"/>
  </r>
  <r>
    <n v="2026"/>
    <n v="1"/>
    <s v="01-01-2026"/>
    <n v="8117"/>
    <s v="2116-01"/>
    <n v="191945"/>
    <n v="0"/>
    <s v="Centralización pagos enero 2026 #649 - #649"/>
    <n v="191945"/>
    <s v="Pasivo"/>
    <n v="-191945"/>
    <x v="78"/>
  </r>
  <r>
    <n v="2026"/>
    <n v="1"/>
    <s v="01-01-2026"/>
    <n v="8119"/>
    <s v="2116-01"/>
    <n v="2280"/>
    <n v="0"/>
    <s v="Centralización pagos enero 2026 #652 - #652"/>
    <n v="2280"/>
    <s v="Pasivo"/>
    <n v="-2280"/>
    <x v="78"/>
  </r>
  <r>
    <n v="2026"/>
    <n v="1"/>
    <s v="01-01-2026"/>
    <n v="8120"/>
    <s v="2116-01"/>
    <n v="4487014"/>
    <n v="0"/>
    <s v="Centralización pagos enero 2026 #653 - #653"/>
    <n v="4487014"/>
    <s v="Pasivo"/>
    <n v="-4487014"/>
    <x v="78"/>
  </r>
  <r>
    <n v="2026"/>
    <n v="1"/>
    <s v="01-01-2026"/>
    <n v="8121"/>
    <s v="2116-01"/>
    <n v="812"/>
    <n v="0"/>
    <s v="Centralización pagos enero 2026 #654 - #654"/>
    <n v="812"/>
    <s v="Pasivo"/>
    <n v="-812"/>
    <x v="78"/>
  </r>
  <r>
    <n v="2026"/>
    <n v="1"/>
    <s v="01-01-2026"/>
    <n v="8123"/>
    <s v="2116-01"/>
    <n v="142800"/>
    <n v="0"/>
    <s v="Centralización pagos enero 2026 #656 - #656"/>
    <n v="142800"/>
    <s v="Pasivo"/>
    <n v="-142800"/>
    <x v="78"/>
  </r>
  <r>
    <n v="2026"/>
    <n v="1"/>
    <s v="01-01-2026"/>
    <n v="8125"/>
    <s v="2116-01"/>
    <n v="875964"/>
    <n v="0"/>
    <s v="Centralización pagos enero 2026 #660 - #660"/>
    <n v="875964"/>
    <s v="Pasivo"/>
    <n v="-875964"/>
    <x v="78"/>
  </r>
  <r>
    <n v="2026"/>
    <n v="1"/>
    <s v="01-01-2026"/>
    <n v="8127"/>
    <s v="2116-01"/>
    <n v="119025"/>
    <n v="0"/>
    <s v="Centralización pagos enero 2026 #663 - #663"/>
    <n v="119025"/>
    <s v="Pasivo"/>
    <n v="-119025"/>
    <x v="78"/>
  </r>
  <r>
    <n v="2026"/>
    <n v="1"/>
    <s v="01-01-2026"/>
    <n v="8128"/>
    <s v="2116-01"/>
    <n v="700575"/>
    <n v="0"/>
    <s v="Centralización pagos enero 2026 #667 - #667"/>
    <n v="700575"/>
    <s v="Pasivo"/>
    <n v="-700575"/>
    <x v="78"/>
  </r>
  <r>
    <n v="2026"/>
    <n v="1"/>
    <s v="01-01-2026"/>
    <n v="8129"/>
    <s v="2116-01"/>
    <n v="892500"/>
    <n v="0"/>
    <s v="Centralización pagos enero 2026 #669 - #669"/>
    <n v="892500"/>
    <s v="Pasivo"/>
    <n v="-892500"/>
    <x v="78"/>
  </r>
  <r>
    <n v="2026"/>
    <n v="1"/>
    <s v="01-01-2026"/>
    <n v="8130"/>
    <s v="2116-01"/>
    <n v="12400"/>
    <n v="0"/>
    <s v="Centralización pagos enero 2026 #670 - #670"/>
    <n v="12400"/>
    <s v="Pasivo"/>
    <n v="-12400"/>
    <x v="78"/>
  </r>
  <r>
    <n v="2026"/>
    <n v="1"/>
    <s v="01-01-2026"/>
    <n v="8131"/>
    <s v="2116-01"/>
    <n v="109980"/>
    <n v="0"/>
    <s v="Centralización pagos enero 2026 #671 - #671"/>
    <n v="109980"/>
    <s v="Pasivo"/>
    <n v="-109980"/>
    <x v="78"/>
  </r>
  <r>
    <n v="2026"/>
    <n v="1"/>
    <s v="01-01-2026"/>
    <n v="9827"/>
    <s v="2116-01"/>
    <n v="183454600"/>
    <n v="0"/>
    <s v="Movimientos auxiliares"/>
    <n v="183454600"/>
    <s v="Pasivo"/>
    <n v="-183454600"/>
    <x v="78"/>
  </r>
  <r>
    <n v="2026"/>
    <n v="1"/>
    <s v="01-01-2026"/>
    <n v="9827"/>
    <s v="2116-01"/>
    <n v="0"/>
    <n v="308193598"/>
    <s v="Movimientos auxiliares"/>
    <n v="-308193598"/>
    <s v="Pasivo"/>
    <n v="308193598"/>
    <x v="78"/>
  </r>
  <r>
    <n v="2026"/>
    <n v="1"/>
    <s v="02-01-2026"/>
    <n v="6927"/>
    <s v="2116-01"/>
    <n v="416500"/>
    <n v="0"/>
    <s v="Pago f 6427 optictimes spa"/>
    <n v="416500"/>
    <s v="Pasivo"/>
    <n v="-416500"/>
    <x v="78"/>
  </r>
  <r>
    <n v="2026"/>
    <n v="1"/>
    <s v="02-01-2026"/>
    <n v="8116"/>
    <s v="2116-01"/>
    <n v="65940"/>
    <n v="0"/>
    <s v="Centralización pagos enero 2026 #648 - #648"/>
    <n v="65940"/>
    <s v="Pasivo"/>
    <n v="-65940"/>
    <x v="78"/>
  </r>
  <r>
    <n v="2026"/>
    <n v="1"/>
    <s v="02-01-2026"/>
    <n v="8118"/>
    <s v="2116-01"/>
    <n v="18990"/>
    <n v="0"/>
    <s v="Centralización pagos enero 2026 #651 - #651"/>
    <n v="18990"/>
    <s v="Pasivo"/>
    <n v="-18990"/>
    <x v="78"/>
  </r>
  <r>
    <n v="2026"/>
    <n v="1"/>
    <s v="02-01-2026"/>
    <n v="8311"/>
    <s v="2116-01"/>
    <n v="119050"/>
    <n v="0"/>
    <s v="Centralización pagos enero 2026 #731 - #731"/>
    <n v="119050"/>
    <s v="Pasivo"/>
    <n v="-119050"/>
    <x v="78"/>
  </r>
  <r>
    <n v="2026"/>
    <n v="1"/>
    <s v="03-01-2026"/>
    <n v="8313"/>
    <s v="2116-01"/>
    <n v="19840"/>
    <n v="0"/>
    <s v="Centralización pagos enero 2026 #744 - #744"/>
    <n v="19840"/>
    <s v="Pasivo"/>
    <n v="-19840"/>
    <x v="78"/>
  </r>
  <r>
    <n v="2026"/>
    <n v="1"/>
    <s v="05-01-2026"/>
    <n v="6930"/>
    <s v="2116-01"/>
    <n v="500000"/>
    <n v="0"/>
    <s v="Abono f 30708135 copec s.a."/>
    <n v="500000"/>
    <s v="Pasivo"/>
    <n v="-500000"/>
    <x v="78"/>
  </r>
  <r>
    <n v="2026"/>
    <n v="1"/>
    <s v="05-01-2026"/>
    <n v="8289"/>
    <s v="2116-01"/>
    <n v="24970"/>
    <n v="0"/>
    <s v="Centralización pagos enero 2026 #687 - #687"/>
    <n v="24970"/>
    <s v="Pasivo"/>
    <n v="-24970"/>
    <x v="78"/>
  </r>
  <r>
    <n v="2026"/>
    <n v="1"/>
    <s v="06-01-2026"/>
    <n v="6936"/>
    <s v="2116-01"/>
    <n v="168000"/>
    <n v="0"/>
    <s v="Pago f 419 lt graficas textiles spa"/>
    <n v="168000"/>
    <s v="Pasivo"/>
    <n v="-168000"/>
    <x v="78"/>
  </r>
  <r>
    <n v="2026"/>
    <n v="1"/>
    <s v="06-01-2026"/>
    <n v="6937"/>
    <s v="2116-01"/>
    <n v="95760"/>
    <n v="0"/>
    <s v="Pago f 2865 mc namara work store spa"/>
    <n v="95760"/>
    <s v="Pasivo"/>
    <n v="-95760"/>
    <x v="78"/>
  </r>
  <r>
    <n v="2026"/>
    <n v="1"/>
    <s v="06-01-2026"/>
    <n v="6938"/>
    <s v="2116-01"/>
    <n v="56000"/>
    <n v="0"/>
    <s v="Pago f 20907 importadora decohogar espacio spa"/>
    <n v="56000"/>
    <s v="Pasivo"/>
    <n v="-56000"/>
    <x v="78"/>
  </r>
  <r>
    <n v="2026"/>
    <n v="1"/>
    <s v="06-01-2026"/>
    <n v="7099"/>
    <s v="2116-01"/>
    <n v="8988"/>
    <n v="0"/>
    <s v="Pago f 7631373 banco itau"/>
    <n v="8988"/>
    <s v="Pasivo"/>
    <n v="-8988"/>
    <x v="78"/>
  </r>
  <r>
    <n v="2026"/>
    <n v="1"/>
    <s v="06-01-2026"/>
    <n v="8315"/>
    <s v="2116-01"/>
    <n v="15000"/>
    <n v="0"/>
    <s v="Centralización pagos enero 2026 #751 - #751"/>
    <n v="15000"/>
    <s v="Pasivo"/>
    <n v="-15000"/>
    <x v="78"/>
  </r>
  <r>
    <n v="2026"/>
    <n v="1"/>
    <s v="07-01-2026"/>
    <n v="6940"/>
    <s v="2116-01"/>
    <n v="7336350"/>
    <n v="0"/>
    <s v="Abono f 37216 tac communications s.a."/>
    <n v="7336350"/>
    <s v="Pasivo"/>
    <n v="-7336350"/>
    <x v="78"/>
  </r>
  <r>
    <n v="2026"/>
    <n v="1"/>
    <s v="07-01-2026"/>
    <n v="6941"/>
    <s v="2116-01"/>
    <n v="6035021"/>
    <n v="0"/>
    <s v="Abono f 941 leasing rym spa"/>
    <n v="6035021"/>
    <s v="Pasivo"/>
    <n v="-6035021"/>
    <x v="78"/>
  </r>
  <r>
    <n v="2026"/>
    <n v="1"/>
    <s v="07-01-2026"/>
    <n v="6943"/>
    <s v="2116-01"/>
    <n v="4301968"/>
    <n v="0"/>
    <s v="Pago f 35774 grupo zgh spa"/>
    <n v="4301968"/>
    <s v="Pasivo"/>
    <n v="-4301968"/>
    <x v="78"/>
  </r>
  <r>
    <n v="2026"/>
    <n v="1"/>
    <s v="07-01-2026"/>
    <n v="6944"/>
    <s v="2116-01"/>
    <n v="3137198"/>
    <n v="0"/>
    <s v="Pago f 11034 pit chile spa"/>
    <n v="3137198"/>
    <s v="Pasivo"/>
    <n v="-3137198"/>
    <x v="78"/>
  </r>
  <r>
    <n v="2026"/>
    <n v="1"/>
    <s v="07-01-2026"/>
    <n v="6945"/>
    <s v="2116-01"/>
    <n v="2570904"/>
    <n v="0"/>
    <s v="Pago f 236 asociacion gremial de pequenos prov"/>
    <n v="2570904"/>
    <s v="Pasivo"/>
    <n v="-2570904"/>
    <x v="78"/>
  </r>
  <r>
    <n v="2026"/>
    <n v="1"/>
    <s v="07-01-2026"/>
    <n v="6946"/>
    <s v="2116-01"/>
    <n v="2185982"/>
    <n v="0"/>
    <s v="Pago f 37529 tac communications s.a."/>
    <n v="2185982"/>
    <s v="Pasivo"/>
    <n v="-2185982"/>
    <x v="78"/>
  </r>
  <r>
    <n v="2026"/>
    <n v="1"/>
    <s v="07-01-2026"/>
    <n v="6947"/>
    <s v="2116-01"/>
    <n v="1571428"/>
    <n v="0"/>
    <s v="Pago f 4860302 telefonica empresas chile s.a."/>
    <n v="1571428"/>
    <s v="Pasivo"/>
    <n v="-1571428"/>
    <x v="78"/>
  </r>
  <r>
    <n v="2026"/>
    <n v="1"/>
    <s v="07-01-2026"/>
    <n v="6948"/>
    <s v="2116-01"/>
    <n v="1469935"/>
    <n v="0"/>
    <s v="Pago f 14016 asesorias tributarias pedro gonzalez limitada"/>
    <n v="1469935"/>
    <s v="Pasivo"/>
    <n v="-1469935"/>
    <x v="78"/>
  </r>
  <r>
    <n v="2026"/>
    <n v="1"/>
    <s v="07-01-2026"/>
    <n v="6949"/>
    <s v="2116-01"/>
    <n v="1415277"/>
    <n v="0"/>
    <s v="Pago f 3129 ficom telecomunicaciones spa"/>
    <n v="1415277"/>
    <s v="Pasivo"/>
    <n v="-1415277"/>
    <x v="78"/>
  </r>
  <r>
    <n v="2026"/>
    <n v="1"/>
    <s v="07-01-2026"/>
    <n v="6951"/>
    <s v="2116-01"/>
    <n v="1018878"/>
    <n v="0"/>
    <s v="Pago f 7483 ascenty chile spa"/>
    <n v="1018878"/>
    <s v="Pasivo"/>
    <n v="-1018878"/>
    <x v="78"/>
  </r>
  <r>
    <n v="2026"/>
    <n v="1"/>
    <s v="07-01-2026"/>
    <n v="6952"/>
    <s v="2116-01"/>
    <n v="1004280"/>
    <n v="0"/>
    <s v="Pago f 36214 comercial lagos e hijos ltda."/>
    <n v="1004280"/>
    <s v="Pasivo"/>
    <n v="-1004280"/>
    <x v="78"/>
  </r>
  <r>
    <n v="2026"/>
    <n v="1"/>
    <s v="07-01-2026"/>
    <n v="6954"/>
    <s v="2116-01"/>
    <n v="1000000"/>
    <n v="0"/>
    <s v="Pago f 8621 silica networks chile s a"/>
    <n v="1000000"/>
    <s v="Pasivo"/>
    <n v="-1000000"/>
    <x v="78"/>
  </r>
  <r>
    <n v="2026"/>
    <n v="1"/>
    <s v="07-01-2026"/>
    <n v="6955"/>
    <s v="2116-01"/>
    <n v="967106"/>
    <n v="0"/>
    <s v="Pago f 35775 grupo zgh spa"/>
    <n v="967106"/>
    <s v="Pasivo"/>
    <n v="-967106"/>
    <x v="78"/>
  </r>
  <r>
    <n v="2026"/>
    <n v="1"/>
    <s v="07-01-2026"/>
    <n v="6956"/>
    <s v="2116-01"/>
    <n v="803619"/>
    <n v="0"/>
    <s v="Pago f 312 alberto diaz de valdes e hija limitada"/>
    <n v="803619"/>
    <s v="Pasivo"/>
    <n v="-803619"/>
    <x v="78"/>
  </r>
  <r>
    <n v="2026"/>
    <n v="1"/>
    <s v="07-01-2026"/>
    <n v="6958"/>
    <s v="2116-01"/>
    <n v="707638"/>
    <n v="0"/>
    <s v="Pago f 3130 ficom telecomunicaciones spa"/>
    <n v="707638"/>
    <s v="Pasivo"/>
    <n v="-707638"/>
    <x v="78"/>
  </r>
  <r>
    <n v="2026"/>
    <n v="1"/>
    <s v="07-01-2026"/>
    <n v="6959"/>
    <s v="2116-01"/>
    <n v="693641"/>
    <n v="0"/>
    <s v="Pago f 175723 hp financial services chile limitada"/>
    <n v="693641"/>
    <s v="Pasivo"/>
    <n v="-693641"/>
    <x v="78"/>
  </r>
  <r>
    <n v="2026"/>
    <n v="1"/>
    <s v="07-01-2026"/>
    <n v="6960"/>
    <s v="2116-01"/>
    <n v="683102"/>
    <n v="0"/>
    <s v="Pago f 400110 tecnologia lk spa"/>
    <n v="683102"/>
    <s v="Pasivo"/>
    <n v="-683102"/>
    <x v="78"/>
  </r>
  <r>
    <n v="2026"/>
    <n v="1"/>
    <s v="07-01-2026"/>
    <n v="6961"/>
    <s v="2116-01"/>
    <n v="660262"/>
    <n v="0"/>
    <s v="Pago f 546774 asociacion chilena de seguridad"/>
    <n v="660262"/>
    <s v="Pasivo"/>
    <n v="-660262"/>
    <x v="78"/>
  </r>
  <r>
    <n v="2026"/>
    <n v="1"/>
    <s v="07-01-2026"/>
    <n v="6963"/>
    <s v="2116-01"/>
    <n v="476000"/>
    <n v="0"/>
    <s v="Pago f 5456 cia de comunicaciones coyhaique limitada"/>
    <n v="476000"/>
    <s v="Pasivo"/>
    <n v="-476000"/>
    <x v="78"/>
  </r>
  <r>
    <n v="2026"/>
    <n v="1"/>
    <s v="07-01-2026"/>
    <n v="6964"/>
    <s v="2116-01"/>
    <n v="397240"/>
    <n v="0"/>
    <s v="Pago f 4972 cg abogados limitada"/>
    <n v="397240"/>
    <s v="Pasivo"/>
    <n v="-397240"/>
    <x v="78"/>
  </r>
  <r>
    <n v="2026"/>
    <n v="1"/>
    <s v="07-01-2026"/>
    <n v="6965"/>
    <s v="2116-01"/>
    <n v="339666"/>
    <n v="0"/>
    <s v="Pago f 76282 powerhost telecom spa"/>
    <n v="339666"/>
    <s v="Pasivo"/>
    <n v="-339666"/>
    <x v="78"/>
  </r>
  <r>
    <n v="2026"/>
    <n v="1"/>
    <s v="07-01-2026"/>
    <n v="6970"/>
    <s v="2116-01"/>
    <n v="168955"/>
    <n v="0"/>
    <s v="Pago f 183821 contempora compania de seguros generales s.a"/>
    <n v="168955"/>
    <s v="Pasivo"/>
    <n v="-168955"/>
    <x v="78"/>
  </r>
  <r>
    <n v="2026"/>
    <n v="1"/>
    <s v="07-01-2026"/>
    <n v="6975"/>
    <s v="2116-01"/>
    <n v="81426"/>
    <n v="0"/>
    <s v="Pago f 7482 ascenty chile spa"/>
    <n v="81426"/>
    <s v="Pasivo"/>
    <n v="-81426"/>
    <x v="78"/>
  </r>
  <r>
    <n v="2026"/>
    <n v="1"/>
    <s v="07-01-2026"/>
    <n v="6976"/>
    <s v="2116-01"/>
    <n v="76591"/>
    <n v="0"/>
    <s v="Pago f 7385 ascenty chile spa"/>
    <n v="76591"/>
    <s v="Pasivo"/>
    <n v="-76591"/>
    <x v="78"/>
  </r>
  <r>
    <n v="2026"/>
    <n v="1"/>
    <s v="07-01-2026"/>
    <n v="6977"/>
    <s v="2116-01"/>
    <n v="76591"/>
    <n v="0"/>
    <s v="Pago f 7386 ascenty chile spa"/>
    <n v="76591"/>
    <s v="Pasivo"/>
    <n v="-76591"/>
    <x v="78"/>
  </r>
  <r>
    <n v="2026"/>
    <n v="1"/>
    <s v="07-01-2026"/>
    <n v="6978"/>
    <s v="2116-01"/>
    <n v="71400"/>
    <n v="0"/>
    <s v="Pago f 95 zettabyte spa"/>
    <n v="71400"/>
    <s v="Pasivo"/>
    <n v="-71400"/>
    <x v="78"/>
  </r>
  <r>
    <n v="2026"/>
    <n v="1"/>
    <s v="07-01-2026"/>
    <n v="6979"/>
    <s v="2116-01"/>
    <n v="64684"/>
    <n v="0"/>
    <s v="Pago f 7388 ascenty chile spa"/>
    <n v="64684"/>
    <s v="Pasivo"/>
    <n v="-64684"/>
    <x v="78"/>
  </r>
  <r>
    <n v="2026"/>
    <n v="1"/>
    <s v="07-01-2026"/>
    <n v="6980"/>
    <s v="2116-01"/>
    <n v="64594"/>
    <n v="0"/>
    <s v="Pago f 7481 ascenty chile spa"/>
    <n v="64594"/>
    <s v="Pasivo"/>
    <n v="-64594"/>
    <x v="78"/>
  </r>
  <r>
    <n v="2026"/>
    <n v="1"/>
    <s v="07-01-2026"/>
    <n v="6981"/>
    <s v="2116-01"/>
    <n v="64491"/>
    <n v="0"/>
    <s v="Pago f 7387 ascenty chile spa"/>
    <n v="64491"/>
    <s v="Pasivo"/>
    <n v="-64491"/>
    <x v="78"/>
  </r>
  <r>
    <n v="2026"/>
    <n v="1"/>
    <s v="07-01-2026"/>
    <n v="6982"/>
    <s v="2116-01"/>
    <n v="64362"/>
    <n v="0"/>
    <s v="Pago f 7389 ascenty chile spa"/>
    <n v="64362"/>
    <s v="Pasivo"/>
    <n v="-64362"/>
    <x v="78"/>
  </r>
  <r>
    <n v="2026"/>
    <n v="1"/>
    <s v="07-01-2026"/>
    <n v="6983"/>
    <s v="2116-01"/>
    <n v="57120"/>
    <n v="0"/>
    <s v="Pago f 1545 cinthya margarita catalan pizarro"/>
    <n v="57120"/>
    <s v="Pasivo"/>
    <n v="-57120"/>
    <x v="78"/>
  </r>
  <r>
    <n v="2026"/>
    <n v="1"/>
    <s v="07-01-2026"/>
    <n v="6984"/>
    <s v="2116-01"/>
    <n v="41650"/>
    <n v="0"/>
    <s v="Pago f 328 41650ingenieria y proyecto"/>
    <n v="41650"/>
    <s v="Pasivo"/>
    <n v="-41650"/>
    <x v="78"/>
  </r>
  <r>
    <n v="2026"/>
    <n v="1"/>
    <s v="07-01-2026"/>
    <n v="6985"/>
    <s v="2116-01"/>
    <n v="30720"/>
    <n v="0"/>
    <s v="Pago f 3469 centro de capacitacion laboral juan eduardo vinals bravo eirl"/>
    <n v="30720"/>
    <s v="Pasivo"/>
    <n v="-30720"/>
    <x v="78"/>
  </r>
  <r>
    <n v="2026"/>
    <n v="1"/>
    <s v="07-01-2026"/>
    <n v="6986"/>
    <s v="2116-01"/>
    <n v="14617"/>
    <n v="0"/>
    <s v="Pago f 72668512 telefonica moviles chile s.a."/>
    <n v="14617"/>
    <s v="Pasivo"/>
    <n v="-14617"/>
    <x v="78"/>
  </r>
  <r>
    <n v="2026"/>
    <n v="1"/>
    <s v="07-01-2026"/>
    <n v="8367"/>
    <s v="2116-01"/>
    <n v="119050"/>
    <n v="0"/>
    <s v="Centralización pagos enero 2026 #765 - #765"/>
    <n v="119050"/>
    <s v="Pasivo"/>
    <n v="-119050"/>
    <x v="78"/>
  </r>
  <r>
    <n v="2026"/>
    <n v="1"/>
    <s v="07-01-2026"/>
    <n v="8426"/>
    <s v="2116-01"/>
    <n v="74"/>
    <n v="0"/>
    <s v="Centralización pagos enero 2026 #819 - #819"/>
    <n v="74"/>
    <s v="Pasivo"/>
    <n v="-74"/>
    <x v="78"/>
  </r>
  <r>
    <n v="2026"/>
    <n v="1"/>
    <s v="08-01-2026"/>
    <n v="8369"/>
    <s v="2116-01"/>
    <n v="19840"/>
    <n v="0"/>
    <s v="Centralización pagos enero 2026 #779 - #779"/>
    <n v="19840"/>
    <s v="Pasivo"/>
    <n v="-19840"/>
    <x v="78"/>
  </r>
  <r>
    <n v="2026"/>
    <n v="1"/>
    <s v="09-01-2026"/>
    <n v="6988"/>
    <s v="2116-01"/>
    <n v="4350288"/>
    <n v="0"/>
    <s v="Pago f 6565 telxius cable chile s.a."/>
    <n v="4350288"/>
    <s v="Pasivo"/>
    <n v="-4350288"/>
    <x v="78"/>
  </r>
  <r>
    <n v="2026"/>
    <n v="1"/>
    <s v="09-01-2026"/>
    <n v="6989"/>
    <s v="2116-01"/>
    <n v="2499000"/>
    <n v="0"/>
    <s v="Pago f 37485 transworld power telcom spa"/>
    <n v="2499000"/>
    <s v="Pasivo"/>
    <n v="-2499000"/>
    <x v="78"/>
  </r>
  <r>
    <n v="2026"/>
    <n v="1"/>
    <s v="09-01-2026"/>
    <n v="6990"/>
    <s v="2116-01"/>
    <n v="1323735"/>
    <n v="0"/>
    <s v="Pago f 340979 gama leasing operativo spa"/>
    <n v="1323735"/>
    <s v="Pasivo"/>
    <n v="-1323735"/>
    <x v="78"/>
  </r>
  <r>
    <n v="2026"/>
    <n v="1"/>
    <s v="09-01-2026"/>
    <n v="6991"/>
    <s v="2116-01"/>
    <n v="751000"/>
    <n v="0"/>
    <s v="Pago f 8653 globalconnect spa"/>
    <n v="751000"/>
    <s v="Pasivo"/>
    <n v="-751000"/>
    <x v="78"/>
  </r>
  <r>
    <n v="2026"/>
    <n v="1"/>
    <s v="09-01-2026"/>
    <n v="6993"/>
    <s v="2116-01"/>
    <n v="366103"/>
    <n v="0"/>
    <s v="Pago en linea servipag"/>
    <n v="366103"/>
    <s v="Pasivo"/>
    <n v="-366103"/>
    <x v="78"/>
  </r>
  <r>
    <n v="2026"/>
    <n v="1"/>
    <s v="09-01-2026"/>
    <n v="6995"/>
    <s v="2116-01"/>
    <n v="224253"/>
    <n v="0"/>
    <s v="Pago f 260763 buk spa"/>
    <n v="224253"/>
    <s v="Pasivo"/>
    <n v="-224253"/>
    <x v="78"/>
  </r>
  <r>
    <n v="2026"/>
    <n v="1"/>
    <s v="09-01-2026"/>
    <n v="6996"/>
    <s v="2116-01"/>
    <n v="154685"/>
    <n v="0"/>
    <s v="Pago f 341065 gama leasing operativo spa"/>
    <n v="154685"/>
    <s v="Pasivo"/>
    <n v="-154685"/>
    <x v="78"/>
  </r>
  <r>
    <n v="2026"/>
    <n v="1"/>
    <s v="09-01-2026"/>
    <n v="7001"/>
    <s v="2116-01"/>
    <n v="94841"/>
    <n v="0"/>
    <s v="Pago f 192205 regus management de chile limitada"/>
    <n v="94841"/>
    <s v="Pasivo"/>
    <n v="-94841"/>
    <x v="78"/>
  </r>
  <r>
    <n v="2026"/>
    <n v="1"/>
    <s v="09-01-2026"/>
    <n v="7007"/>
    <s v="2116-01"/>
    <n v="41650"/>
    <n v="0"/>
    <s v="Pago f 29 j.p urbanizaciones spa"/>
    <n v="41650"/>
    <s v="Pasivo"/>
    <n v="-41650"/>
    <x v="78"/>
  </r>
  <r>
    <n v="2026"/>
    <n v="1"/>
    <s v="10-01-2026"/>
    <n v="8312"/>
    <s v="2116-01"/>
    <n v="47770"/>
    <n v="0"/>
    <s v="Centralización pagos enero 2026 #741 - #741"/>
    <n v="47770"/>
    <s v="Pasivo"/>
    <n v="-47770"/>
    <x v="78"/>
  </r>
  <r>
    <n v="2026"/>
    <n v="1"/>
    <s v="11-01-2026"/>
    <n v="8371"/>
    <s v="2116-01"/>
    <n v="15000"/>
    <n v="0"/>
    <s v="Centralización pagos enero 2026 #786 - #786"/>
    <n v="15000"/>
    <s v="Pasivo"/>
    <n v="-15000"/>
    <x v="78"/>
  </r>
  <r>
    <n v="2026"/>
    <n v="1"/>
    <s v="12-01-2026"/>
    <n v="7011"/>
    <s v="2116-01"/>
    <n v="500000"/>
    <n v="0"/>
    <s v="Pago f 30708135 copec s.a."/>
    <n v="500000"/>
    <s v="Pasivo"/>
    <n v="-500000"/>
    <x v="78"/>
  </r>
  <r>
    <n v="2026"/>
    <n v="1"/>
    <s v="12-01-2026"/>
    <n v="7013"/>
    <s v="2116-01"/>
    <n v="47700"/>
    <n v="0"/>
    <s v="Pago f 208065 inversiones y proyectos haensgen limitada"/>
    <n v="47700"/>
    <s v="Pasivo"/>
    <n v="-47700"/>
    <x v="78"/>
  </r>
  <r>
    <n v="2026"/>
    <n v="1"/>
    <s v="12-01-2026"/>
    <n v="8314"/>
    <s v="2116-01"/>
    <n v="18990"/>
    <n v="0"/>
    <s v="Centralización pagos enero 2026 #745 - #745"/>
    <n v="18990"/>
    <s v="Pasivo"/>
    <n v="-18990"/>
    <x v="78"/>
  </r>
  <r>
    <n v="2026"/>
    <n v="1"/>
    <s v="12-01-2026"/>
    <n v="8373"/>
    <s v="2116-01"/>
    <n v="119050"/>
    <n v="0"/>
    <s v="Centralización pagos enero 2026 #796 - #796"/>
    <n v="119050"/>
    <s v="Pasivo"/>
    <n v="-119050"/>
    <x v="78"/>
  </r>
  <r>
    <n v="2026"/>
    <n v="1"/>
    <s v="13-01-2026"/>
    <n v="7016"/>
    <s v="2116-01"/>
    <n v="3528884"/>
    <n v="0"/>
    <s v="Pago f 8621 silica networks chile s a"/>
    <n v="3528884"/>
    <s v="Pasivo"/>
    <n v="-3528884"/>
    <x v="78"/>
  </r>
  <r>
    <n v="2026"/>
    <n v="1"/>
    <s v="13-01-2026"/>
    <n v="7018"/>
    <s v="2116-01"/>
    <n v="2066852"/>
    <n v="0"/>
    <s v="Pago f 252 sociedad de inversiones straubing s.a."/>
    <n v="2066852"/>
    <s v="Pasivo"/>
    <n v="-2066852"/>
    <x v="78"/>
  </r>
  <r>
    <n v="2026"/>
    <n v="1"/>
    <s v="13-01-2026"/>
    <n v="7021"/>
    <s v="2116-01"/>
    <n v="425948"/>
    <n v="0"/>
    <s v="Pago f 941 leasing rym spa"/>
    <n v="425948"/>
    <s v="Pasivo"/>
    <n v="-425948"/>
    <x v="78"/>
  </r>
  <r>
    <n v="2026"/>
    <n v="1"/>
    <s v="13-01-2026"/>
    <n v="7022"/>
    <s v="2116-01"/>
    <n v="343101"/>
    <n v="0"/>
    <s v="Pago f 37918 tac communications s.a."/>
    <n v="343101"/>
    <s v="Pasivo"/>
    <n v="-343101"/>
    <x v="78"/>
  </r>
  <r>
    <n v="2026"/>
    <n v="1"/>
    <s v="13-01-2026"/>
    <n v="7023"/>
    <s v="2116-01"/>
    <n v="296153"/>
    <n v="0"/>
    <s v="Pago f 38224 tac communications s.a."/>
    <n v="296153"/>
    <s v="Pasivo"/>
    <n v="-296153"/>
    <x v="78"/>
  </r>
  <r>
    <n v="2026"/>
    <n v="1"/>
    <s v="13-01-2026"/>
    <n v="7024"/>
    <s v="2116-01"/>
    <n v="260145"/>
    <n v="0"/>
    <s v="Pago f 9575 central sistemas spa"/>
    <n v="260145"/>
    <s v="Pasivo"/>
    <n v="-260145"/>
    <x v="78"/>
  </r>
  <r>
    <n v="2026"/>
    <n v="1"/>
    <s v="13-01-2026"/>
    <n v="7027"/>
    <s v="2116-01"/>
    <n v="171103"/>
    <n v="0"/>
    <s v="0770915228 transf a comercializado"/>
    <n v="171103"/>
    <s v="Pasivo"/>
    <n v="-171103"/>
    <x v="78"/>
  </r>
  <r>
    <n v="2026"/>
    <n v="1"/>
    <s v="13-01-2026"/>
    <n v="7032"/>
    <s v="2116-01"/>
    <n v="70949"/>
    <n v="0"/>
    <s v="Pago f 314 mdd soluciones spa"/>
    <n v="70949"/>
    <s v="Pasivo"/>
    <n v="-70949"/>
    <x v="78"/>
  </r>
  <r>
    <n v="2026"/>
    <n v="1"/>
    <s v="13-01-2026"/>
    <n v="8122"/>
    <s v="2116-01"/>
    <n v="1614"/>
    <n v="0"/>
    <s v="Centralización pagos enero 2026 #655 - #655"/>
    <n v="1614"/>
    <s v="Pasivo"/>
    <n v="-1614"/>
    <x v="78"/>
  </r>
  <r>
    <n v="2026"/>
    <n v="1"/>
    <s v="13-01-2026"/>
    <n v="8375"/>
    <s v="2116-01"/>
    <n v="19840"/>
    <n v="0"/>
    <s v="Centralización pagos enero 2026 #808 - #808"/>
    <n v="19840"/>
    <s v="Pasivo"/>
    <n v="-19840"/>
    <x v="78"/>
  </r>
  <r>
    <n v="2026"/>
    <n v="1"/>
    <s v="15-01-2026"/>
    <n v="7034"/>
    <s v="2116-01"/>
    <n v="300000"/>
    <n v="0"/>
    <s v="Pago f 30708135 copec s.a."/>
    <n v="300000"/>
    <s v="Pasivo"/>
    <n v="-300000"/>
    <x v="78"/>
  </r>
  <r>
    <n v="2026"/>
    <n v="1"/>
    <s v="15-01-2026"/>
    <n v="8368"/>
    <s v="2116-01"/>
    <n v="47770"/>
    <n v="0"/>
    <s v="Centralización pagos enero 2026 #776 - #776"/>
    <n v="47770"/>
    <s v="Pasivo"/>
    <n v="-47770"/>
    <x v="78"/>
  </r>
  <r>
    <n v="2026"/>
    <n v="1"/>
    <s v="16-01-2026"/>
    <n v="7036"/>
    <s v="2116-01"/>
    <n v="781235"/>
    <n v="0"/>
    <s v="Pago f 400969 tecnologia lk spa"/>
    <n v="781235"/>
    <s v="Pasivo"/>
    <n v="-781235"/>
    <x v="78"/>
  </r>
  <r>
    <n v="2026"/>
    <n v="1"/>
    <s v="16-01-2026"/>
    <n v="7037"/>
    <s v="2116-01"/>
    <n v="535500"/>
    <n v="0"/>
    <s v="Pago f 3 luxconnect spa"/>
    <n v="535500"/>
    <s v="Pasivo"/>
    <n v="-535500"/>
    <x v="78"/>
  </r>
  <r>
    <n v="2026"/>
    <n v="1"/>
    <s v="16-01-2026"/>
    <n v="7038"/>
    <s v="2116-01"/>
    <n v="453333"/>
    <n v="0"/>
    <s v="Pago f 3 altaseo limitada"/>
    <n v="453333"/>
    <s v="Pasivo"/>
    <n v="-453333"/>
    <x v="78"/>
  </r>
  <r>
    <n v="2026"/>
    <n v="1"/>
    <s v="16-01-2026"/>
    <n v="7039"/>
    <s v="2116-01"/>
    <n v="428400"/>
    <n v="0"/>
    <s v="Pago f 1702 hayex technology spa"/>
    <n v="428400"/>
    <s v="Pasivo"/>
    <n v="-428400"/>
    <x v="78"/>
  </r>
  <r>
    <n v="2026"/>
    <n v="1"/>
    <s v="16-01-2026"/>
    <n v="7040"/>
    <s v="2116-01"/>
    <n v="410550"/>
    <n v="0"/>
    <s v="Pago f 207 sfplus spa"/>
    <n v="410550"/>
    <s v="Pasivo"/>
    <n v="-410550"/>
    <x v="78"/>
  </r>
  <r>
    <n v="2026"/>
    <n v="1"/>
    <s v="16-01-2026"/>
    <n v="7041"/>
    <s v="2116-01"/>
    <n v="338507"/>
    <n v="0"/>
    <s v="Pago f 401011 tecnologia lk spa"/>
    <n v="338507"/>
    <s v="Pasivo"/>
    <n v="-338507"/>
    <x v="78"/>
  </r>
  <r>
    <n v="2026"/>
    <n v="1"/>
    <s v="16-01-2026"/>
    <n v="7042"/>
    <s v="2116-01"/>
    <n v="271760"/>
    <n v="0"/>
    <s v="Pago f 56802 voissnet cloud services s.p.a."/>
    <n v="271760"/>
    <s v="Pasivo"/>
    <n v="-271760"/>
    <x v="78"/>
  </r>
  <r>
    <n v="2026"/>
    <n v="1"/>
    <s v="16-01-2026"/>
    <n v="7043"/>
    <s v="2116-01"/>
    <n v="250000"/>
    <n v="0"/>
    <s v="Pago f 57360 voissnet cloud services s.p.a."/>
    <n v="250000"/>
    <s v="Pasivo"/>
    <n v="-250000"/>
    <x v="78"/>
  </r>
  <r>
    <n v="2026"/>
    <n v="1"/>
    <s v="16-01-2026"/>
    <n v="7045"/>
    <s v="2116-01"/>
    <n v="192679"/>
    <n v="0"/>
    <s v="Pago f 37964 tac communications s.a."/>
    <n v="192679"/>
    <s v="Pasivo"/>
    <n v="-192679"/>
    <x v="78"/>
  </r>
  <r>
    <n v="2026"/>
    <n v="1"/>
    <s v="16-01-2026"/>
    <n v="7047"/>
    <s v="2116-01"/>
    <n v="94352"/>
    <n v="0"/>
    <s v="Pago f 2297 sociedad emisora de tarjetas los héroes s.a"/>
    <n v="94352"/>
    <s v="Pasivo"/>
    <n v="-94352"/>
    <x v="78"/>
  </r>
  <r>
    <n v="2026"/>
    <n v="1"/>
    <s v="16-01-2026"/>
    <n v="7048"/>
    <s v="2116-01"/>
    <n v="85001"/>
    <n v="0"/>
    <s v="Pago f 55846 voissnet cloud services s.p.a."/>
    <n v="85001"/>
    <s v="Pasivo"/>
    <n v="-85001"/>
    <x v="78"/>
  </r>
  <r>
    <n v="2026"/>
    <n v="1"/>
    <s v="16-01-2026"/>
    <n v="7050"/>
    <s v="2116-01"/>
    <n v="65000"/>
    <n v="0"/>
    <s v="Pago f 57354 voissnet cloud services s.p.a."/>
    <n v="65000"/>
    <s v="Pasivo"/>
    <n v="-65000"/>
    <x v="78"/>
  </r>
  <r>
    <n v="2026"/>
    <n v="1"/>
    <s v="16-01-2026"/>
    <n v="7051"/>
    <s v="2116-01"/>
    <n v="42000"/>
    <n v="0"/>
    <s v="Pago f 57349 voissnet cloud services s.p.a."/>
    <n v="42000"/>
    <s v="Pasivo"/>
    <n v="-42000"/>
    <x v="78"/>
  </r>
  <r>
    <n v="2026"/>
    <n v="1"/>
    <s v="16-01-2026"/>
    <n v="7052"/>
    <s v="2116-01"/>
    <n v="42000"/>
    <n v="0"/>
    <s v="Pago f 57350 voissnet cloud services s.p.a."/>
    <n v="42000"/>
    <s v="Pasivo"/>
    <n v="-42000"/>
    <x v="78"/>
  </r>
  <r>
    <n v="2026"/>
    <n v="1"/>
    <s v="16-01-2026"/>
    <n v="7053"/>
    <s v="2116-01"/>
    <n v="42000"/>
    <n v="0"/>
    <s v="Pago f 57351 voissnet cloud services s.p.a."/>
    <n v="42000"/>
    <s v="Pasivo"/>
    <n v="-42000"/>
    <x v="78"/>
  </r>
  <r>
    <n v="2026"/>
    <n v="1"/>
    <s v="16-01-2026"/>
    <n v="7054"/>
    <s v="2116-01"/>
    <n v="42000"/>
    <n v="0"/>
    <s v="Pago f 57352 voissnet cloud services s.p.a."/>
    <n v="42000"/>
    <s v="Pasivo"/>
    <n v="-42000"/>
    <x v="78"/>
  </r>
  <r>
    <n v="2026"/>
    <n v="1"/>
    <s v="16-01-2026"/>
    <n v="7055"/>
    <s v="2116-01"/>
    <n v="42000"/>
    <n v="0"/>
    <s v="Pago f 57357 voissnet cloud services s.p.a."/>
    <n v="42000"/>
    <s v="Pasivo"/>
    <n v="-42000"/>
    <x v="78"/>
  </r>
  <r>
    <n v="2026"/>
    <n v="1"/>
    <s v="16-01-2026"/>
    <n v="7056"/>
    <s v="2116-01"/>
    <n v="42000"/>
    <n v="0"/>
    <s v="Pago f 57358 voissnet cloud services s.p.a."/>
    <n v="42000"/>
    <s v="Pasivo"/>
    <n v="-42000"/>
    <x v="78"/>
  </r>
  <r>
    <n v="2026"/>
    <n v="1"/>
    <s v="16-01-2026"/>
    <n v="7057"/>
    <s v="2116-01"/>
    <n v="42000"/>
    <n v="0"/>
    <s v="Pago f 57359 voissnet cloud services s.p.a."/>
    <n v="42000"/>
    <s v="Pasivo"/>
    <n v="-42000"/>
    <x v="78"/>
  </r>
  <r>
    <n v="2026"/>
    <n v="1"/>
    <s v="16-01-2026"/>
    <n v="7058"/>
    <s v="2116-01"/>
    <n v="31500"/>
    <n v="0"/>
    <s v="Pago f 3418666 soc. comerc. de repuestos s.p.a."/>
    <n v="31500"/>
    <s v="Pasivo"/>
    <n v="-31500"/>
    <x v="78"/>
  </r>
  <r>
    <n v="2026"/>
    <n v="1"/>
    <s v="16-01-2026"/>
    <n v="8105"/>
    <s v="2116-01"/>
    <n v="15790"/>
    <n v="0"/>
    <s v="Centralización pagos enero 2026 #626 - #626"/>
    <n v="15790"/>
    <s v="Pasivo"/>
    <n v="-15790"/>
    <x v="78"/>
  </r>
  <r>
    <n v="2026"/>
    <n v="1"/>
    <s v="17-01-2026"/>
    <n v="8370"/>
    <s v="2116-01"/>
    <n v="18990"/>
    <n v="0"/>
    <s v="Centralización pagos enero 2026 #780 - #780"/>
    <n v="18990"/>
    <s v="Pasivo"/>
    <n v="-18990"/>
    <x v="78"/>
  </r>
  <r>
    <n v="2026"/>
    <n v="1"/>
    <s v="19-01-2026"/>
    <n v="7059"/>
    <s v="2116-01"/>
    <n v="250000"/>
    <n v="0"/>
    <s v="Pago f 58089 voissnet cloud services s.p.a."/>
    <n v="250000"/>
    <s v="Pasivo"/>
    <n v="-250000"/>
    <x v="78"/>
  </r>
  <r>
    <n v="2026"/>
    <n v="1"/>
    <s v="19-01-2026"/>
    <n v="7060"/>
    <s v="2116-01"/>
    <n v="250000"/>
    <n v="0"/>
    <s v="Pago f 58090 voissnet cloud services s.p.a."/>
    <n v="250000"/>
    <s v="Pasivo"/>
    <n v="-250000"/>
    <x v="78"/>
  </r>
  <r>
    <n v="2026"/>
    <n v="1"/>
    <s v="20-01-2026"/>
    <n v="7065"/>
    <s v="2116-01"/>
    <n v="300000"/>
    <n v="0"/>
    <s v="Pago f 30708135 copec s.a."/>
    <n v="300000"/>
    <s v="Pasivo"/>
    <n v="-300000"/>
    <x v="78"/>
  </r>
  <r>
    <n v="2026"/>
    <n v="1"/>
    <s v="20-01-2026"/>
    <n v="8374"/>
    <s v="2116-01"/>
    <n v="47770"/>
    <n v="0"/>
    <s v="Centralización pagos enero 2026 #805 - #805"/>
    <n v="47770"/>
    <s v="Pasivo"/>
    <n v="-47770"/>
    <x v="78"/>
  </r>
  <r>
    <n v="2026"/>
    <n v="1"/>
    <s v="21-01-2026"/>
    <n v="7067"/>
    <s v="2116-01"/>
    <n v="300000"/>
    <n v="0"/>
    <s v="0995200007 transf a muevo copec em"/>
    <n v="300000"/>
    <s v="Pasivo"/>
    <n v="-300000"/>
    <x v="78"/>
  </r>
  <r>
    <n v="2026"/>
    <n v="1"/>
    <s v="21-01-2026"/>
    <n v="8310"/>
    <s v="2116-01"/>
    <n v="91020"/>
    <n v="0"/>
    <s v="Centralización pagos enero 2026 #730 - #730"/>
    <n v="91020"/>
    <s v="Pasivo"/>
    <n v="-91020"/>
    <x v="78"/>
  </r>
  <r>
    <n v="2026"/>
    <n v="1"/>
    <s v="22-01-2026"/>
    <n v="8376"/>
    <s v="2116-01"/>
    <n v="18990"/>
    <n v="0"/>
    <s v="Centralización pagos enero 2026 #809 - #809"/>
    <n v="18990"/>
    <s v="Pasivo"/>
    <n v="-18990"/>
    <x v="78"/>
  </r>
  <r>
    <n v="2026"/>
    <n v="1"/>
    <s v="23-01-2026"/>
    <n v="7070"/>
    <s v="2116-01"/>
    <n v="912790"/>
    <n v="0"/>
    <s v="Pago f 36906 tac communications s.a."/>
    <n v="912790"/>
    <s v="Pasivo"/>
    <n v="-912790"/>
    <x v="78"/>
  </r>
  <r>
    <n v="2026"/>
    <n v="1"/>
    <s v="23-01-2026"/>
    <n v="7071"/>
    <s v="2116-01"/>
    <n v="628867"/>
    <n v="0"/>
    <s v="Pago f 401877 tecnologia lk spa"/>
    <n v="628867"/>
    <s v="Pasivo"/>
    <n v="-628867"/>
    <x v="78"/>
  </r>
  <r>
    <n v="2026"/>
    <n v="1"/>
    <s v="23-01-2026"/>
    <n v="7072"/>
    <s v="2116-01"/>
    <n v="500000"/>
    <n v="0"/>
    <s v="Pago f 30708135 copec s.a."/>
    <n v="500000"/>
    <s v="Pasivo"/>
    <n v="-500000"/>
    <x v="78"/>
  </r>
  <r>
    <n v="2026"/>
    <n v="1"/>
    <s v="23-01-2026"/>
    <n v="7073"/>
    <s v="2116-01"/>
    <n v="218224"/>
    <n v="0"/>
    <s v="Pago f 4835792 telefonica empresas chile s.a."/>
    <n v="218224"/>
    <s v="Pasivo"/>
    <n v="-218224"/>
    <x v="78"/>
  </r>
  <r>
    <n v="2026"/>
    <n v="1"/>
    <s v="23-01-2026"/>
    <n v="7074"/>
    <s v="2116-01"/>
    <n v="202300"/>
    <n v="0"/>
    <s v="Pago f 522 ingsor spa"/>
    <n v="202300"/>
    <s v="Pasivo"/>
    <n v="-202300"/>
    <x v="78"/>
  </r>
  <r>
    <n v="2026"/>
    <n v="1"/>
    <s v="23-01-2026"/>
    <n v="7075"/>
    <s v="2116-01"/>
    <n v="169418"/>
    <n v="0"/>
    <s v="Pago f 186556 contempora compania de seguros generales s.a"/>
    <n v="169418"/>
    <s v="Pasivo"/>
    <n v="-169418"/>
    <x v="78"/>
  </r>
  <r>
    <n v="2026"/>
    <n v="1"/>
    <s v="23-01-2026"/>
    <n v="8290"/>
    <s v="2116-01"/>
    <n v="198641"/>
    <n v="0"/>
    <s v="Centralización pagos enero 2026 #680 - #680"/>
    <n v="198641"/>
    <s v="Pasivo"/>
    <n v="-198641"/>
    <x v="78"/>
  </r>
  <r>
    <n v="2026"/>
    <n v="1"/>
    <s v="25-01-2026"/>
    <n v="8115"/>
    <s v="2116-01"/>
    <n v="14"/>
    <n v="0"/>
    <s v="Centralización pagos enero 2026 #644 - #644"/>
    <n v="14"/>
    <s v="Pasivo"/>
    <n v="-14"/>
    <x v="78"/>
  </r>
  <r>
    <n v="2026"/>
    <n v="1"/>
    <s v="26-01-2026"/>
    <n v="8124"/>
    <s v="2116-01"/>
    <n v="219734"/>
    <n v="0"/>
    <s v="Centralización pagos enero 2026 #657 - #657"/>
    <n v="219734"/>
    <s v="Pasivo"/>
    <n v="-219734"/>
    <x v="78"/>
  </r>
  <r>
    <n v="2026"/>
    <n v="1"/>
    <s v="26-01-2026"/>
    <n v="8126"/>
    <s v="2116-01"/>
    <n v="874766"/>
    <n v="0"/>
    <s v="Centralización pagos enero 2026 #661 - #661"/>
    <n v="874766"/>
    <s v="Pasivo"/>
    <n v="-874766"/>
    <x v="78"/>
  </r>
  <r>
    <n v="2026"/>
    <n v="1"/>
    <s v="26-01-2026"/>
    <n v="8366"/>
    <s v="2116-01"/>
    <n v="91020"/>
    <n v="0"/>
    <s v="Centralización pagos enero 2026 #764 - #764"/>
    <n v="91020"/>
    <s v="Pasivo"/>
    <n v="-91020"/>
    <x v="78"/>
  </r>
  <r>
    <n v="2026"/>
    <n v="1"/>
    <s v="28-01-2026"/>
    <n v="7078"/>
    <s v="2116-01"/>
    <n v="2268165"/>
    <n v="0"/>
    <s v="Pago f 8745 silica networks chile s a"/>
    <n v="2268165"/>
    <s v="Pasivo"/>
    <n v="-2268165"/>
    <x v="78"/>
  </r>
  <r>
    <n v="2026"/>
    <n v="1"/>
    <s v="28-01-2026"/>
    <n v="7079"/>
    <s v="2116-01"/>
    <n v="1572057"/>
    <n v="0"/>
    <s v="Pago f 1404 cogent communications chile limitad"/>
    <n v="1572057"/>
    <s v="Pasivo"/>
    <n v="-1572057"/>
    <x v="78"/>
  </r>
  <r>
    <n v="2026"/>
    <n v="1"/>
    <s v="28-01-2026"/>
    <n v="7080"/>
    <s v="2116-01"/>
    <n v="1132583"/>
    <n v="0"/>
    <s v="0761831402 transf a comercial lago"/>
    <n v="1132583"/>
    <s v="Pasivo"/>
    <n v="-1132583"/>
    <x v="78"/>
  </r>
  <r>
    <n v="2026"/>
    <n v="1"/>
    <s v="28-01-2026"/>
    <n v="7082"/>
    <s v="2116-01"/>
    <n v="394607"/>
    <n v="0"/>
    <s v="Pago f 36048 comercial lagos e hijos ltda."/>
    <n v="394607"/>
    <s v="Pasivo"/>
    <n v="-394607"/>
    <x v="78"/>
  </r>
  <r>
    <n v="2026"/>
    <n v="1"/>
    <s v="28-01-2026"/>
    <n v="7084"/>
    <s v="2116-01"/>
    <n v="214200"/>
    <n v="0"/>
    <s v="Pago f 2047 erika del carmen celis fernandez"/>
    <n v="214200"/>
    <s v="Pasivo"/>
    <n v="-214200"/>
    <x v="78"/>
  </r>
  <r>
    <n v="2026"/>
    <n v="1"/>
    <s v="28-01-2026"/>
    <n v="7085"/>
    <s v="2116-01"/>
    <n v="198641"/>
    <n v="0"/>
    <s v="Pago f 38066 tac communications s.a."/>
    <n v="198641"/>
    <s v="Pasivo"/>
    <n v="-198641"/>
    <x v="78"/>
  </r>
  <r>
    <n v="2026"/>
    <n v="1"/>
    <s v="28-01-2026"/>
    <n v="7088"/>
    <s v="2116-01"/>
    <n v="23441"/>
    <n v="0"/>
    <s v="Com.mantencion plan"/>
    <n v="23441"/>
    <s v="Pasivo"/>
    <n v="-23441"/>
    <x v="78"/>
  </r>
  <r>
    <n v="2026"/>
    <n v="1"/>
    <s v="29-01-2026"/>
    <n v="7089"/>
    <s v="2116-01"/>
    <n v="945004"/>
    <n v="0"/>
    <s v="Pago f 1103 leasing rym spa"/>
    <n v="945004"/>
    <s v="Pasivo"/>
    <n v="-945004"/>
    <x v="78"/>
  </r>
  <r>
    <n v="2026"/>
    <n v="1"/>
    <s v="30-01-2026"/>
    <n v="7096"/>
    <s v="2116-01"/>
    <n v="300000"/>
    <n v="0"/>
    <s v="Pago f 30708135 copec s.a."/>
    <n v="300000"/>
    <s v="Pasivo"/>
    <n v="-300000"/>
    <x v="78"/>
  </r>
  <r>
    <n v="2026"/>
    <n v="1"/>
    <s v="31-01-2026"/>
    <n v="7308"/>
    <s v="2116-01"/>
    <n v="6806"/>
    <n v="0"/>
    <s v="Centralización pagos enero 2026"/>
    <n v="6806"/>
    <s v="Pasivo"/>
    <n v="-6806"/>
    <x v="78"/>
  </r>
  <r>
    <n v="2026"/>
    <n v="1"/>
    <s v="31-01-2026"/>
    <n v="8101"/>
    <s v="2116-01"/>
    <n v="159104"/>
    <n v="0"/>
    <s v="Centralización pagos enero 2026 #618 - #618"/>
    <n v="159104"/>
    <s v="Pasivo"/>
    <n v="-159104"/>
    <x v="78"/>
  </r>
  <r>
    <n v="2026"/>
    <n v="1"/>
    <s v="31-01-2026"/>
    <n v="8309"/>
    <s v="2116-01"/>
    <n v="40000"/>
    <n v="0"/>
    <s v="Centralización pagos enero 2026 #711 - #711"/>
    <n v="40000"/>
    <s v="Pasivo"/>
    <n v="-40000"/>
    <x v="78"/>
  </r>
  <r>
    <n v="2026"/>
    <n v="1"/>
    <s v="31-01-2026"/>
    <n v="8372"/>
    <s v="2116-01"/>
    <n v="91020"/>
    <n v="0"/>
    <s v="Centralización pagos enero 2026 #795 - #795"/>
    <n v="91020"/>
    <s v="Pasivo"/>
    <n v="-91020"/>
    <x v="78"/>
  </r>
  <r>
    <n v="2026"/>
    <n v="1"/>
    <s v="31-01-2026"/>
    <n v="9814"/>
    <s v="2116-01"/>
    <n v="12019617"/>
    <n v="0"/>
    <s v="Centralización compras enero 2026 - valor total"/>
    <n v="12019617"/>
    <s v="Pasivo"/>
    <n v="-12019617"/>
    <x v="78"/>
  </r>
  <r>
    <n v="2026"/>
    <n v="1"/>
    <s v="31-01-2026"/>
    <n v="9814"/>
    <s v="2116-01"/>
    <n v="0"/>
    <n v="82454946"/>
    <s v="Centralización compras enero 2026 - valor total"/>
    <n v="-82454946"/>
    <s v="Pasivo"/>
    <n v="82454946"/>
    <x v="78"/>
  </r>
  <r>
    <n v="2026"/>
    <n v="1"/>
    <s v="31-01-2026"/>
    <n v="9823"/>
    <s v="2116-01"/>
    <n v="38382"/>
    <n v="0"/>
    <s v="Multiaval dos sagr"/>
    <n v="38382"/>
    <s v="Pasivo"/>
    <n v="-38382"/>
    <x v="78"/>
  </r>
  <r>
    <n v="2026"/>
    <n v="1"/>
    <s v="31-01-2026"/>
    <n v="9823"/>
    <s v="2116-01"/>
    <n v="38012"/>
    <n v="0"/>
    <s v="Multiaval dos sagr"/>
    <n v="38012"/>
    <s v="Pasivo"/>
    <n v="-38012"/>
    <x v="78"/>
  </r>
  <r>
    <n v="2026"/>
    <n v="1"/>
    <s v="31-01-2026"/>
    <n v="9823"/>
    <s v="2116-01"/>
    <n v="35680"/>
    <n v="0"/>
    <s v="Lioren enterprises spa"/>
    <n v="35680"/>
    <s v="Pasivo"/>
    <n v="-35680"/>
    <x v="78"/>
  </r>
  <r>
    <n v="2026"/>
    <n v="1"/>
    <s v="31-01-2026"/>
    <n v="9823"/>
    <s v="2116-01"/>
    <n v="190400"/>
    <n v="0"/>
    <s v="Connectus spa"/>
    <n v="190400"/>
    <s v="Pasivo"/>
    <n v="-190400"/>
    <x v="78"/>
  </r>
  <r>
    <n v="2026"/>
    <n v="1"/>
    <s v="31-01-2026"/>
    <n v="9823"/>
    <s v="2116-01"/>
    <n v="310307"/>
    <n v="0"/>
    <s v="Multiaval dos sagr"/>
    <n v="310307"/>
    <s v="Pasivo"/>
    <n v="-310307"/>
    <x v="78"/>
  </r>
  <r>
    <n v="2026"/>
    <n v="1"/>
    <s v="31-01-2026"/>
    <n v="9823"/>
    <s v="2116-01"/>
    <n v="157016"/>
    <n v="0"/>
    <s v="Chipax"/>
    <n v="157016"/>
    <s v="Pasivo"/>
    <n v="-157016"/>
    <x v="78"/>
  </r>
  <r>
    <n v="2026"/>
    <n v="1"/>
    <s v="31-01-2026"/>
    <n v="9823"/>
    <s v="2116-01"/>
    <n v="237299"/>
    <n v="0"/>
    <s v="Cesbo"/>
    <n v="237299"/>
    <s v="Pasivo"/>
    <n v="-237299"/>
    <x v="78"/>
  </r>
  <r>
    <n v="2026"/>
    <n v="1"/>
    <s v="31-01-2026"/>
    <n v="9824"/>
    <s v="2116-01"/>
    <n v="115922"/>
    <n v="0"/>
    <s v="Pago f 25488009 cencosud retail s.a."/>
    <n v="115922"/>
    <s v="Pasivo"/>
    <n v="-115922"/>
    <x v="78"/>
  </r>
  <r>
    <n v="2026"/>
    <n v="1"/>
    <s v="31-01-2026"/>
    <n v="9824"/>
    <s v="2116-01"/>
    <n v="42289"/>
    <n v="0"/>
    <s v="Starlink starlink chil"/>
    <n v="42289"/>
    <s v="Pasivo"/>
    <n v="-42289"/>
    <x v="78"/>
  </r>
  <r>
    <n v="2026"/>
    <n v="1"/>
    <s v="31-01-2026"/>
    <n v="9825"/>
    <s v="2116-01"/>
    <n v="32204"/>
    <n v="0"/>
    <s v="Pago f 2141433 starlink chile spa"/>
    <n v="32204"/>
    <s v="Pasivo"/>
    <n v="-32204"/>
    <x v="78"/>
  </r>
  <r>
    <n v="2026"/>
    <n v="1"/>
    <s v="31-01-2026"/>
    <n v="9825"/>
    <s v="2116-01"/>
    <n v="376000"/>
    <n v="0"/>
    <s v="Pago f 2204036 starlink chile spa"/>
    <n v="376000"/>
    <s v="Pasivo"/>
    <n v="-376000"/>
    <x v="78"/>
  </r>
  <r>
    <n v="2026"/>
    <n v="1"/>
    <s v="31-01-2026"/>
    <n v="9825"/>
    <s v="2116-01"/>
    <n v="142788"/>
    <n v="0"/>
    <s v="Pago f 1772157 nubox spa"/>
    <n v="142788"/>
    <s v="Pasivo"/>
    <n v="-142788"/>
    <x v="78"/>
  </r>
  <r>
    <n v="2026"/>
    <n v="1"/>
    <s v="31-01-2026"/>
    <n v="9825"/>
    <s v="2116-01"/>
    <n v="192930"/>
    <n v="0"/>
    <s v="Pago f 2956123 zurich chile seguros generales s.a."/>
    <n v="192930"/>
    <s v="Pasivo"/>
    <n v="-192930"/>
    <x v="78"/>
  </r>
  <r>
    <n v="2026"/>
    <n v="1"/>
    <s v="31-01-2026"/>
    <n v="9825"/>
    <s v="2116-01"/>
    <n v="46680"/>
    <n v="0"/>
    <s v="Pago f 11885628 mercadolibre chile ltda"/>
    <n v="46680"/>
    <s v="Pasivo"/>
    <n v="-46680"/>
    <x v="78"/>
  </r>
  <r>
    <n v="2026"/>
    <n v="1"/>
    <s v="31-01-2026"/>
    <n v="9825"/>
    <s v="2116-01"/>
    <n v="121200"/>
    <n v="0"/>
    <s v="Pago f 2232596 starlink chile spa"/>
    <n v="121200"/>
    <s v="Pasivo"/>
    <n v="-121200"/>
    <x v="78"/>
  </r>
  <r>
    <n v="2026"/>
    <n v="2"/>
    <s v="02-02-2026"/>
    <n v="7107"/>
    <s v="2116-01"/>
    <n v="1535219"/>
    <n v="0"/>
    <s v="Pago f 6572 climarvi ingenieria spa"/>
    <n v="1535219"/>
    <s v="Pasivo"/>
    <n v="-1535219"/>
    <x v="78"/>
  </r>
  <r>
    <n v="2026"/>
    <n v="2"/>
    <s v="02-02-2026"/>
    <n v="7109"/>
    <s v="2116-01"/>
    <n v="500000"/>
    <n v="0"/>
    <s v="Pago f 29051486 copec s.a."/>
    <n v="500000"/>
    <s v="Pasivo"/>
    <n v="-500000"/>
    <x v="78"/>
  </r>
  <r>
    <n v="2026"/>
    <n v="2"/>
    <s v="02-02-2026"/>
    <n v="8325"/>
    <s v="2116-01"/>
    <n v="15900"/>
    <n v="0"/>
    <s v="Centralización pagos febrero 2026 #747 - #747"/>
    <n v="15900"/>
    <s v="Pasivo"/>
    <n v="-15900"/>
    <x v="78"/>
  </r>
  <r>
    <n v="2026"/>
    <n v="2"/>
    <s v="03-02-2026"/>
    <n v="7114"/>
    <s v="2116-01"/>
    <n v="394607"/>
    <n v="0"/>
    <s v="Pago f 37752 tac communications s.a."/>
    <n v="394607"/>
    <s v="Pasivo"/>
    <n v="-394607"/>
    <x v="78"/>
  </r>
  <r>
    <n v="2026"/>
    <n v="2"/>
    <s v="03-02-2026"/>
    <n v="7115"/>
    <s v="2116-01"/>
    <n v="336990"/>
    <n v="0"/>
    <s v="Pago f 5521610 personal computer factory s a"/>
    <n v="336990"/>
    <s v="Pasivo"/>
    <n v="-336990"/>
    <x v="78"/>
  </r>
  <r>
    <n v="2026"/>
    <n v="2"/>
    <s v="03-02-2026"/>
    <n v="8291"/>
    <s v="2116-01"/>
    <n v="4000"/>
    <n v="0"/>
    <s v="Centralización pagos febrero 2026 #688 - #688"/>
    <n v="4000"/>
    <s v="Pasivo"/>
    <n v="-4000"/>
    <x v="78"/>
  </r>
  <r>
    <n v="2026"/>
    <n v="2"/>
    <s v="03-02-2026"/>
    <n v="8293"/>
    <s v="2116-01"/>
    <n v="107000"/>
    <n v="0"/>
    <s v="Centralización pagos febrero 2026 #681 - #681"/>
    <n v="107000"/>
    <s v="Pasivo"/>
    <n v="-107000"/>
    <x v="78"/>
  </r>
  <r>
    <n v="2026"/>
    <n v="2"/>
    <s v="03-02-2026"/>
    <n v="8316"/>
    <s v="2116-01"/>
    <n v="60000"/>
    <n v="0"/>
    <s v="Centralización pagos febrero 2026 #709 - #709"/>
    <n v="60000"/>
    <s v="Pasivo"/>
    <n v="-60000"/>
    <x v="78"/>
  </r>
  <r>
    <n v="2026"/>
    <n v="2"/>
    <s v="04-02-2026"/>
    <n v="7101"/>
    <s v="2116-01"/>
    <n v="8975"/>
    <n v="0"/>
    <s v="Pago f 7678508 banco itaú chile"/>
    <n v="8975"/>
    <s v="Pasivo"/>
    <n v="-8975"/>
    <x v="78"/>
  </r>
  <r>
    <n v="2026"/>
    <n v="2"/>
    <s v="05-02-2026"/>
    <n v="8292"/>
    <s v="2116-01"/>
    <n v="25080"/>
    <n v="0"/>
    <s v="Centralización pagos febrero 2026 #690 - #690"/>
    <n v="25080"/>
    <s v="Pasivo"/>
    <n v="-25080"/>
    <x v="78"/>
  </r>
  <r>
    <n v="2026"/>
    <n v="2"/>
    <s v="06-02-2026"/>
    <n v="7119"/>
    <s v="2116-01"/>
    <n v="7336350"/>
    <n v="0"/>
    <s v="Pago f 37216 tac communications s.a."/>
    <n v="7336350"/>
    <s v="Pasivo"/>
    <n v="-7336350"/>
    <x v="78"/>
  </r>
  <r>
    <n v="2026"/>
    <n v="2"/>
    <s v="06-02-2026"/>
    <n v="7120"/>
    <s v="2116-01"/>
    <n v="6240917"/>
    <n v="0"/>
    <s v="Pago f 1031 leasing rym spa"/>
    <n v="6240917"/>
    <s v="Pasivo"/>
    <n v="-6240917"/>
    <x v="78"/>
  </r>
  <r>
    <n v="2026"/>
    <n v="2"/>
    <s v="06-02-2026"/>
    <n v="7121"/>
    <s v="2116-01"/>
    <n v="4311539"/>
    <n v="0"/>
    <s v="Pago f 36465 grupo zgh spa"/>
    <n v="4311539"/>
    <s v="Pasivo"/>
    <n v="-4311539"/>
    <x v="78"/>
  </r>
  <r>
    <n v="2026"/>
    <n v="2"/>
    <s v="06-02-2026"/>
    <n v="7122"/>
    <s v="2116-01"/>
    <n v="3675410"/>
    <n v="0"/>
    <s v="Pago f 253 asociacion gremial de pequenos proveedores de internet y television"/>
    <n v="3675410"/>
    <s v="Pasivo"/>
    <n v="-3675410"/>
    <x v="78"/>
  </r>
  <r>
    <n v="2026"/>
    <n v="2"/>
    <s v="06-02-2026"/>
    <n v="7123"/>
    <s v="2116-01"/>
    <n v="3144482"/>
    <n v="0"/>
    <s v="Pago f 11135 pit chile spa"/>
    <n v="3144482"/>
    <s v="Pasivo"/>
    <n v="-3144482"/>
    <x v="78"/>
  </r>
  <r>
    <n v="2026"/>
    <n v="2"/>
    <s v="06-02-2026"/>
    <n v="7124"/>
    <s v="2116-01"/>
    <n v="1472129"/>
    <n v="0"/>
    <s v="Pago f 37831 tac communications s.a."/>
    <n v="1472129"/>
    <s v="Pasivo"/>
    <n v="-1472129"/>
    <x v="78"/>
  </r>
  <r>
    <n v="2026"/>
    <n v="2"/>
    <s v="06-02-2026"/>
    <n v="7125"/>
    <s v="2116-01"/>
    <n v="1469125"/>
    <n v="0"/>
    <s v="Pago f 14414 asesorias tributarias pedro gonzalez limitada"/>
    <n v="1469125"/>
    <s v="Pasivo"/>
    <n v="-1469125"/>
    <x v="78"/>
  </r>
  <r>
    <n v="2026"/>
    <n v="2"/>
    <s v="06-02-2026"/>
    <n v="7126"/>
    <s v="2116-01"/>
    <n v="1418288"/>
    <n v="0"/>
    <s v="Pago f 3283 ficom telecomunicaciones spa"/>
    <n v="1418288"/>
    <s v="Pasivo"/>
    <n v="-1418288"/>
    <x v="78"/>
  </r>
  <r>
    <n v="2026"/>
    <n v="2"/>
    <s v="06-02-2026"/>
    <n v="7127"/>
    <s v="2116-01"/>
    <n v="1066966"/>
    <n v="0"/>
    <s v="Pago f 37880 tac communications s.a."/>
    <n v="1066966"/>
    <s v="Pasivo"/>
    <n v="-1066966"/>
    <x v="78"/>
  </r>
  <r>
    <n v="2026"/>
    <n v="2"/>
    <s v="06-02-2026"/>
    <n v="7128"/>
    <s v="2116-01"/>
    <n v="1004282"/>
    <n v="0"/>
    <s v="Pago f 36214 comercial lagos e hijos ltda."/>
    <n v="1004282"/>
    <s v="Pasivo"/>
    <n v="-1004282"/>
    <x v="78"/>
  </r>
  <r>
    <n v="2026"/>
    <n v="2"/>
    <s v="06-02-2026"/>
    <n v="7130"/>
    <s v="2116-01"/>
    <n v="991775"/>
    <n v="0"/>
    <s v="Pago f 7726 ascenty chile spa"/>
    <n v="991775"/>
    <s v="Pasivo"/>
    <n v="-991775"/>
    <x v="78"/>
  </r>
  <r>
    <n v="2026"/>
    <n v="2"/>
    <s v="06-02-2026"/>
    <n v="7131"/>
    <s v="2116-01"/>
    <n v="985677"/>
    <n v="0"/>
    <s v="Pago f 170 telecomunicaciones ccp limitada"/>
    <n v="985677"/>
    <s v="Pasivo"/>
    <n v="-985677"/>
    <x v="78"/>
  </r>
  <r>
    <n v="2026"/>
    <n v="2"/>
    <s v="06-02-2026"/>
    <n v="7132"/>
    <s v="2116-01"/>
    <n v="969257"/>
    <n v="0"/>
    <s v="Pago f 36466 grupo zgh spa"/>
    <n v="969257"/>
    <s v="Pasivo"/>
    <n v="-969257"/>
    <x v="78"/>
  </r>
  <r>
    <n v="2026"/>
    <n v="2"/>
    <s v="06-02-2026"/>
    <n v="7133"/>
    <s v="2116-01"/>
    <n v="803254"/>
    <n v="0"/>
    <s v="Pago f 314 alberto diaz de valdes e hija limitada"/>
    <n v="803254"/>
    <s v="Pasivo"/>
    <n v="-803254"/>
    <x v="78"/>
  </r>
  <r>
    <n v="2026"/>
    <n v="2"/>
    <s v="06-02-2026"/>
    <n v="7135"/>
    <s v="2116-01"/>
    <n v="709144"/>
    <n v="0"/>
    <s v="Pago f 3284 ficom telecomunicaciones spa"/>
    <n v="709144"/>
    <s v="Pasivo"/>
    <n v="-709144"/>
    <x v="78"/>
  </r>
  <r>
    <n v="2026"/>
    <n v="2"/>
    <s v="06-02-2026"/>
    <n v="7136"/>
    <s v="2116-01"/>
    <n v="591196"/>
    <n v="0"/>
    <s v="Pago f 550967 asociacion chilena de seguridad"/>
    <n v="591196"/>
    <s v="Pasivo"/>
    <n v="-591196"/>
    <x v="78"/>
  </r>
  <r>
    <n v="2026"/>
    <n v="2"/>
    <s v="06-02-2026"/>
    <n v="7137"/>
    <s v="2116-01"/>
    <n v="535500"/>
    <n v="0"/>
    <s v="Pago f 5 luxconnect spa"/>
    <n v="535500"/>
    <s v="Pasivo"/>
    <n v="-535500"/>
    <x v="78"/>
  </r>
  <r>
    <n v="2026"/>
    <n v="2"/>
    <s v="06-02-2026"/>
    <n v="7139"/>
    <s v="2116-01"/>
    <n v="500000"/>
    <n v="0"/>
    <s v="Pago f 30822871 copec s.a."/>
    <n v="500000"/>
    <s v="Pasivo"/>
    <n v="-500000"/>
    <x v="78"/>
  </r>
  <r>
    <n v="2026"/>
    <n v="2"/>
    <s v="06-02-2026"/>
    <n v="7140"/>
    <s v="2116-01"/>
    <n v="476000"/>
    <n v="0"/>
    <s v="Pago f 5483 cia de comunicaciones coyhaique limitada"/>
    <n v="476000"/>
    <s v="Pasivo"/>
    <n v="-476000"/>
    <x v="78"/>
  </r>
  <r>
    <n v="2026"/>
    <n v="2"/>
    <s v="06-02-2026"/>
    <n v="7141"/>
    <s v="2116-01"/>
    <n v="410550"/>
    <n v="0"/>
    <s v="Pago f 218 sfplus spa"/>
    <n v="410550"/>
    <s v="Pasivo"/>
    <n v="-410550"/>
    <x v="78"/>
  </r>
  <r>
    <n v="2026"/>
    <n v="2"/>
    <s v="06-02-2026"/>
    <n v="7142"/>
    <s v="2116-01"/>
    <n v="397110"/>
    <n v="0"/>
    <s v="Pago f 5011 cg abogados limitada"/>
    <n v="397110"/>
    <s v="Pasivo"/>
    <n v="-397110"/>
    <x v="78"/>
  </r>
  <r>
    <n v="2026"/>
    <n v="2"/>
    <s v="06-02-2026"/>
    <n v="7143"/>
    <s v="2116-01"/>
    <n v="340455"/>
    <n v="0"/>
    <s v="Pago f 76613 powerhost telecom spa"/>
    <n v="340455"/>
    <s v="Pasivo"/>
    <n v="-340455"/>
    <x v="78"/>
  </r>
  <r>
    <n v="2026"/>
    <n v="2"/>
    <s v="06-02-2026"/>
    <n v="7150"/>
    <s v="2116-01"/>
    <n v="85930"/>
    <n v="0"/>
    <s v="Pago f 79435907 admin. de supermercados hiper limitada"/>
    <n v="85930"/>
    <s v="Pasivo"/>
    <n v="-85930"/>
    <x v="78"/>
  </r>
  <r>
    <n v="2026"/>
    <n v="2"/>
    <s v="06-02-2026"/>
    <n v="7151"/>
    <s v="2116-01"/>
    <n v="79255"/>
    <n v="0"/>
    <s v="Pago f 7709 ascenty chile spa"/>
    <n v="79255"/>
    <s v="Pasivo"/>
    <n v="-79255"/>
    <x v="78"/>
  </r>
  <r>
    <n v="2026"/>
    <n v="2"/>
    <s v="06-02-2026"/>
    <n v="7152"/>
    <s v="2116-01"/>
    <n v="78116"/>
    <n v="0"/>
    <s v="Pago f 4479 comercializadora torres y escobar spa"/>
    <n v="78116"/>
    <s v="Pasivo"/>
    <n v="-78116"/>
    <x v="78"/>
  </r>
  <r>
    <n v="2026"/>
    <n v="2"/>
    <s v="06-02-2026"/>
    <n v="7153"/>
    <s v="2116-01"/>
    <n v="74599"/>
    <n v="0"/>
    <s v="Pago f 7644 ascenty chile spa"/>
    <n v="74599"/>
    <s v="Pasivo"/>
    <n v="-74599"/>
    <x v="78"/>
  </r>
  <r>
    <n v="2026"/>
    <n v="2"/>
    <s v="06-02-2026"/>
    <n v="7154"/>
    <s v="2116-01"/>
    <n v="74599"/>
    <n v="0"/>
    <s v="Pago f 7643 ascenty chile spa"/>
    <n v="74599"/>
    <s v="Pasivo"/>
    <n v="-74599"/>
    <x v="78"/>
  </r>
  <r>
    <n v="2026"/>
    <n v="2"/>
    <s v="06-02-2026"/>
    <n v="7155"/>
    <s v="2116-01"/>
    <n v="71400"/>
    <n v="0"/>
    <s v="Pago f 106 zettabyte spa"/>
    <n v="71400"/>
    <s v="Pasivo"/>
    <n v="-71400"/>
    <x v="78"/>
  </r>
  <r>
    <n v="2026"/>
    <n v="2"/>
    <s v="06-02-2026"/>
    <n v="7156"/>
    <s v="2116-01"/>
    <n v="63001"/>
    <n v="0"/>
    <s v="Pago f 7640 ascenty chile spa"/>
    <n v="63001"/>
    <s v="Pasivo"/>
    <n v="-63001"/>
    <x v="78"/>
  </r>
  <r>
    <n v="2026"/>
    <n v="2"/>
    <s v="06-02-2026"/>
    <n v="7157"/>
    <s v="2116-01"/>
    <n v="62876"/>
    <n v="0"/>
    <s v="Pago f 7642 ascenty chile spa"/>
    <n v="62876"/>
    <s v="Pasivo"/>
    <n v="-62876"/>
    <x v="78"/>
  </r>
  <r>
    <n v="2026"/>
    <n v="2"/>
    <s v="06-02-2026"/>
    <n v="7158"/>
    <s v="2116-01"/>
    <n v="62813"/>
    <n v="0"/>
    <s v="Pago f 7641 ascenty chile spa"/>
    <n v="62813"/>
    <s v="Pasivo"/>
    <n v="-62813"/>
    <x v="78"/>
  </r>
  <r>
    <n v="2026"/>
    <n v="2"/>
    <s v="06-02-2026"/>
    <n v="7159"/>
    <s v="2116-01"/>
    <n v="62688"/>
    <n v="0"/>
    <s v="Pago f 7639 ascenty chile spa"/>
    <n v="62688"/>
    <s v="Pasivo"/>
    <n v="-62688"/>
    <x v="78"/>
  </r>
  <r>
    <n v="2026"/>
    <n v="2"/>
    <s v="06-02-2026"/>
    <n v="7160"/>
    <s v="2116-01"/>
    <n v="61792"/>
    <n v="0"/>
    <s v="Pago f 7804 ascenty chile spa"/>
    <n v="61792"/>
    <s v="Pasivo"/>
    <n v="-61792"/>
    <x v="78"/>
  </r>
  <r>
    <n v="2026"/>
    <n v="2"/>
    <s v="06-02-2026"/>
    <n v="7161"/>
    <s v="2116-01"/>
    <n v="61792"/>
    <n v="0"/>
    <s v="Pago f 7805 ascenty chile spa"/>
    <n v="61792"/>
    <s v="Pasivo"/>
    <n v="-61792"/>
    <x v="78"/>
  </r>
  <r>
    <n v="2026"/>
    <n v="2"/>
    <s v="06-02-2026"/>
    <n v="7162"/>
    <s v="2116-01"/>
    <n v="61792"/>
    <n v="0"/>
    <s v="Pago f 7806 ascenty chile spa"/>
    <n v="61792"/>
    <s v="Pasivo"/>
    <n v="-61792"/>
    <x v="78"/>
  </r>
  <r>
    <n v="2026"/>
    <n v="2"/>
    <s v="06-02-2026"/>
    <n v="7163"/>
    <s v="2116-01"/>
    <n v="59796"/>
    <n v="0"/>
    <s v="Pago f 7803 ascenty chile spa"/>
    <n v="59796"/>
    <s v="Pasivo"/>
    <n v="-59796"/>
    <x v="78"/>
  </r>
  <r>
    <n v="2026"/>
    <n v="2"/>
    <s v="06-02-2026"/>
    <n v="7164"/>
    <s v="2116-01"/>
    <n v="41650"/>
    <n v="0"/>
    <s v="Pago f 338 41650ingenieria y proyecto"/>
    <n v="41650"/>
    <s v="Pasivo"/>
    <n v="-41650"/>
    <x v="78"/>
  </r>
  <r>
    <n v="2026"/>
    <n v="2"/>
    <s v="07-02-2026"/>
    <n v="8381"/>
    <s v="2116-01"/>
    <n v="15900"/>
    <n v="0"/>
    <s v="Centralización pagos febrero 2026 #782 - #782"/>
    <n v="15900"/>
    <s v="Pasivo"/>
    <n v="-15900"/>
    <x v="78"/>
  </r>
  <r>
    <n v="2026"/>
    <n v="2"/>
    <s v="09-02-2026"/>
    <n v="8321"/>
    <s v="2116-01"/>
    <n v="73000"/>
    <n v="0"/>
    <s v="Centralización pagos febrero 2026 #727 - #727"/>
    <n v="73000"/>
    <s v="Pasivo"/>
    <n v="-73000"/>
    <x v="78"/>
  </r>
  <r>
    <n v="2026"/>
    <n v="2"/>
    <s v="10-02-2026"/>
    <n v="7169"/>
    <s v="2116-01"/>
    <n v="1586311"/>
    <n v="0"/>
    <s v="Pago f 4835792 telefonica empresas chile s.a."/>
    <n v="1586311"/>
    <s v="Pasivo"/>
    <n v="-1586311"/>
    <x v="78"/>
  </r>
  <r>
    <n v="2026"/>
    <n v="2"/>
    <s v="10-02-2026"/>
    <n v="7170"/>
    <s v="2116-01"/>
    <n v="193439"/>
    <n v="0"/>
    <s v="Entel pcs telecomunicaciones s.a."/>
    <n v="193439"/>
    <s v="Pasivo"/>
    <n v="-193439"/>
    <x v="78"/>
  </r>
  <r>
    <n v="2026"/>
    <n v="2"/>
    <s v="10-02-2026"/>
    <n v="7170"/>
    <s v="2116-01"/>
    <n v="75555"/>
    <n v="0"/>
    <s v="Telefonica empresas chile s.a."/>
    <n v="75555"/>
    <s v="Pasivo"/>
    <n v="-75555"/>
    <x v="78"/>
  </r>
  <r>
    <n v="2026"/>
    <n v="2"/>
    <s v="10-02-2026"/>
    <n v="7172"/>
    <s v="2116-01"/>
    <n v="63760"/>
    <n v="0"/>
    <s v="Pago f 14468496 soc. conc. autopista nueva vespucio sur s.a."/>
    <n v="63760"/>
    <s v="Pasivo"/>
    <n v="-63760"/>
    <x v="78"/>
  </r>
  <r>
    <n v="2026"/>
    <n v="2"/>
    <s v="10-02-2026"/>
    <n v="7172"/>
    <s v="2116-01"/>
    <n v="94438"/>
    <n v="0"/>
    <s v="Pago f 2496255 operadora de sistemas electrónicos spa"/>
    <n v="94438"/>
    <s v="Pasivo"/>
    <n v="-94438"/>
    <x v="78"/>
  </r>
  <r>
    <n v="2026"/>
    <n v="2"/>
    <s v="10-02-2026"/>
    <n v="8133"/>
    <s v="2116-01"/>
    <n v="193439"/>
    <n v="0"/>
    <s v="Centralización pagos febrero 2026 #624 - #624"/>
    <n v="193439"/>
    <s v="Pasivo"/>
    <n v="-193439"/>
    <x v="78"/>
  </r>
  <r>
    <n v="2026"/>
    <n v="2"/>
    <s v="11-02-2026"/>
    <n v="7178"/>
    <s v="2116-01"/>
    <n v="4255333"/>
    <n v="0"/>
    <s v="Pago f 6638 telxius cable chile s.a."/>
    <n v="4255333"/>
    <s v="Pasivo"/>
    <n v="-4255333"/>
    <x v="78"/>
  </r>
  <r>
    <n v="2026"/>
    <n v="2"/>
    <s v="11-02-2026"/>
    <n v="7179"/>
    <s v="2116-01"/>
    <n v="2064049"/>
    <n v="0"/>
    <s v="Pago f 258 sociedad de inversiones straubing s.a."/>
    <n v="2064049"/>
    <s v="Pasivo"/>
    <n v="-2064049"/>
    <x v="78"/>
  </r>
  <r>
    <n v="2026"/>
    <n v="2"/>
    <s v="11-02-2026"/>
    <n v="7181"/>
    <s v="2116-01"/>
    <n v="1297100"/>
    <n v="0"/>
    <s v="Pago f 343263 gama leasing operativo spa"/>
    <n v="1297100"/>
    <s v="Pasivo"/>
    <n v="-1297100"/>
    <x v="78"/>
  </r>
  <r>
    <n v="2026"/>
    <n v="2"/>
    <s v="11-02-2026"/>
    <n v="7182"/>
    <s v="2116-01"/>
    <n v="751000"/>
    <n v="0"/>
    <s v="Pago f 9051 globalconnect spa"/>
    <n v="751000"/>
    <s v="Pasivo"/>
    <n v="-751000"/>
    <x v="78"/>
  </r>
  <r>
    <n v="2026"/>
    <n v="2"/>
    <s v="11-02-2026"/>
    <n v="7184"/>
    <s v="2116-01"/>
    <n v="259842"/>
    <n v="0"/>
    <s v="Pago f 9754 central sistemas spa"/>
    <n v="259842"/>
    <s v="Pasivo"/>
    <n v="-259842"/>
    <x v="78"/>
  </r>
  <r>
    <n v="2026"/>
    <n v="2"/>
    <s v="11-02-2026"/>
    <n v="7187"/>
    <s v="2116-01"/>
    <n v="232092"/>
    <n v="0"/>
    <s v="Pago f 269398 buk spa"/>
    <n v="232092"/>
    <s v="Pasivo"/>
    <n v="-232092"/>
    <x v="78"/>
  </r>
  <r>
    <n v="2026"/>
    <n v="2"/>
    <s v="11-02-2026"/>
    <n v="7189"/>
    <s v="2116-01"/>
    <n v="218911"/>
    <n v="0"/>
    <s v="Pago f 11887480 dimerc sa"/>
    <n v="218911"/>
    <s v="Pasivo"/>
    <n v="-218911"/>
    <x v="78"/>
  </r>
  <r>
    <n v="2026"/>
    <n v="2"/>
    <s v="11-02-2026"/>
    <n v="7192"/>
    <s v="2116-01"/>
    <n v="118399"/>
    <n v="0"/>
    <s v="Pago f 343344 gama leasing operativo spa"/>
    <n v="118399"/>
    <s v="Pasivo"/>
    <n v="-118399"/>
    <x v="78"/>
  </r>
  <r>
    <n v="2026"/>
    <n v="2"/>
    <s v="11-02-2026"/>
    <n v="7193"/>
    <s v="2116-01"/>
    <n v="100791"/>
    <n v="0"/>
    <s v="Pago f 193072 regus management de chile limitada"/>
    <n v="100791"/>
    <s v="Pasivo"/>
    <n v="-100791"/>
    <x v="78"/>
  </r>
  <r>
    <n v="2026"/>
    <n v="2"/>
    <s v="11-02-2026"/>
    <n v="8319"/>
    <s v="2116-01"/>
    <n v="180900"/>
    <n v="0"/>
    <s v="Centralización pagos febrero 2026 #720 - #720"/>
    <n v="180900"/>
    <s v="Pasivo"/>
    <n v="-180900"/>
    <x v="78"/>
  </r>
  <r>
    <n v="2026"/>
    <n v="2"/>
    <s v="12-02-2026"/>
    <n v="7196"/>
    <s v="2116-01"/>
    <n v="500000"/>
    <n v="0"/>
    <s v="Pago f 30822871 copec s.a."/>
    <n v="500000"/>
    <s v="Pasivo"/>
    <n v="-500000"/>
    <x v="78"/>
  </r>
  <r>
    <n v="2026"/>
    <n v="2"/>
    <s v="12-02-2026"/>
    <n v="7197"/>
    <s v="2116-01"/>
    <n v="357000"/>
    <n v="0"/>
    <s v="Pago f 2054 erika del carmen celis fernandez"/>
    <n v="357000"/>
    <s v="Pasivo"/>
    <n v="-357000"/>
    <x v="78"/>
  </r>
  <r>
    <n v="2026"/>
    <n v="2"/>
    <s v="12-02-2026"/>
    <n v="8385"/>
    <s v="2116-01"/>
    <n v="15900"/>
    <n v="0"/>
    <s v="Centralización pagos febrero 2026 #810 - #810"/>
    <n v="15900"/>
    <s v="Pasivo"/>
    <n v="-15900"/>
    <x v="78"/>
  </r>
  <r>
    <n v="2026"/>
    <n v="2"/>
    <s v="13-02-2026"/>
    <n v="7203"/>
    <s v="2116-01"/>
    <n v="535500"/>
    <n v="0"/>
    <s v="Pago f 1572 cinthya margarita catalan pizarro"/>
    <n v="535500"/>
    <s v="Pasivo"/>
    <n v="-535500"/>
    <x v="78"/>
  </r>
  <r>
    <n v="2026"/>
    <n v="2"/>
    <s v="13-02-2026"/>
    <n v="7205"/>
    <s v="2116-01"/>
    <n v="104720"/>
    <n v="0"/>
    <s v="Pago f 1568 cinthya margarita catalan pizarro"/>
    <n v="104720"/>
    <s v="Pasivo"/>
    <n v="-104720"/>
    <x v="78"/>
  </r>
  <r>
    <n v="2026"/>
    <n v="2"/>
    <s v="13-02-2026"/>
    <n v="8320"/>
    <s v="2116-01"/>
    <n v="90310"/>
    <n v="0"/>
    <s v="Centralización pagos febrero 2026 #725 - #725"/>
    <n v="90310"/>
    <s v="Pasivo"/>
    <n v="-90310"/>
    <x v="78"/>
  </r>
  <r>
    <n v="2026"/>
    <n v="2"/>
    <s v="14-02-2026"/>
    <n v="8318"/>
    <s v="2116-01"/>
    <n v="50000"/>
    <n v="0"/>
    <s v="Centralización pagos febrero 2026 #715 - #715"/>
    <n v="50000"/>
    <s v="Pasivo"/>
    <n v="-50000"/>
    <x v="78"/>
  </r>
  <r>
    <n v="2026"/>
    <n v="2"/>
    <s v="14-02-2026"/>
    <n v="8378"/>
    <s v="2116-01"/>
    <n v="73000"/>
    <n v="0"/>
    <s v="Centralización pagos febrero 2026 #761 - #761"/>
    <n v="73000"/>
    <s v="Pasivo"/>
    <n v="-73000"/>
    <x v="78"/>
  </r>
  <r>
    <n v="2026"/>
    <n v="2"/>
    <s v="16-02-2026"/>
    <n v="7211"/>
    <s v="2116-01"/>
    <n v="1939700"/>
    <n v="0"/>
    <s v="Pago f 642 hayex technology spa"/>
    <n v="1939700"/>
    <s v="Pasivo"/>
    <n v="-1939700"/>
    <x v="78"/>
  </r>
  <r>
    <n v="2026"/>
    <n v="2"/>
    <s v="16-02-2026"/>
    <n v="7212"/>
    <s v="2116-01"/>
    <n v="1010728"/>
    <n v="0"/>
    <s v="Pago f 404001 tecnologia lk spa"/>
    <n v="1010728"/>
    <s v="Pasivo"/>
    <n v="-1010728"/>
    <x v="78"/>
  </r>
  <r>
    <n v="2026"/>
    <n v="2"/>
    <s v="16-02-2026"/>
    <n v="7214"/>
    <s v="2116-01"/>
    <n v="781235"/>
    <n v="0"/>
    <s v="Pago f 400969 tecnologia lk spa"/>
    <n v="781235"/>
    <s v="Pasivo"/>
    <n v="-781235"/>
    <x v="78"/>
  </r>
  <r>
    <n v="2026"/>
    <n v="2"/>
    <s v="16-02-2026"/>
    <n v="7215"/>
    <s v="2116-01"/>
    <n v="733199"/>
    <n v="0"/>
    <s v="Pago f 24719 enertik chile spa"/>
    <n v="733199"/>
    <s v="Pasivo"/>
    <n v="-733199"/>
    <x v="78"/>
  </r>
  <r>
    <n v="2026"/>
    <n v="2"/>
    <s v="16-02-2026"/>
    <n v="7216"/>
    <s v="2116-01"/>
    <n v="338508"/>
    <n v="0"/>
    <s v="Pago f 401011 tecnologia lk spa"/>
    <n v="338508"/>
    <s v="Pasivo"/>
    <n v="-338508"/>
    <x v="78"/>
  </r>
  <r>
    <n v="2026"/>
    <n v="2"/>
    <s v="16-02-2026"/>
    <n v="7218"/>
    <s v="2116-01"/>
    <n v="70853"/>
    <n v="0"/>
    <s v="Pago f 332 mdd soluciones spa"/>
    <n v="70853"/>
    <s v="Pasivo"/>
    <n v="-70853"/>
    <x v="78"/>
  </r>
  <r>
    <n v="2026"/>
    <n v="2"/>
    <s v="16-02-2026"/>
    <n v="8322"/>
    <s v="2116-01"/>
    <n v="68200"/>
    <n v="0"/>
    <s v="Centralización pagos febrero 2026 #729 - #729"/>
    <n v="68200"/>
    <s v="Pasivo"/>
    <n v="-68200"/>
    <x v="78"/>
  </r>
  <r>
    <n v="2026"/>
    <n v="2"/>
    <s v="16-02-2026"/>
    <n v="8380"/>
    <s v="2116-01"/>
    <n v="50000"/>
    <n v="0"/>
    <s v="Centralización pagos febrero 2026 #768 - #768"/>
    <n v="50000"/>
    <s v="Pasivo"/>
    <n v="-50000"/>
    <x v="78"/>
  </r>
  <r>
    <n v="2026"/>
    <n v="2"/>
    <s v="17-02-2026"/>
    <n v="7219"/>
    <s v="2116-01"/>
    <n v="300000"/>
    <n v="0"/>
    <s v="Pago f 30501304 copec s.a."/>
    <n v="300000"/>
    <s v="Pasivo"/>
    <n v="-300000"/>
    <x v="78"/>
  </r>
  <r>
    <n v="2026"/>
    <n v="2"/>
    <s v="17-02-2026"/>
    <n v="8137"/>
    <s v="2116-01"/>
    <n v="173517"/>
    <n v="0"/>
    <s v="Centralización pagos febrero 2026 #658 - #658"/>
    <n v="173517"/>
    <s v="Pasivo"/>
    <n v="-173517"/>
    <x v="78"/>
  </r>
  <r>
    <n v="2026"/>
    <n v="2"/>
    <s v="17-02-2026"/>
    <n v="8138"/>
    <s v="2116-01"/>
    <n v="83400"/>
    <n v="0"/>
    <s v="Centralización pagos febrero 2026 #668 - #668"/>
    <n v="83400"/>
    <s v="Pasivo"/>
    <n v="-83400"/>
    <x v="78"/>
  </r>
  <r>
    <n v="2026"/>
    <n v="2"/>
    <s v="18-02-2026"/>
    <n v="8136"/>
    <s v="2116-01"/>
    <n v="126845"/>
    <n v="0"/>
    <s v="Centralización pagos febrero 2026 #650 - #650"/>
    <n v="126845"/>
    <s v="Pasivo"/>
    <n v="-126845"/>
    <x v="78"/>
  </r>
  <r>
    <n v="2026"/>
    <n v="2"/>
    <s v="18-02-2026"/>
    <n v="8377"/>
    <s v="2116-01"/>
    <n v="90310"/>
    <n v="0"/>
    <s v="Centralización pagos febrero 2026 #759 - #759"/>
    <n v="90310"/>
    <s v="Pasivo"/>
    <n v="-90310"/>
    <x v="78"/>
  </r>
  <r>
    <n v="2026"/>
    <n v="2"/>
    <s v="19-02-2026"/>
    <n v="8383"/>
    <s v="2116-01"/>
    <n v="73000"/>
    <n v="0"/>
    <s v="Centralización pagos febrero 2026 #792 - #792"/>
    <n v="73000"/>
    <s v="Pasivo"/>
    <n v="-73000"/>
    <x v="78"/>
  </r>
  <r>
    <n v="2026"/>
    <n v="2"/>
    <s v="20-02-2026"/>
    <n v="7222"/>
    <s v="2116-01"/>
    <n v="300000"/>
    <n v="0"/>
    <s v="Pago f 30501304 copec s.a."/>
    <n v="300000"/>
    <s v="Pasivo"/>
    <n v="-300000"/>
    <x v="78"/>
  </r>
  <r>
    <n v="2026"/>
    <n v="2"/>
    <s v="21-02-2026"/>
    <n v="8135"/>
    <s v="2116-01"/>
    <n v="233000"/>
    <n v="0"/>
    <s v="Centralización pagos febrero 2026 #647 - #647"/>
    <n v="233000"/>
    <s v="Pasivo"/>
    <n v="-233000"/>
    <x v="78"/>
  </r>
  <r>
    <n v="2026"/>
    <n v="2"/>
    <s v="21-02-2026"/>
    <n v="8379"/>
    <s v="2116-01"/>
    <n v="118200"/>
    <n v="0"/>
    <s v="Centralización pagos febrero 2026 #763 - #763"/>
    <n v="118200"/>
    <s v="Pasivo"/>
    <n v="-118200"/>
    <x v="78"/>
  </r>
  <r>
    <n v="2026"/>
    <n v="2"/>
    <s v="23-02-2026"/>
    <n v="8382"/>
    <s v="2116-01"/>
    <n v="90310"/>
    <n v="0"/>
    <s v="Centralización pagos febrero 2026 #790 - #790"/>
    <n v="90310"/>
    <s v="Pasivo"/>
    <n v="-90310"/>
    <x v="78"/>
  </r>
  <r>
    <n v="2026"/>
    <n v="2"/>
    <s v="24-02-2026"/>
    <n v="8323"/>
    <s v="2116-01"/>
    <n v="55500"/>
    <n v="0"/>
    <s v="Centralización pagos febrero 2026 #732 - #732"/>
    <n v="55500"/>
    <s v="Pasivo"/>
    <n v="-55500"/>
    <x v="78"/>
  </r>
  <r>
    <n v="2026"/>
    <n v="2"/>
    <s v="25-02-2026"/>
    <n v="7247"/>
    <s v="2116-01"/>
    <n v="880000"/>
    <n v="0"/>
    <s v="Pago f 4 altaseo limitada"/>
    <n v="880000"/>
    <s v="Pasivo"/>
    <n v="-880000"/>
    <x v="78"/>
  </r>
  <r>
    <n v="2026"/>
    <n v="2"/>
    <s v="25-02-2026"/>
    <n v="7248"/>
    <s v="2116-01"/>
    <n v="500000"/>
    <n v="0"/>
    <s v="Pago f 30501304 copec s.a."/>
    <n v="500000"/>
    <s v="Pasivo"/>
    <n v="-500000"/>
    <x v="78"/>
  </r>
  <r>
    <n v="2026"/>
    <n v="2"/>
    <s v="25-02-2026"/>
    <n v="7251"/>
    <s v="2116-01"/>
    <n v="94553"/>
    <n v="0"/>
    <s v="Pago f 2343 sociedad emisora de tarjetas los héroes s.a"/>
    <n v="94553"/>
    <s v="Pasivo"/>
    <n v="-94553"/>
    <x v="78"/>
  </r>
  <r>
    <n v="2026"/>
    <n v="2"/>
    <s v="25-02-2026"/>
    <n v="7252"/>
    <s v="2116-01"/>
    <n v="17704"/>
    <n v="0"/>
    <s v="Pago f 54932272 santander chile"/>
    <n v="17704"/>
    <s v="Pasivo"/>
    <n v="-17704"/>
    <x v="78"/>
  </r>
  <r>
    <n v="2026"/>
    <n v="2"/>
    <s v="25-02-2026"/>
    <n v="7252"/>
    <s v="2116-01"/>
    <n v="5728"/>
    <n v="0"/>
    <s v="Pago f 14759167 santander chile"/>
    <n v="5728"/>
    <s v="Pasivo"/>
    <n v="-5728"/>
    <x v="78"/>
  </r>
  <r>
    <n v="2026"/>
    <n v="2"/>
    <s v="25-02-2026"/>
    <n v="8317"/>
    <s v="2116-01"/>
    <n v="60000"/>
    <n v="0"/>
    <s v="Centralización pagos febrero 2026 #710 - #710"/>
    <n v="60000"/>
    <s v="Pasivo"/>
    <n v="-60000"/>
    <x v="78"/>
  </r>
  <r>
    <n v="2026"/>
    <n v="2"/>
    <s v="26-02-2026"/>
    <n v="7267"/>
    <s v="2116-01"/>
    <n v="4819500"/>
    <n v="0"/>
    <s v="Pago f 37988 tac communications s.a."/>
    <n v="4819500"/>
    <s v="Pasivo"/>
    <n v="-4819500"/>
    <x v="78"/>
  </r>
  <r>
    <n v="2026"/>
    <n v="2"/>
    <s v="26-02-2026"/>
    <n v="7268"/>
    <s v="2116-01"/>
    <n v="4124271"/>
    <n v="0"/>
    <s v="Pago f 6734 telxius cable chile s.a."/>
    <n v="4124271"/>
    <s v="Pasivo"/>
    <n v="-4124271"/>
    <x v="78"/>
  </r>
  <r>
    <n v="2026"/>
    <n v="2"/>
    <s v="26-02-2026"/>
    <n v="7270"/>
    <s v="2116-01"/>
    <n v="1094800"/>
    <n v="0"/>
    <s v="Pago f 37987 tac communications s.a."/>
    <n v="1094800"/>
    <s v="Pasivo"/>
    <n v="-1094800"/>
    <x v="78"/>
  </r>
  <r>
    <n v="2026"/>
    <n v="2"/>
    <s v="26-02-2026"/>
    <n v="7271"/>
    <s v="2116-01"/>
    <n v="1094800"/>
    <n v="0"/>
    <s v="Pago f 37987 tac communications s.a."/>
    <n v="1094800"/>
    <s v="Pasivo"/>
    <n v="-1094800"/>
    <x v="78"/>
  </r>
  <r>
    <n v="2026"/>
    <n v="2"/>
    <s v="26-02-2026"/>
    <n v="7272"/>
    <s v="2116-01"/>
    <n v="584337"/>
    <n v="0"/>
    <s v="Pago f 404248 tecnologia lk spa"/>
    <n v="584337"/>
    <s v="Pasivo"/>
    <n v="-584337"/>
    <x v="78"/>
  </r>
  <r>
    <n v="2026"/>
    <n v="2"/>
    <s v="26-02-2026"/>
    <n v="7273"/>
    <s v="2116-01"/>
    <n v="535500"/>
    <n v="0"/>
    <s v="Pago f 9 luxconnect spa"/>
    <n v="535500"/>
    <s v="Pasivo"/>
    <n v="-535500"/>
    <x v="78"/>
  </r>
  <r>
    <n v="2026"/>
    <n v="2"/>
    <s v="26-02-2026"/>
    <n v="7276"/>
    <s v="2116-01"/>
    <n v="394607"/>
    <n v="0"/>
    <s v="Pago f 37752 tac communications s.a."/>
    <n v="394607"/>
    <s v="Pasivo"/>
    <n v="-394607"/>
    <x v="78"/>
  </r>
  <r>
    <n v="2026"/>
    <n v="2"/>
    <s v="26-02-2026"/>
    <n v="7278"/>
    <s v="2116-01"/>
    <n v="250000"/>
    <n v="0"/>
    <s v="Pago f 58090 voissnet cloud services s.p.a."/>
    <n v="250000"/>
    <s v="Pasivo"/>
    <n v="-250000"/>
    <x v="78"/>
  </r>
  <r>
    <n v="2026"/>
    <n v="2"/>
    <s v="26-02-2026"/>
    <n v="7280"/>
    <s v="2116-01"/>
    <n v="202300"/>
    <n v="0"/>
    <s v="Pago f 536 ingsor spa"/>
    <n v="202300"/>
    <s v="Pasivo"/>
    <n v="-202300"/>
    <x v="78"/>
  </r>
  <r>
    <n v="2026"/>
    <n v="2"/>
    <s v="26-02-2026"/>
    <n v="7281"/>
    <s v="2116-01"/>
    <n v="169243"/>
    <n v="0"/>
    <s v="Pago f 187983 contempora compania de seguros generales s.a"/>
    <n v="169243"/>
    <s v="Pasivo"/>
    <n v="-169243"/>
    <x v="78"/>
  </r>
  <r>
    <n v="2026"/>
    <n v="2"/>
    <s v="26-02-2026"/>
    <n v="7284"/>
    <s v="2116-01"/>
    <n v="117532"/>
    <n v="0"/>
    <s v="Pago f 19370567 soc concesionaria autopista central s a"/>
    <n v="117532"/>
    <s v="Pasivo"/>
    <n v="-117532"/>
    <x v="78"/>
  </r>
  <r>
    <n v="2026"/>
    <n v="2"/>
    <s v="26-02-2026"/>
    <n v="7285"/>
    <s v="2116-01"/>
    <n v="85000"/>
    <n v="0"/>
    <s v="Pago f 58084 voissnet cloud services s.p.a."/>
    <n v="85000"/>
    <s v="Pasivo"/>
    <n v="-85000"/>
    <x v="78"/>
  </r>
  <r>
    <n v="2026"/>
    <n v="2"/>
    <s v="26-02-2026"/>
    <n v="7286"/>
    <s v="2116-01"/>
    <n v="65000"/>
    <n v="0"/>
    <s v="Pago f 58083 voissnet cloud services s.p.a."/>
    <n v="65000"/>
    <s v="Pasivo"/>
    <n v="-65000"/>
    <x v="78"/>
  </r>
  <r>
    <n v="2026"/>
    <n v="2"/>
    <s v="26-02-2026"/>
    <n v="7287"/>
    <s v="2116-01"/>
    <n v="44000"/>
    <n v="0"/>
    <s v="Pago f 58265 voissnet cloud services s.p.a."/>
    <n v="44000"/>
    <s v="Pasivo"/>
    <n v="-44000"/>
    <x v="78"/>
  </r>
  <r>
    <n v="2026"/>
    <n v="2"/>
    <s v="26-02-2026"/>
    <n v="7288"/>
    <s v="2116-01"/>
    <n v="42000"/>
    <n v="0"/>
    <s v="Pago f 55850 voissnet cloud services s.p.a."/>
    <n v="42000"/>
    <s v="Pasivo"/>
    <n v="-42000"/>
    <x v="78"/>
  </r>
  <r>
    <n v="2026"/>
    <n v="2"/>
    <s v="26-02-2026"/>
    <n v="7289"/>
    <s v="2116-01"/>
    <n v="42000"/>
    <n v="0"/>
    <s v="Pago f 58079 voissnet cloud services s.p.a."/>
    <n v="42000"/>
    <s v="Pasivo"/>
    <n v="-42000"/>
    <x v="78"/>
  </r>
  <r>
    <n v="2026"/>
    <n v="2"/>
    <s v="26-02-2026"/>
    <n v="7290"/>
    <s v="2116-01"/>
    <n v="42000"/>
    <n v="0"/>
    <s v="Pago f 58080 voissnet cloud services s.p.a."/>
    <n v="42000"/>
    <s v="Pasivo"/>
    <n v="-42000"/>
    <x v="78"/>
  </r>
  <r>
    <n v="2026"/>
    <n v="2"/>
    <s v="26-02-2026"/>
    <n v="7291"/>
    <s v="2116-01"/>
    <n v="42000"/>
    <n v="0"/>
    <s v="Pago f 58081 voissnet cloud services s.p.a."/>
    <n v="42000"/>
    <s v="Pasivo"/>
    <n v="-42000"/>
    <x v="78"/>
  </r>
  <r>
    <n v="2026"/>
    <n v="2"/>
    <s v="26-02-2026"/>
    <n v="7292"/>
    <s v="2116-01"/>
    <n v="42000"/>
    <n v="0"/>
    <s v="Pago f 58082 voissnet cloud services s.p.a."/>
    <n v="42000"/>
    <s v="Pasivo"/>
    <n v="-42000"/>
    <x v="78"/>
  </r>
  <r>
    <n v="2026"/>
    <n v="2"/>
    <s v="26-02-2026"/>
    <n v="7293"/>
    <s v="2116-01"/>
    <n v="42000"/>
    <n v="0"/>
    <s v="Pago f 58085 voissnet cloud services s.p.a."/>
    <n v="42000"/>
    <s v="Pasivo"/>
    <n v="-42000"/>
    <x v="78"/>
  </r>
  <r>
    <n v="2026"/>
    <n v="2"/>
    <s v="26-02-2026"/>
    <n v="7294"/>
    <s v="2116-01"/>
    <n v="42000"/>
    <n v="0"/>
    <s v="Pago f 58086 voissnet cloud services s.p.a."/>
    <n v="42000"/>
    <s v="Pasivo"/>
    <n v="-42000"/>
    <x v="78"/>
  </r>
  <r>
    <n v="2026"/>
    <n v="2"/>
    <s v="26-02-2026"/>
    <n v="7295"/>
    <s v="2116-01"/>
    <n v="42000"/>
    <n v="0"/>
    <s v="Pago f 58087 voissnet cloud services s.p.a."/>
    <n v="42000"/>
    <s v="Pasivo"/>
    <n v="-42000"/>
    <x v="78"/>
  </r>
  <r>
    <n v="2026"/>
    <n v="2"/>
    <s v="26-02-2026"/>
    <n v="8134"/>
    <s v="2116-01"/>
    <n v="35801"/>
    <n v="0"/>
    <s v="Centralización pagos febrero 2026 #645 - #645"/>
    <n v="35801"/>
    <s v="Pasivo"/>
    <n v="-35801"/>
    <x v="78"/>
  </r>
  <r>
    <n v="2026"/>
    <n v="2"/>
    <s v="26-02-2026"/>
    <n v="8324"/>
    <s v="2116-01"/>
    <n v="22800"/>
    <n v="0"/>
    <s v="Centralización pagos febrero 2026 #742 - #742"/>
    <n v="22800"/>
    <s v="Pasivo"/>
    <n v="-22800"/>
    <x v="78"/>
  </r>
  <r>
    <n v="2026"/>
    <n v="2"/>
    <s v="26-02-2026"/>
    <n v="8384"/>
    <s v="2116-01"/>
    <n v="68200"/>
    <n v="0"/>
    <s v="Centralización pagos febrero 2026 #794 - #794"/>
    <n v="68200"/>
    <s v="Pasivo"/>
    <n v="-68200"/>
    <x v="78"/>
  </r>
  <r>
    <n v="2026"/>
    <n v="2"/>
    <s v="27-02-2026"/>
    <n v="7301"/>
    <s v="2116-01"/>
    <n v="1150611"/>
    <n v="0"/>
    <s v="Pago f 172 telecomunicaciones ccp limitada"/>
    <n v="1150611"/>
    <s v="Pasivo"/>
    <n v="-1150611"/>
    <x v="78"/>
  </r>
  <r>
    <n v="2026"/>
    <n v="2"/>
    <s v="28-02-2026"/>
    <n v="7307"/>
    <s v="2116-01"/>
    <n v="6803"/>
    <n v="0"/>
    <s v="Centralización pagos febrero 2026"/>
    <n v="6803"/>
    <s v="Pasivo"/>
    <n v="-6803"/>
    <x v="78"/>
  </r>
  <r>
    <n v="2026"/>
    <n v="2"/>
    <s v="28-02-2026"/>
    <n v="8132"/>
    <s v="2116-01"/>
    <n v="150487"/>
    <n v="0"/>
    <s v="Centralización pagos febrero 2026 #619 - #619"/>
    <n v="150487"/>
    <s v="Pasivo"/>
    <n v="-150487"/>
    <x v="78"/>
  </r>
  <r>
    <n v="2026"/>
    <n v="2"/>
    <s v="28-02-2026"/>
    <n v="9815"/>
    <s v="2116-01"/>
    <n v="636112"/>
    <n v="0"/>
    <s v="Centralización compras febrero 2026 - valor total"/>
    <n v="636112"/>
    <s v="Pasivo"/>
    <n v="-636112"/>
    <x v="78"/>
  </r>
  <r>
    <n v="2026"/>
    <n v="2"/>
    <s v="28-02-2026"/>
    <n v="9815"/>
    <s v="2116-01"/>
    <n v="0"/>
    <n v="92340711"/>
    <s v="Centralización compras febrero 2026 - valor total"/>
    <n v="-92340711"/>
    <s v="Pasivo"/>
    <n v="92340711"/>
    <x v="78"/>
  </r>
  <r>
    <n v="2026"/>
    <n v="2"/>
    <s v="28-02-2026"/>
    <n v="10599"/>
    <s v="2116-01"/>
    <n v="157016"/>
    <n v="0"/>
    <s v="Chipax"/>
    <n v="157016"/>
    <s v="Pasivo"/>
    <n v="-157016"/>
    <x v="78"/>
  </r>
  <r>
    <n v="2026"/>
    <n v="2"/>
    <s v="28-02-2026"/>
    <n v="10599"/>
    <s v="2116-01"/>
    <n v="242626"/>
    <n v="0"/>
    <s v="Webpay eparis"/>
    <n v="242626"/>
    <s v="Pasivo"/>
    <n v="-242626"/>
    <x v="78"/>
  </r>
  <r>
    <n v="2026"/>
    <n v="2"/>
    <s v="28-02-2026"/>
    <n v="10599"/>
    <s v="2116-01"/>
    <n v="35735"/>
    <n v="0"/>
    <s v="Lioren enterprises spa"/>
    <n v="35735"/>
    <s v="Pasivo"/>
    <n v="-35735"/>
    <x v="78"/>
  </r>
  <r>
    <n v="2026"/>
    <n v="2"/>
    <s v="28-02-2026"/>
    <n v="10599"/>
    <s v="2116-01"/>
    <n v="35735"/>
    <n v="0"/>
    <s v="Lioren enterprises spa"/>
    <n v="35735"/>
    <s v="Pasivo"/>
    <n v="-35735"/>
    <x v="78"/>
  </r>
  <r>
    <n v="2026"/>
    <n v="2"/>
    <s v="28-02-2026"/>
    <n v="10600"/>
    <s v="2116-01"/>
    <n v="115922"/>
    <n v="0"/>
    <s v="Paris mall plaza vespu"/>
    <n v="115922"/>
    <s v="Pasivo"/>
    <n v="-115922"/>
    <x v="78"/>
  </r>
  <r>
    <n v="2026"/>
    <n v="2"/>
    <s v="28-02-2026"/>
    <n v="10600"/>
    <s v="2116-01"/>
    <n v="207835"/>
    <n v="0"/>
    <s v="Intcomex chile quilicu"/>
    <n v="207835"/>
    <s v="Pasivo"/>
    <n v="-207835"/>
    <x v="78"/>
  </r>
  <r>
    <n v="2026"/>
    <n v="2"/>
    <s v="28-02-2026"/>
    <n v="10601"/>
    <s v="2116-01"/>
    <n v="1879"/>
    <n v="0"/>
    <s v="Starlink starlink chil"/>
    <n v="1879"/>
    <s v="Pasivo"/>
    <n v="-1879"/>
    <x v="78"/>
  </r>
  <r>
    <n v="2026"/>
    <n v="2"/>
    <s v="28-02-2026"/>
    <n v="10601"/>
    <s v="2116-01"/>
    <n v="28660"/>
    <n v="0"/>
    <s v="Mercadopago activebr"/>
    <n v="28660"/>
    <s v="Pasivo"/>
    <n v="-28660"/>
    <x v="78"/>
  </r>
  <r>
    <n v="2026"/>
    <n v="2"/>
    <s v="28-02-2026"/>
    <n v="10601"/>
    <s v="2116-01"/>
    <n v="34039"/>
    <n v="0"/>
    <s v="Dlstarlink"/>
    <n v="34039"/>
    <s v="Pasivo"/>
    <n v="-34039"/>
    <x v="78"/>
  </r>
  <r>
    <n v="2026"/>
    <n v="2"/>
    <s v="28-02-2026"/>
    <n v="10601"/>
    <s v="2116-01"/>
    <n v="30817"/>
    <n v="0"/>
    <s v="Mercadopago mercadol"/>
    <n v="30817"/>
    <s v="Pasivo"/>
    <n v="-30817"/>
    <x v="78"/>
  </r>
  <r>
    <n v="2026"/>
    <n v="2"/>
    <s v="28-02-2026"/>
    <n v="10601"/>
    <s v="2116-01"/>
    <n v="23687"/>
    <n v="0"/>
    <s v="Starlink starlink chil"/>
    <n v="23687"/>
    <s v="Pasivo"/>
    <n v="-23687"/>
    <x v="78"/>
  </r>
  <r>
    <n v="2026"/>
    <n v="2"/>
    <s v="28-02-2026"/>
    <n v="10601"/>
    <s v="2116-01"/>
    <n v="987"/>
    <n v="0"/>
    <s v="Starlink starlink c"/>
    <n v="987"/>
    <s v="Pasivo"/>
    <n v="-987"/>
    <x v="78"/>
  </r>
  <r>
    <n v="2026"/>
    <n v="2"/>
    <s v="28-02-2026"/>
    <n v="10601"/>
    <s v="2116-01"/>
    <n v="986"/>
    <n v="0"/>
    <s v="Starlink starlink c"/>
    <n v="986"/>
    <s v="Pasivo"/>
    <n v="-986"/>
    <x v="78"/>
  </r>
  <r>
    <n v="2026"/>
    <n v="2"/>
    <s v="28-02-2026"/>
    <n v="10601"/>
    <s v="2116-01"/>
    <n v="192271"/>
    <n v="0"/>
    <s v="Segur. falabella co"/>
    <n v="192271"/>
    <s v="Pasivo"/>
    <n v="-192271"/>
    <x v="78"/>
  </r>
  <r>
    <n v="2026"/>
    <n v="2"/>
    <s v="28-02-2026"/>
    <n v="10601"/>
    <s v="2116-01"/>
    <n v="374000"/>
    <n v="0"/>
    <s v="Starlink starlink c"/>
    <n v="374000"/>
    <s v="Pasivo"/>
    <n v="-374000"/>
    <x v="78"/>
  </r>
  <r>
    <n v="2026"/>
    <n v="2"/>
    <s v="28-02-2026"/>
    <n v="10601"/>
    <s v="2116-01"/>
    <n v="142687"/>
    <n v="0"/>
    <s v="Toku nubox payme"/>
    <n v="142687"/>
    <s v="Pasivo"/>
    <n v="-142687"/>
    <x v="78"/>
  </r>
  <r>
    <n v="2026"/>
    <n v="3"/>
    <s v="01-03-2026"/>
    <n v="8388"/>
    <s v="2116-01"/>
    <n v="55500"/>
    <n v="0"/>
    <s v="Centralización pagos marzo 2026 #766 - #766"/>
    <n v="55500"/>
    <s v="Pasivo"/>
    <n v="-55500"/>
    <x v="78"/>
  </r>
  <r>
    <n v="2026"/>
    <n v="3"/>
    <s v="02-03-2026"/>
    <n v="7310"/>
    <s v="2116-01"/>
    <n v="500000"/>
    <n v="0"/>
    <s v="0995200007 transf a muevo copec em"/>
    <n v="500000"/>
    <s v="Pasivo"/>
    <n v="-500000"/>
    <x v="78"/>
  </r>
  <r>
    <n v="2026"/>
    <n v="3"/>
    <s v="02-03-2026"/>
    <n v="7312"/>
    <s v="2116-01"/>
    <n v="16280"/>
    <n v="0"/>
    <s v="Compra pc factory plaza"/>
    <n v="16280"/>
    <s v="Pasivo"/>
    <n v="-16280"/>
    <x v="78"/>
  </r>
  <r>
    <n v="2026"/>
    <n v="3"/>
    <s v="03-03-2026"/>
    <n v="7313"/>
    <s v="2116-01"/>
    <n v="125000"/>
    <n v="0"/>
    <s v="0764962230 transf a master glass l"/>
    <n v="125000"/>
    <s v="Pasivo"/>
    <n v="-125000"/>
    <x v="78"/>
  </r>
  <r>
    <n v="2026"/>
    <n v="3"/>
    <s v="03-03-2026"/>
    <n v="8294"/>
    <s v="2116-01"/>
    <n v="22000"/>
    <n v="0"/>
    <s v="Centralización pagos marzo 2026 #684 - #684"/>
    <n v="22000"/>
    <s v="Pasivo"/>
    <n v="-22000"/>
    <x v="78"/>
  </r>
  <r>
    <n v="2026"/>
    <n v="3"/>
    <s v="03-03-2026"/>
    <n v="8298"/>
    <s v="2116-01"/>
    <n v="84000"/>
    <n v="0"/>
    <s v="Centralización pagos marzo 2026 #682 - #682"/>
    <n v="84000"/>
    <s v="Pasivo"/>
    <n v="-84000"/>
    <x v="78"/>
  </r>
  <r>
    <n v="2026"/>
    <n v="3"/>
    <s v="03-03-2026"/>
    <n v="8392"/>
    <s v="2116-01"/>
    <n v="22800"/>
    <n v="0"/>
    <s v="Centralización pagos marzo 2026 #777 - #777"/>
    <n v="22800"/>
    <s v="Pasivo"/>
    <n v="-22800"/>
    <x v="78"/>
  </r>
  <r>
    <n v="2026"/>
    <n v="3"/>
    <s v="04-03-2026"/>
    <n v="7467"/>
    <s v="2116-01"/>
    <n v="9002"/>
    <n v="0"/>
    <s v="Comision servicio internet"/>
    <n v="9002"/>
    <s v="Pasivo"/>
    <n v="-9002"/>
    <x v="78"/>
  </r>
  <r>
    <n v="2026"/>
    <n v="3"/>
    <s v="04-03-2026"/>
    <n v="11165"/>
    <s v="2116-01"/>
    <n v="5900"/>
    <n v="0"/>
    <s v="Dif factura no 31183"/>
    <n v="5900"/>
    <s v="Pasivo"/>
    <n v="-5900"/>
    <x v="78"/>
  </r>
  <r>
    <n v="2026"/>
    <n v="3"/>
    <s v="05-03-2026"/>
    <n v="8295"/>
    <s v="2116-01"/>
    <n v="1000"/>
    <n v="0"/>
    <s v="Centralización pagos marzo 2026 #689 - #689"/>
    <n v="1000"/>
    <s v="Pasivo"/>
    <n v="-1000"/>
    <x v="78"/>
  </r>
  <r>
    <n v="2026"/>
    <n v="3"/>
    <s v="05-03-2026"/>
    <n v="8329"/>
    <s v="2116-01"/>
    <n v="50000"/>
    <n v="0"/>
    <s v="Centralización pagos marzo 2026 #734 - #734"/>
    <n v="50000"/>
    <s v="Pasivo"/>
    <n v="-50000"/>
    <x v="78"/>
  </r>
  <r>
    <n v="2026"/>
    <n v="3"/>
    <s v="06-03-2026"/>
    <n v="7323"/>
    <s v="2116-01"/>
    <n v="6013558"/>
    <n v="0"/>
    <s v="0762565196 transf a inversiones y"/>
    <n v="6013558"/>
    <s v="Pasivo"/>
    <n v="-6013558"/>
    <x v="78"/>
  </r>
  <r>
    <n v="2026"/>
    <n v="3"/>
    <s v="06-03-2026"/>
    <n v="7325"/>
    <s v="2116-01"/>
    <n v="3690407"/>
    <n v="0"/>
    <s v="0762489287 transf a wircom telecom"/>
    <n v="3690407"/>
    <s v="Pasivo"/>
    <n v="-3690407"/>
    <x v="78"/>
  </r>
  <r>
    <n v="2026"/>
    <n v="3"/>
    <s v="06-03-2026"/>
    <n v="7326"/>
    <s v="2116-01"/>
    <n v="3141131"/>
    <n v="0"/>
    <s v="0766282563 transf a pit chile spa"/>
    <n v="3141131"/>
    <s v="Pasivo"/>
    <n v="-3141131"/>
    <x v="78"/>
  </r>
  <r>
    <n v="2026"/>
    <n v="3"/>
    <s v="06-03-2026"/>
    <n v="7327"/>
    <s v="2116-01"/>
    <n v="2269622"/>
    <n v="0"/>
    <s v="0969128608 transf a silica network"/>
    <n v="2269622"/>
    <s v="Pasivo"/>
    <n v="-2269622"/>
    <x v="78"/>
  </r>
  <r>
    <n v="2026"/>
    <n v="3"/>
    <s v="06-03-2026"/>
    <n v="7328"/>
    <s v="2116-01"/>
    <n v="1560515"/>
    <n v="0"/>
    <s v="0770782546 transf a cogent communi"/>
    <n v="1560515"/>
    <s v="Pasivo"/>
    <n v="-1560515"/>
    <x v="78"/>
  </r>
  <r>
    <n v="2026"/>
    <n v="3"/>
    <s v="06-03-2026"/>
    <n v="7329"/>
    <s v="2116-01"/>
    <n v="1417507"/>
    <n v="0"/>
    <s v="0777638785 transf a ficom telecomu"/>
    <n v="1417507"/>
    <s v="Pasivo"/>
    <n v="-1417507"/>
    <x v="78"/>
  </r>
  <r>
    <n v="2026"/>
    <n v="3"/>
    <s v="06-03-2026"/>
    <n v="7330"/>
    <s v="2116-01"/>
    <n v="1094800"/>
    <n v="0"/>
    <s v="0966693401 transf a tac comunicati"/>
    <n v="1094800"/>
    <s v="Pasivo"/>
    <n v="-1094800"/>
    <x v="78"/>
  </r>
  <r>
    <n v="2026"/>
    <n v="3"/>
    <s v="06-03-2026"/>
    <n v="7332"/>
    <s v="2116-01"/>
    <n v="1000000"/>
    <n v="0"/>
    <s v="0773470286 transf a lars spa"/>
    <n v="1000000"/>
    <s v="Pasivo"/>
    <n v="-1000000"/>
    <x v="78"/>
  </r>
  <r>
    <n v="2026"/>
    <n v="3"/>
    <s v="06-03-2026"/>
    <n v="7333"/>
    <s v="2116-01"/>
    <n v="989485"/>
    <n v="0"/>
    <s v="0761831402 transf a comercial lago"/>
    <n v="989485"/>
    <s v="Pasivo"/>
    <n v="-989485"/>
    <x v="78"/>
  </r>
  <r>
    <n v="2026"/>
    <n v="3"/>
    <s v="06-03-2026"/>
    <n v="7334"/>
    <s v="2116-01"/>
    <n v="958695"/>
    <n v="0"/>
    <s v="0766114598 transf a ascenty"/>
    <n v="958695"/>
    <s v="Pasivo"/>
    <n v="-958695"/>
    <x v="78"/>
  </r>
  <r>
    <n v="2026"/>
    <n v="3"/>
    <s v="06-03-2026"/>
    <n v="7336"/>
    <s v="2116-01"/>
    <n v="708753"/>
    <n v="0"/>
    <s v="0777638785 transf a ficom telecomu"/>
    <n v="708753"/>
    <s v="Pasivo"/>
    <n v="-708753"/>
    <x v="78"/>
  </r>
  <r>
    <n v="2026"/>
    <n v="3"/>
    <s v="06-03-2026"/>
    <n v="7337"/>
    <s v="2116-01"/>
    <n v="134231"/>
    <n v="0"/>
    <s v="0761831402 transf a comercial lago"/>
    <n v="134231"/>
    <s v="Pasivo"/>
    <n v="-134231"/>
    <x v="78"/>
  </r>
  <r>
    <n v="2026"/>
    <n v="3"/>
    <s v="06-03-2026"/>
    <n v="7337"/>
    <s v="2116-01"/>
    <n v="381505"/>
    <n v="0"/>
    <s v="0761831402 transf a comercial lago"/>
    <n v="381505"/>
    <s v="Pasivo"/>
    <n v="-381505"/>
    <x v="78"/>
  </r>
  <r>
    <n v="2026"/>
    <n v="3"/>
    <s v="06-03-2026"/>
    <n v="7338"/>
    <s v="2116-01"/>
    <n v="476000"/>
    <n v="0"/>
    <s v="0785907302 transf a cia.de comunic"/>
    <n v="476000"/>
    <s v="Pasivo"/>
    <n v="-476000"/>
    <x v="78"/>
  </r>
  <r>
    <n v="2026"/>
    <n v="3"/>
    <s v="06-03-2026"/>
    <n v="7339"/>
    <s v="2116-01"/>
    <n v="340158"/>
    <n v="0"/>
    <s v="0760643823 transf a powerhost tele"/>
    <n v="340158"/>
    <s v="Pasivo"/>
    <n v="-340158"/>
    <x v="78"/>
  </r>
  <r>
    <n v="2026"/>
    <n v="3"/>
    <s v="06-03-2026"/>
    <n v="7340"/>
    <s v="2116-01"/>
    <n v="300000"/>
    <n v="0"/>
    <s v="0995200007 transf a muevo copec em"/>
    <n v="300000"/>
    <s v="Pasivo"/>
    <n v="-300000"/>
    <x v="78"/>
  </r>
  <r>
    <n v="2026"/>
    <n v="3"/>
    <s v="06-03-2026"/>
    <n v="7341"/>
    <s v="2116-01"/>
    <n v="203743"/>
    <n v="0"/>
    <s v="0762565196 transf a inversiones y"/>
    <n v="203743"/>
    <s v="Pasivo"/>
    <n v="-203743"/>
    <x v="78"/>
  </r>
  <r>
    <n v="2026"/>
    <n v="3"/>
    <s v="06-03-2026"/>
    <n v="7342"/>
    <s v="2116-01"/>
    <n v="141074"/>
    <n v="0"/>
    <s v="0761831402 transf a comercial lago"/>
    <n v="141074"/>
    <s v="Pasivo"/>
    <n v="-141074"/>
    <x v="78"/>
  </r>
  <r>
    <n v="2026"/>
    <n v="3"/>
    <s v="06-03-2026"/>
    <n v="7342"/>
    <s v="2116-01"/>
    <n v="1054"/>
    <n v="0"/>
    <s v="0761831402 transf a comercial lago"/>
    <n v="1054"/>
    <s v="Pasivo"/>
    <n v="-1054"/>
    <x v="78"/>
  </r>
  <r>
    <n v="2026"/>
    <n v="3"/>
    <s v="06-03-2026"/>
    <n v="7345"/>
    <s v="2116-01"/>
    <n v="117792"/>
    <n v="0"/>
    <s v="0766114598 transf a ascenty"/>
    <n v="117792"/>
    <s v="Pasivo"/>
    <n v="-117792"/>
    <x v="78"/>
  </r>
  <r>
    <n v="2026"/>
    <n v="3"/>
    <s v="06-03-2026"/>
    <n v="7347"/>
    <s v="2116-01"/>
    <n v="76612"/>
    <n v="0"/>
    <s v="0766114598 transf a ascenty"/>
    <n v="76612"/>
    <s v="Pasivo"/>
    <n v="-76612"/>
    <x v="78"/>
  </r>
  <r>
    <n v="2026"/>
    <n v="3"/>
    <s v="06-03-2026"/>
    <n v="7348"/>
    <s v="2116-01"/>
    <n v="72110"/>
    <n v="0"/>
    <s v="0766114598 transf a ascenty"/>
    <n v="72110"/>
    <s v="Pasivo"/>
    <n v="-72110"/>
    <x v="78"/>
  </r>
  <r>
    <n v="2026"/>
    <n v="3"/>
    <s v="06-03-2026"/>
    <n v="7349"/>
    <s v="2116-01"/>
    <n v="72110"/>
    <n v="0"/>
    <s v="0766114598 transf a ascenty"/>
    <n v="72110"/>
    <s v="Pasivo"/>
    <n v="-72110"/>
    <x v="78"/>
  </r>
  <r>
    <n v="2026"/>
    <n v="3"/>
    <s v="06-03-2026"/>
    <n v="7350"/>
    <s v="2116-01"/>
    <n v="60899"/>
    <n v="0"/>
    <s v="0766114598 transf a ascenty"/>
    <n v="60899"/>
    <s v="Pasivo"/>
    <n v="-60899"/>
    <x v="78"/>
  </r>
  <r>
    <n v="2026"/>
    <n v="3"/>
    <s v="06-03-2026"/>
    <n v="7351"/>
    <s v="2116-01"/>
    <n v="60779"/>
    <n v="0"/>
    <s v="0766114598 transf a ascenty"/>
    <n v="60779"/>
    <s v="Pasivo"/>
    <n v="-60779"/>
    <x v="78"/>
  </r>
  <r>
    <n v="2026"/>
    <n v="3"/>
    <s v="06-03-2026"/>
    <n v="7352"/>
    <s v="2116-01"/>
    <n v="60719"/>
    <n v="0"/>
    <s v="0766114598 transf a ascenty"/>
    <n v="60719"/>
    <s v="Pasivo"/>
    <n v="-60719"/>
    <x v="78"/>
  </r>
  <r>
    <n v="2026"/>
    <n v="3"/>
    <s v="06-03-2026"/>
    <n v="7353"/>
    <s v="2116-01"/>
    <n v="60597"/>
    <n v="0"/>
    <s v="0766114598 transf a ascenty"/>
    <n v="60597"/>
    <s v="Pasivo"/>
    <n v="-60597"/>
    <x v="78"/>
  </r>
  <r>
    <n v="2026"/>
    <n v="3"/>
    <s v="06-03-2026"/>
    <n v="7354"/>
    <s v="2116-01"/>
    <n v="41650"/>
    <n v="0"/>
    <s v="0767042191 transf a productora ene"/>
    <n v="41650"/>
    <s v="Pasivo"/>
    <n v="-41650"/>
    <x v="78"/>
  </r>
  <r>
    <n v="2026"/>
    <n v="3"/>
    <s v="06-03-2026"/>
    <n v="8140"/>
    <s v="2116-01"/>
    <n v="16202"/>
    <n v="0"/>
    <s v="Centralización pagos marzo 2026 #627 - #627"/>
    <n v="16202"/>
    <s v="Pasivo"/>
    <n v="-16202"/>
    <x v="78"/>
  </r>
  <r>
    <n v="2026"/>
    <n v="3"/>
    <s v="06-03-2026"/>
    <n v="8331"/>
    <s v="2116-01"/>
    <n v="30500"/>
    <n v="0"/>
    <s v="Centralización pagos marzo 2026 #740 - #740"/>
    <n v="30500"/>
    <s v="Pasivo"/>
    <n v="-30500"/>
    <x v="78"/>
  </r>
  <r>
    <n v="2026"/>
    <n v="3"/>
    <s v="06-03-2026"/>
    <n v="8395"/>
    <s v="2116-01"/>
    <n v="55500"/>
    <n v="0"/>
    <s v="Centralización pagos marzo 2026 #797 - #797"/>
    <n v="55500"/>
    <s v="Pasivo"/>
    <n v="-55500"/>
    <x v="78"/>
  </r>
  <r>
    <n v="2026"/>
    <n v="3"/>
    <s v="06-03-2026"/>
    <n v="8427"/>
    <s v="2116-01"/>
    <n v="76200"/>
    <n v="0"/>
    <s v="Centralización pagos marzo 2026 #823 - #823"/>
    <n v="76200"/>
    <s v="Pasivo"/>
    <n v="-76200"/>
    <x v="78"/>
  </r>
  <r>
    <n v="2026"/>
    <n v="3"/>
    <s v="08-03-2026"/>
    <n v="8398"/>
    <s v="2116-01"/>
    <n v="22800"/>
    <n v="0"/>
    <s v="Centralización pagos marzo 2026 #806 - #806"/>
    <n v="22800"/>
    <s v="Pasivo"/>
    <n v="-22800"/>
    <x v="78"/>
  </r>
  <r>
    <n v="2026"/>
    <n v="3"/>
    <s v="09-03-2026"/>
    <n v="7355"/>
    <s v="2116-01"/>
    <n v="300000"/>
    <n v="0"/>
    <s v="0995200007 transf a muevo copec em"/>
    <n v="300000"/>
    <s v="Pasivo"/>
    <n v="-300000"/>
    <x v="78"/>
  </r>
  <r>
    <n v="2026"/>
    <n v="3"/>
    <s v="09-03-2026"/>
    <n v="7356"/>
    <s v="2116-01"/>
    <n v="170000"/>
    <n v="0"/>
    <s v="Pago en linea voissnet cloud servi"/>
    <n v="170000"/>
    <s v="Pasivo"/>
    <n v="-170000"/>
    <x v="78"/>
  </r>
  <r>
    <n v="2026"/>
    <n v="3"/>
    <s v="09-03-2026"/>
    <n v="8145"/>
    <s v="2116-01"/>
    <n v="240975"/>
    <n v="0"/>
    <s v="Centralización pagos marzo 2026 #592 - #592"/>
    <n v="240975"/>
    <s v="Pasivo"/>
    <n v="-240975"/>
    <x v="78"/>
  </r>
  <r>
    <n v="2026"/>
    <n v="3"/>
    <s v="09-03-2026"/>
    <n v="8146"/>
    <s v="2116-01"/>
    <n v="414809"/>
    <n v="0"/>
    <s v="Centralización pagos marzo 2026 #593 - #593"/>
    <n v="414809"/>
    <s v="Pasivo"/>
    <n v="-414809"/>
    <x v="78"/>
  </r>
  <r>
    <n v="2026"/>
    <n v="3"/>
    <s v="10-03-2026"/>
    <n v="7357"/>
    <s v="2116-01"/>
    <n v="4308469"/>
    <n v="0"/>
    <s v="0763858715 transf a grupo zgh spa"/>
    <n v="4308469"/>
    <s v="Pasivo"/>
    <n v="-4308469"/>
    <x v="78"/>
  </r>
  <r>
    <n v="2026"/>
    <n v="3"/>
    <s v="10-03-2026"/>
    <n v="7358"/>
    <s v="2116-01"/>
    <n v="2070589"/>
    <n v="0"/>
    <s v="076360912k transf a sociedad de in"/>
    <n v="2070589"/>
    <s v="Pasivo"/>
    <n v="-2070589"/>
    <x v="78"/>
  </r>
  <r>
    <n v="2026"/>
    <n v="3"/>
    <s v="10-03-2026"/>
    <n v="7360"/>
    <s v="2116-01"/>
    <n v="459226"/>
    <n v="0"/>
    <s v="0761872877 transf a khipu clbs d"/>
    <n v="459226"/>
    <s v="Pasivo"/>
    <n v="-459226"/>
    <x v="78"/>
  </r>
  <r>
    <n v="2026"/>
    <n v="3"/>
    <s v="10-03-2026"/>
    <n v="7360"/>
    <s v="2116-01"/>
    <n v="1451772"/>
    <n v="0"/>
    <s v="0761872877 transf a khipu clbs d"/>
    <n v="1451772"/>
    <s v="Pasivo"/>
    <n v="-1451772"/>
    <x v="78"/>
  </r>
  <r>
    <n v="2026"/>
    <n v="3"/>
    <s v="10-03-2026"/>
    <n v="7362"/>
    <s v="2116-01"/>
    <n v="1472253"/>
    <n v="0"/>
    <s v="0763338789 transf a at gonzález sp"/>
    <n v="1472253"/>
    <s v="Pasivo"/>
    <n v="-1472253"/>
    <x v="78"/>
  </r>
  <r>
    <n v="2026"/>
    <n v="3"/>
    <s v="10-03-2026"/>
    <n v="7363"/>
    <s v="2116-01"/>
    <n v="968568"/>
    <n v="0"/>
    <s v="0763858715 transf a grupo zgh spa"/>
    <n v="968568"/>
    <s v="Pasivo"/>
    <n v="-968568"/>
    <x v="78"/>
  </r>
  <r>
    <n v="2026"/>
    <n v="3"/>
    <s v="10-03-2026"/>
    <n v="7364"/>
    <s v="2116-01"/>
    <n v="804965"/>
    <n v="0"/>
    <s v="0760926108 transf a alberto diaz d"/>
    <n v="804965"/>
    <s v="Pasivo"/>
    <n v="-804965"/>
    <x v="78"/>
  </r>
  <r>
    <n v="2026"/>
    <n v="3"/>
    <s v="10-03-2026"/>
    <n v="7366"/>
    <s v="2116-01"/>
    <n v="500000"/>
    <n v="0"/>
    <s v="0995200007 transf a muevo copec em"/>
    <n v="500000"/>
    <s v="Pasivo"/>
    <n v="-500000"/>
    <x v="78"/>
  </r>
  <r>
    <n v="2026"/>
    <n v="3"/>
    <s v="10-03-2026"/>
    <n v="7367"/>
    <s v="2116-01"/>
    <n v="83890"/>
    <n v="0"/>
    <s v="Pago en linea servipag"/>
    <n v="83890"/>
    <s v="Pasivo"/>
    <n v="-83890"/>
    <x v="78"/>
  </r>
  <r>
    <n v="2026"/>
    <n v="3"/>
    <s v="10-03-2026"/>
    <n v="7367"/>
    <s v="2116-01"/>
    <n v="3564"/>
    <n v="0"/>
    <s v="Pago en linea servipag"/>
    <n v="3564"/>
    <s v="Pasivo"/>
    <n v="-3564"/>
    <x v="78"/>
  </r>
  <r>
    <n v="2026"/>
    <n v="3"/>
    <s v="10-03-2026"/>
    <n v="7367"/>
    <s v="2116-01"/>
    <n v="34400"/>
    <n v="0"/>
    <s v="Pago en linea servipag"/>
    <n v="34400"/>
    <s v="Pasivo"/>
    <n v="-34400"/>
    <x v="78"/>
  </r>
  <r>
    <n v="2026"/>
    <n v="3"/>
    <s v="10-03-2026"/>
    <n v="7367"/>
    <s v="2116-01"/>
    <n v="14617"/>
    <n v="0"/>
    <s v="Pago en linea servipag"/>
    <n v="14617"/>
    <s v="Pasivo"/>
    <n v="-14617"/>
    <x v="78"/>
  </r>
  <r>
    <n v="2026"/>
    <n v="3"/>
    <s v="10-03-2026"/>
    <n v="7367"/>
    <s v="2116-01"/>
    <n v="9607"/>
    <n v="0"/>
    <s v="Pago en linea servipag"/>
    <n v="9607"/>
    <s v="Pasivo"/>
    <n v="-9607"/>
    <x v="78"/>
  </r>
  <r>
    <n v="2026"/>
    <n v="3"/>
    <s v="10-03-2026"/>
    <n v="7367"/>
    <s v="2116-01"/>
    <n v="286754"/>
    <n v="0"/>
    <s v="Pago en linea servipag"/>
    <n v="286754"/>
    <s v="Pasivo"/>
    <n v="-286754"/>
    <x v="78"/>
  </r>
  <r>
    <n v="2026"/>
    <n v="3"/>
    <s v="10-03-2026"/>
    <n v="7368"/>
    <s v="2116-01"/>
    <n v="398010"/>
    <n v="0"/>
    <s v="0520050752 transf a cg abogados s"/>
    <n v="398010"/>
    <s v="Pasivo"/>
    <n v="-398010"/>
    <x v="78"/>
  </r>
  <r>
    <n v="2026"/>
    <n v="3"/>
    <s v="10-03-2026"/>
    <n v="7369"/>
    <s v="2116-01"/>
    <n v="260427"/>
    <n v="0"/>
    <s v="0703601006 transf a asociación chi"/>
    <n v="260427"/>
    <s v="Pasivo"/>
    <n v="-260427"/>
    <x v="78"/>
  </r>
  <r>
    <n v="2026"/>
    <n v="3"/>
    <s v="10-03-2026"/>
    <n v="7373"/>
    <s v="2116-01"/>
    <n v="71400"/>
    <n v="0"/>
    <s v="0781088498 transf a zettabyte zpa"/>
    <n v="71400"/>
    <s v="Pasivo"/>
    <n v="-71400"/>
    <x v="78"/>
  </r>
  <r>
    <n v="2026"/>
    <n v="3"/>
    <s v="10-03-2026"/>
    <n v="8149"/>
    <s v="2116-01"/>
    <n v="853314"/>
    <n v="0"/>
    <s v="Centralización pagos marzo 2026 #662 - #662"/>
    <n v="853314"/>
    <s v="Pasivo"/>
    <n v="-853314"/>
    <x v="78"/>
  </r>
  <r>
    <n v="2026"/>
    <n v="3"/>
    <s v="10-03-2026"/>
    <n v="8150"/>
    <s v="2116-01"/>
    <n v="110524"/>
    <n v="0"/>
    <s v="Centralización pagos marzo 2026 #664 - #664"/>
    <n v="110524"/>
    <s v="Pasivo"/>
    <n v="-110524"/>
    <x v="78"/>
  </r>
  <r>
    <n v="2026"/>
    <n v="3"/>
    <s v="10-03-2026"/>
    <n v="8151"/>
    <s v="2116-01"/>
    <n v="14990"/>
    <n v="0"/>
    <s v="Centralización pagos marzo 2026 #672 - #672"/>
    <n v="14990"/>
    <s v="Pasivo"/>
    <n v="-14990"/>
    <x v="78"/>
  </r>
  <r>
    <n v="2026"/>
    <n v="3"/>
    <s v="10-03-2026"/>
    <n v="8389"/>
    <s v="2116-01"/>
    <n v="50000"/>
    <n v="0"/>
    <s v="Centralización pagos marzo 2026 #769 - #769"/>
    <n v="50000"/>
    <s v="Pasivo"/>
    <n v="-50000"/>
    <x v="78"/>
  </r>
  <r>
    <n v="2026"/>
    <n v="3"/>
    <s v="11-03-2026"/>
    <n v="7375"/>
    <s v="2116-01"/>
    <n v="4007504"/>
    <n v="0"/>
    <s v="0969107309 transf a telxius cable"/>
    <n v="4007504"/>
    <s v="Pasivo"/>
    <n v="-4007504"/>
    <x v="78"/>
  </r>
  <r>
    <n v="2026"/>
    <n v="3"/>
    <s v="11-03-2026"/>
    <n v="7376"/>
    <s v="2116-01"/>
    <n v="1440845"/>
    <n v="0"/>
    <s v="0765672007 transf a tecnologia lk"/>
    <n v="1440845"/>
    <s v="Pasivo"/>
    <n v="-1440845"/>
    <x v="78"/>
  </r>
  <r>
    <n v="2026"/>
    <n v="3"/>
    <s v="11-03-2026"/>
    <n v="7377"/>
    <s v="2116-01"/>
    <n v="751000"/>
    <n v="0"/>
    <s v="0773062668 transf a globalconnect"/>
    <n v="751000"/>
    <s v="Pasivo"/>
    <n v="-751000"/>
    <x v="78"/>
  </r>
  <r>
    <n v="2026"/>
    <n v="3"/>
    <s v="11-03-2026"/>
    <n v="7379"/>
    <s v="2116-01"/>
    <n v="260578"/>
    <n v="0"/>
    <s v="0769921850 transf a central sistem"/>
    <n v="260578"/>
    <s v="Pasivo"/>
    <n v="-260578"/>
    <x v="78"/>
  </r>
  <r>
    <n v="2026"/>
    <n v="3"/>
    <s v="11-03-2026"/>
    <n v="7380"/>
    <s v="2116-01"/>
    <n v="2825"/>
    <n v="0"/>
    <s v="0767689462 transf a voissnet cloud"/>
    <n v="2825"/>
    <s v="Pasivo"/>
    <n v="-2825"/>
    <x v="78"/>
  </r>
  <r>
    <n v="2026"/>
    <n v="3"/>
    <s v="11-03-2026"/>
    <n v="7380"/>
    <s v="2116-01"/>
    <n v="250000"/>
    <n v="0"/>
    <s v="0767689462 transf a voissnet cloud"/>
    <n v="250000"/>
    <s v="Pasivo"/>
    <n v="-250000"/>
    <x v="78"/>
  </r>
  <r>
    <n v="2026"/>
    <n v="3"/>
    <s v="11-03-2026"/>
    <n v="7380"/>
    <s v="2116-01"/>
    <n v="6000"/>
    <n v="0"/>
    <s v="0767689462 transf a voissnet cloud"/>
    <n v="6000"/>
    <s v="Pasivo"/>
    <n v="-6000"/>
    <x v="78"/>
  </r>
  <r>
    <n v="2026"/>
    <n v="3"/>
    <s v="11-03-2026"/>
    <n v="7381"/>
    <s v="2116-01"/>
    <n v="247999"/>
    <n v="0"/>
    <s v="0966693401 transf a tac comunicati"/>
    <n v="247999"/>
    <s v="Pasivo"/>
    <n v="-247999"/>
    <x v="78"/>
  </r>
  <r>
    <n v="2026"/>
    <n v="3"/>
    <s v="11-03-2026"/>
    <n v="7382"/>
    <s v="2116-01"/>
    <n v="240975"/>
    <n v="0"/>
    <s v="0769224815 transf a soluciones grá"/>
    <n v="240975"/>
    <s v="Pasivo"/>
    <n v="-240975"/>
    <x v="78"/>
  </r>
  <r>
    <n v="2026"/>
    <n v="3"/>
    <s v="11-03-2026"/>
    <n v="7383"/>
    <s v="2116-01"/>
    <n v="231777"/>
    <n v="0"/>
    <s v="076691442k transf a buk spa"/>
    <n v="231777"/>
    <s v="Pasivo"/>
    <n v="-231777"/>
    <x v="78"/>
  </r>
  <r>
    <n v="2026"/>
    <n v="3"/>
    <s v="11-03-2026"/>
    <n v="7389"/>
    <s v="2116-01"/>
    <n v="90200"/>
    <n v="0"/>
    <s v="0789512701 transf a regus manageme"/>
    <n v="90200"/>
    <s v="Pasivo"/>
    <n v="-90200"/>
    <x v="78"/>
  </r>
  <r>
    <n v="2026"/>
    <n v="3"/>
    <s v="11-03-2026"/>
    <n v="7393"/>
    <s v="2116-01"/>
    <n v="71078"/>
    <n v="0"/>
    <s v="0779304779 transf a mdd soluciones"/>
    <n v="71078"/>
    <s v="Pasivo"/>
    <n v="-71078"/>
    <x v="78"/>
  </r>
  <r>
    <n v="2026"/>
    <n v="3"/>
    <s v="11-03-2026"/>
    <n v="7396"/>
    <s v="2116-01"/>
    <n v="4102"/>
    <n v="0"/>
    <s v="0995251000 transf a gama leasing o"/>
    <n v="4102"/>
    <s v="Pasivo"/>
    <n v="-4102"/>
    <x v="78"/>
  </r>
  <r>
    <n v="2026"/>
    <n v="3"/>
    <s v="11-03-2026"/>
    <n v="8143"/>
    <s v="2116-01"/>
    <n v="15900"/>
    <n v="0"/>
    <s v="Centralización pagos marzo 2026 #637 - #637"/>
    <n v="15900"/>
    <s v="Pasivo"/>
    <n v="-15900"/>
    <x v="78"/>
  </r>
  <r>
    <n v="2026"/>
    <n v="3"/>
    <s v="11-03-2026"/>
    <n v="8332"/>
    <s v="2116-01"/>
    <n v="15900"/>
    <n v="0"/>
    <s v="Centralización pagos marzo 2026 #748 - #748"/>
    <n v="15900"/>
    <s v="Pasivo"/>
    <n v="-15900"/>
    <x v="78"/>
  </r>
  <r>
    <n v="2026"/>
    <n v="3"/>
    <s v="11-03-2026"/>
    <n v="8391"/>
    <s v="2116-01"/>
    <n v="30500"/>
    <n v="0"/>
    <s v="Centralización pagos marzo 2026 #775 - #775"/>
    <n v="30500"/>
    <s v="Pasivo"/>
    <n v="-30500"/>
    <x v="78"/>
  </r>
  <r>
    <n v="2026"/>
    <n v="3"/>
    <s v="13-03-2026"/>
    <n v="7397"/>
    <s v="2116-01"/>
    <n v="582825"/>
    <n v="0"/>
    <s v="0762565196 transf a inversiones y"/>
    <n v="582825"/>
    <s v="Pasivo"/>
    <n v="-582825"/>
    <x v="78"/>
  </r>
  <r>
    <n v="2026"/>
    <n v="3"/>
    <s v="13-03-2026"/>
    <n v="7398"/>
    <s v="2116-01"/>
    <n v="351398"/>
    <n v="0"/>
    <s v="0773470286 transf a lars spa"/>
    <n v="351398"/>
    <s v="Pasivo"/>
    <n v="-351398"/>
    <x v="78"/>
  </r>
  <r>
    <n v="2026"/>
    <n v="3"/>
    <s v="13-03-2026"/>
    <n v="7400"/>
    <s v="2116-01"/>
    <n v="8100"/>
    <n v="0"/>
    <s v="0065189003 transf a boris osnoviko"/>
    <n v="8100"/>
    <s v="Pasivo"/>
    <n v="-8100"/>
    <x v="78"/>
  </r>
  <r>
    <n v="2026"/>
    <n v="3"/>
    <s v="14-03-2026"/>
    <n v="8327"/>
    <s v="2116-01"/>
    <n v="104720"/>
    <n v="0"/>
    <s v="Centralización pagos marzo 2026 #723 - #723"/>
    <n v="104720"/>
    <s v="Pasivo"/>
    <n v="-104720"/>
    <x v="78"/>
  </r>
  <r>
    <n v="2026"/>
    <n v="3"/>
    <s v="15-03-2026"/>
    <n v="8396"/>
    <s v="2116-01"/>
    <n v="50000"/>
    <n v="0"/>
    <s v="Centralización pagos marzo 2026 #799 - #799"/>
    <n v="50000"/>
    <s v="Pasivo"/>
    <n v="-50000"/>
    <x v="78"/>
  </r>
  <r>
    <n v="2026"/>
    <n v="3"/>
    <s v="16-03-2026"/>
    <n v="7401"/>
    <s v="2116-01"/>
    <n v="500000"/>
    <n v="0"/>
    <s v="0995200007 transf a muevo copec em"/>
    <n v="500000"/>
    <s v="Pasivo"/>
    <n v="-500000"/>
    <x v="78"/>
  </r>
  <r>
    <n v="2026"/>
    <n v="3"/>
    <s v="16-03-2026"/>
    <n v="8393"/>
    <s v="2116-01"/>
    <n v="46400"/>
    <n v="0"/>
    <s v="Centralización pagos marzo 2026 #783 - #783"/>
    <n v="46400"/>
    <s v="Pasivo"/>
    <n v="-46400"/>
    <x v="78"/>
  </r>
  <r>
    <n v="2026"/>
    <n v="3"/>
    <s v="17-03-2026"/>
    <n v="7402"/>
    <s v="2116-01"/>
    <n v="1000000"/>
    <n v="0"/>
    <s v="0166615135 transf a andaur romero"/>
    <n v="1000000"/>
    <s v="Pasivo"/>
    <n v="-1000000"/>
    <x v="78"/>
  </r>
  <r>
    <n v="2026"/>
    <n v="3"/>
    <s v="17-03-2026"/>
    <n v="7403"/>
    <s v="2116-01"/>
    <n v="1000000"/>
    <n v="0"/>
    <s v="0166615135 transf a robert andaur"/>
    <n v="1000000"/>
    <s v="Pasivo"/>
    <n v="-1000000"/>
    <x v="78"/>
  </r>
  <r>
    <n v="2026"/>
    <n v="3"/>
    <s v="17-03-2026"/>
    <n v="7404"/>
    <s v="2116-01"/>
    <n v="856000"/>
    <n v="0"/>
    <s v="0166615135 transf a robert alexis"/>
    <n v="856000"/>
    <s v="Pasivo"/>
    <n v="-856000"/>
    <x v="78"/>
  </r>
  <r>
    <n v="2026"/>
    <n v="3"/>
    <s v="17-03-2026"/>
    <n v="7405"/>
    <s v="2116-01"/>
    <n v="42000"/>
    <n v="0"/>
    <s v="Pago en linea voissnet cloud servi"/>
    <n v="42000"/>
    <s v="Pasivo"/>
    <n v="-42000"/>
    <x v="78"/>
  </r>
  <r>
    <n v="2026"/>
    <n v="3"/>
    <s v="17-03-2026"/>
    <n v="7407"/>
    <s v="2116-01"/>
    <n v="25990"/>
    <n v="0"/>
    <s v="Compra hiper penaflor ba"/>
    <n v="25990"/>
    <s v="Pasivo"/>
    <n v="-25990"/>
    <x v="78"/>
  </r>
  <r>
    <n v="2026"/>
    <n v="3"/>
    <s v="18-03-2026"/>
    <n v="7409"/>
    <s v="2116-01"/>
    <n v="807409"/>
    <n v="0"/>
    <s v="0789534705 transf a ups de chile l"/>
    <n v="807409"/>
    <s v="Pasivo"/>
    <n v="-807409"/>
    <x v="78"/>
  </r>
  <r>
    <n v="2026"/>
    <n v="3"/>
    <s v="18-03-2026"/>
    <n v="7410"/>
    <s v="2116-01"/>
    <n v="117659"/>
    <n v="0"/>
    <s v="Pago en linea servipag"/>
    <n v="117659"/>
    <s v="Pasivo"/>
    <n v="-117659"/>
    <x v="78"/>
  </r>
  <r>
    <n v="2026"/>
    <n v="3"/>
    <s v="18-03-2026"/>
    <n v="7412"/>
    <s v="2116-01"/>
    <n v="85000"/>
    <n v="0"/>
    <s v="Pago en linea voissnet cloud servi"/>
    <n v="85000"/>
    <s v="Pasivo"/>
    <n v="-85000"/>
    <x v="78"/>
  </r>
  <r>
    <n v="2026"/>
    <n v="3"/>
    <s v="18-03-2026"/>
    <n v="7413"/>
    <s v="2116-01"/>
    <n v="80000"/>
    <n v="0"/>
    <s v="Pago en linea voissnet cloud servi"/>
    <n v="80000"/>
    <s v="Pasivo"/>
    <n v="-80000"/>
    <x v="78"/>
  </r>
  <r>
    <n v="2026"/>
    <n v="3"/>
    <s v="18-03-2026"/>
    <n v="7414"/>
    <s v="2116-01"/>
    <n v="65000"/>
    <n v="0"/>
    <s v="Pago en linea voissnet cloud servi"/>
    <n v="65000"/>
    <s v="Pasivo"/>
    <n v="-65000"/>
    <x v="78"/>
  </r>
  <r>
    <n v="2026"/>
    <n v="3"/>
    <s v="18-03-2026"/>
    <n v="7415"/>
    <s v="2116-01"/>
    <n v="44000"/>
    <n v="0"/>
    <s v="Pago en linea voissnet cloud servi"/>
    <n v="44000"/>
    <s v="Pasivo"/>
    <n v="-44000"/>
    <x v="78"/>
  </r>
  <r>
    <n v="2026"/>
    <n v="3"/>
    <s v="18-03-2026"/>
    <n v="7416"/>
    <s v="2116-01"/>
    <n v="42000"/>
    <n v="0"/>
    <s v="Pago en linea voissnet cloud servi"/>
    <n v="42000"/>
    <s v="Pasivo"/>
    <n v="-42000"/>
    <x v="78"/>
  </r>
  <r>
    <n v="2026"/>
    <n v="3"/>
    <s v="18-03-2026"/>
    <n v="7417"/>
    <s v="2116-01"/>
    <n v="42000"/>
    <n v="0"/>
    <s v="Pago en linea voissnet cloud servi"/>
    <n v="42000"/>
    <s v="Pasivo"/>
    <n v="-42000"/>
    <x v="78"/>
  </r>
  <r>
    <n v="2026"/>
    <n v="3"/>
    <s v="18-03-2026"/>
    <n v="7418"/>
    <s v="2116-01"/>
    <n v="42000"/>
    <n v="0"/>
    <s v="Pago en linea voissnet cloud servi"/>
    <n v="42000"/>
    <s v="Pasivo"/>
    <n v="-42000"/>
    <x v="78"/>
  </r>
  <r>
    <n v="2026"/>
    <n v="3"/>
    <s v="18-03-2026"/>
    <n v="7419"/>
    <s v="2116-01"/>
    <n v="42000"/>
    <n v="0"/>
    <s v="Pago en linea voissnet cloud servi"/>
    <n v="42000"/>
    <s v="Pasivo"/>
    <n v="-42000"/>
    <x v="78"/>
  </r>
  <r>
    <n v="2026"/>
    <n v="3"/>
    <s v="18-03-2026"/>
    <n v="7420"/>
    <s v="2116-01"/>
    <n v="42000"/>
    <n v="0"/>
    <s v="Pago en linea voissnet cloud servi"/>
    <n v="42000"/>
    <s v="Pasivo"/>
    <n v="-42000"/>
    <x v="78"/>
  </r>
  <r>
    <n v="2026"/>
    <n v="3"/>
    <s v="18-03-2026"/>
    <n v="7421"/>
    <s v="2116-01"/>
    <n v="42000"/>
    <n v="0"/>
    <s v="Pago en linea voissnet cloud servi"/>
    <n v="42000"/>
    <s v="Pasivo"/>
    <n v="-42000"/>
    <x v="78"/>
  </r>
  <r>
    <n v="2026"/>
    <n v="3"/>
    <s v="18-03-2026"/>
    <n v="7422"/>
    <s v="2116-01"/>
    <n v="42000"/>
    <n v="0"/>
    <s v="Pago en linea voissnet cloud servi"/>
    <n v="42000"/>
    <s v="Pasivo"/>
    <n v="-42000"/>
    <x v="78"/>
  </r>
  <r>
    <n v="2026"/>
    <n v="3"/>
    <s v="18-03-2026"/>
    <n v="7423"/>
    <s v="2116-01"/>
    <n v="42000"/>
    <n v="0"/>
    <s v="Pago en linea voissnet cloud servi"/>
    <n v="42000"/>
    <s v="Pasivo"/>
    <n v="-42000"/>
    <x v="78"/>
  </r>
  <r>
    <n v="2026"/>
    <n v="3"/>
    <s v="18-03-2026"/>
    <n v="8330"/>
    <s v="2116-01"/>
    <n v="43360"/>
    <n v="0"/>
    <s v="Centralización pagos marzo 2026 #738 - #738"/>
    <n v="43360"/>
    <s v="Pasivo"/>
    <n v="-43360"/>
    <x v="78"/>
  </r>
  <r>
    <n v="2026"/>
    <n v="3"/>
    <s v="19-03-2026"/>
    <n v="7424"/>
    <s v="2116-01"/>
    <n v="500000"/>
    <n v="0"/>
    <s v="0995200007 transf a muevo copec em"/>
    <n v="500000"/>
    <s v="Pasivo"/>
    <n v="-500000"/>
    <x v="78"/>
  </r>
  <r>
    <n v="2026"/>
    <n v="3"/>
    <s v="19-03-2026"/>
    <n v="8147"/>
    <s v="2116-01"/>
    <n v="2617250"/>
    <n v="0"/>
    <s v="Centralización pagos marzo 2026 #641 - #641"/>
    <n v="2617250"/>
    <s v="Pasivo"/>
    <n v="-2617250"/>
    <x v="78"/>
  </r>
  <r>
    <n v="2026"/>
    <n v="3"/>
    <s v="20-03-2026"/>
    <n v="7425"/>
    <s v="2116-01"/>
    <n v="1351397"/>
    <n v="0"/>
    <s v="0773470286 transf a lars spa"/>
    <n v="1351397"/>
    <s v="Pasivo"/>
    <n v="-1351397"/>
    <x v="78"/>
  </r>
  <r>
    <n v="2026"/>
    <n v="3"/>
    <s v="20-03-2026"/>
    <n v="7426"/>
    <s v="2116-01"/>
    <n v="1178100"/>
    <n v="0"/>
    <s v="0133423583 transf a hector vivanco"/>
    <n v="1178100"/>
    <s v="Pasivo"/>
    <n v="-1178100"/>
    <x v="78"/>
  </r>
  <r>
    <n v="2026"/>
    <n v="3"/>
    <s v="20-03-2026"/>
    <n v="7427"/>
    <s v="2116-01"/>
    <n v="1010729"/>
    <n v="0"/>
    <s v="0765672007 transf a tecnologia lk"/>
    <n v="1010729"/>
    <s v="Pasivo"/>
    <n v="-1010729"/>
    <x v="78"/>
  </r>
  <r>
    <n v="2026"/>
    <n v="3"/>
    <s v="20-03-2026"/>
    <n v="7428"/>
    <s v="2116-01"/>
    <n v="733199"/>
    <n v="0"/>
    <s v="0769655271 transf a enertik chile"/>
    <n v="733199"/>
    <s v="Pasivo"/>
    <n v="-733199"/>
    <x v="78"/>
  </r>
  <r>
    <n v="2026"/>
    <n v="3"/>
    <s v="20-03-2026"/>
    <n v="7430"/>
    <s v="2116-01"/>
    <n v="584338"/>
    <n v="0"/>
    <s v="0765672007 transf a tecnologia lk"/>
    <n v="584338"/>
    <s v="Pasivo"/>
    <n v="-584338"/>
    <x v="78"/>
  </r>
  <r>
    <n v="2026"/>
    <n v="3"/>
    <s v="20-03-2026"/>
    <n v="7431"/>
    <s v="2116-01"/>
    <n v="416500"/>
    <n v="0"/>
    <s v="0766038824 transf a helle raven"/>
    <n v="416500"/>
    <s v="Pasivo"/>
    <n v="-416500"/>
    <x v="78"/>
  </r>
  <r>
    <n v="2026"/>
    <n v="3"/>
    <s v="20-03-2026"/>
    <n v="7432"/>
    <s v="2116-01"/>
    <n v="261800"/>
    <n v="0"/>
    <s v="0112262318 transf a erika del carm"/>
    <n v="261800"/>
    <s v="Pasivo"/>
    <n v="-261800"/>
    <x v="78"/>
  </r>
  <r>
    <n v="2026"/>
    <n v="3"/>
    <s v="20-03-2026"/>
    <n v="7435"/>
    <s v="2116-01"/>
    <n v="94500"/>
    <n v="0"/>
    <s v="0769657371 transf a sociedad emiso"/>
    <n v="94500"/>
    <s v="Pasivo"/>
    <n v="-94500"/>
    <x v="78"/>
  </r>
  <r>
    <n v="2026"/>
    <n v="3"/>
    <s v="20-03-2026"/>
    <n v="7437"/>
    <s v="2116-01"/>
    <n v="42840"/>
    <n v="0"/>
    <s v="0112262318 transf a erika del carm"/>
    <n v="42840"/>
    <s v="Pasivo"/>
    <n v="-42840"/>
    <x v="78"/>
  </r>
  <r>
    <n v="2026"/>
    <n v="3"/>
    <s v="20-03-2026"/>
    <n v="8141"/>
    <s v="2116-01"/>
    <n v="16431"/>
    <n v="0"/>
    <s v="Centralización pagos marzo 2026 #628 - #628"/>
    <n v="16431"/>
    <s v="Pasivo"/>
    <n v="-16431"/>
    <x v="78"/>
  </r>
  <r>
    <n v="2026"/>
    <n v="3"/>
    <s v="20-03-2026"/>
    <n v="8144"/>
    <s v="2116-01"/>
    <n v="14260"/>
    <n v="0"/>
    <s v="Centralización pagos marzo 2026 #638 - #638"/>
    <n v="14260"/>
    <s v="Pasivo"/>
    <n v="-14260"/>
    <x v="78"/>
  </r>
  <r>
    <n v="2026"/>
    <n v="3"/>
    <s v="20-03-2026"/>
    <n v="8296"/>
    <s v="2116-01"/>
    <n v="1500"/>
    <n v="0"/>
    <s v="Centralización pagos marzo 2026 #691 - #691"/>
    <n v="1500"/>
    <s v="Pasivo"/>
    <n v="-1500"/>
    <x v="78"/>
  </r>
  <r>
    <n v="2026"/>
    <n v="3"/>
    <s v="21-03-2026"/>
    <n v="8333"/>
    <s v="2116-01"/>
    <n v="30770"/>
    <n v="0"/>
    <s v="Centralización pagos marzo 2026 #752 - #752"/>
    <n v="30770"/>
    <s v="Pasivo"/>
    <n v="-30770"/>
    <x v="78"/>
  </r>
  <r>
    <n v="2026"/>
    <n v="3"/>
    <s v="21-03-2026"/>
    <n v="8399"/>
    <s v="2116-01"/>
    <n v="15900"/>
    <n v="0"/>
    <s v="Centralización pagos marzo 2026 #811 - #811"/>
    <n v="15900"/>
    <s v="Pasivo"/>
    <n v="-15900"/>
    <x v="78"/>
  </r>
  <r>
    <n v="2026"/>
    <n v="3"/>
    <s v="23-03-2026"/>
    <n v="7439"/>
    <s v="2116-01"/>
    <n v="1341219"/>
    <n v="0"/>
    <s v="0966693401 transf a tac comunicati"/>
    <n v="1341219"/>
    <s v="Pasivo"/>
    <n v="-1341219"/>
    <x v="78"/>
  </r>
  <r>
    <n v="2026"/>
    <n v="3"/>
    <s v="23-03-2026"/>
    <n v="7440"/>
    <s v="2116-01"/>
    <n v="1094800"/>
    <n v="0"/>
    <s v="0966693401 transf a tac comunicati"/>
    <n v="1094800"/>
    <s v="Pasivo"/>
    <n v="-1094800"/>
    <x v="78"/>
  </r>
  <r>
    <n v="2026"/>
    <n v="3"/>
    <s v="23-03-2026"/>
    <n v="7444"/>
    <s v="2116-01"/>
    <n v="57120"/>
    <n v="0"/>
    <s v="0764962230 transf a master glass l"/>
    <n v="57120"/>
    <s v="Pasivo"/>
    <n v="-57120"/>
    <x v="78"/>
  </r>
  <r>
    <n v="2026"/>
    <n v="3"/>
    <s v="23-03-2026"/>
    <n v="7471"/>
    <s v="2116-01"/>
    <n v="668177"/>
    <n v="0"/>
    <s v="15392 khipu ri5owlyx"/>
    <n v="668177"/>
    <s v="Pasivo"/>
    <n v="-668177"/>
    <x v="78"/>
  </r>
  <r>
    <n v="2026"/>
    <n v="3"/>
    <s v="23-03-2026"/>
    <n v="7472"/>
    <s v="2116-01"/>
    <n v="39841"/>
    <n v="0"/>
    <s v="Garantia licitacion"/>
    <n v="39841"/>
    <s v="Pasivo"/>
    <n v="-39841"/>
    <x v="78"/>
  </r>
  <r>
    <n v="2026"/>
    <n v="3"/>
    <s v="23-03-2026"/>
    <n v="7473"/>
    <s v="2116-01"/>
    <n v="17850"/>
    <n v="0"/>
    <s v="Transferencia a hostednode s"/>
    <n v="17850"/>
    <s v="Pasivo"/>
    <n v="-17850"/>
    <x v="78"/>
  </r>
  <r>
    <n v="2026"/>
    <n v="3"/>
    <s v="23-03-2026"/>
    <n v="7474"/>
    <s v="2116-01"/>
    <n v="78051"/>
    <n v="0"/>
    <s v="Remesa transf extranjero web"/>
    <n v="78051"/>
    <s v="Pasivo"/>
    <n v="-78051"/>
    <x v="78"/>
  </r>
  <r>
    <n v="2026"/>
    <n v="3"/>
    <s v="23-03-2026"/>
    <n v="8390"/>
    <s v="2116-01"/>
    <n v="43360"/>
    <n v="0"/>
    <s v="Centralización pagos marzo 2026 #773 - #773"/>
    <n v="43360"/>
    <s v="Pasivo"/>
    <n v="-43360"/>
    <x v="78"/>
  </r>
  <r>
    <n v="2026"/>
    <n v="3"/>
    <s v="24-03-2026"/>
    <n v="7445"/>
    <s v="2116-01"/>
    <n v="690200"/>
    <n v="0"/>
    <s v="0774546138 transf a optictimes spa"/>
    <n v="690200"/>
    <s v="Pasivo"/>
    <n v="-690200"/>
    <x v="78"/>
  </r>
  <r>
    <n v="2026"/>
    <n v="3"/>
    <s v="24-03-2026"/>
    <n v="7446"/>
    <s v="2116-01"/>
    <n v="400000"/>
    <n v="0"/>
    <s v="0995200007 transf a muevo copec em"/>
    <n v="400000"/>
    <s v="Pasivo"/>
    <n v="-400000"/>
    <x v="78"/>
  </r>
  <r>
    <n v="2026"/>
    <n v="3"/>
    <s v="24-03-2026"/>
    <n v="8326"/>
    <s v="2116-01"/>
    <n v="120000"/>
    <n v="0"/>
    <s v="Centralización pagos marzo 2026 #722 - #722"/>
    <n v="120000"/>
    <s v="Pasivo"/>
    <n v="-120000"/>
    <x v="78"/>
  </r>
  <r>
    <n v="2026"/>
    <n v="3"/>
    <s v="25-03-2026"/>
    <n v="7447"/>
    <s v="2116-01"/>
    <n v="4819500"/>
    <n v="0"/>
    <s v="0966693401 transf a tac comunicati"/>
    <n v="4819500"/>
    <s v="Pasivo"/>
    <n v="-4819500"/>
    <x v="78"/>
  </r>
  <r>
    <n v="2026"/>
    <n v="3"/>
    <s v="25-03-2026"/>
    <n v="7448"/>
    <s v="2116-01"/>
    <n v="169654"/>
    <n v="0"/>
    <s v="0769818758 transf a contempora com"/>
    <n v="169654"/>
    <s v="Pasivo"/>
    <n v="-169654"/>
    <x v="78"/>
  </r>
  <r>
    <n v="2026"/>
    <n v="3"/>
    <s v="25-03-2026"/>
    <n v="8328"/>
    <s v="2116-01"/>
    <n v="71162"/>
    <n v="0"/>
    <s v="Centralización pagos marzo 2026 #728 - #728"/>
    <n v="71162"/>
    <s v="Pasivo"/>
    <n v="-71162"/>
    <x v="78"/>
  </r>
  <r>
    <n v="2026"/>
    <n v="3"/>
    <s v="26-03-2026"/>
    <n v="8148"/>
    <s v="2116-01"/>
    <n v="35857"/>
    <n v="0"/>
    <s v="Centralización pagos marzo 2026 #646 - #646"/>
    <n v="35857"/>
    <s v="Pasivo"/>
    <n v="-35857"/>
    <x v="78"/>
  </r>
  <r>
    <n v="2026"/>
    <n v="3"/>
    <s v="26-03-2026"/>
    <n v="8394"/>
    <s v="2116-01"/>
    <n v="30770"/>
    <n v="0"/>
    <s v="Centralización pagos marzo 2026 #787 - #787"/>
    <n v="30770"/>
    <s v="Pasivo"/>
    <n v="-30770"/>
    <x v="78"/>
  </r>
  <r>
    <n v="2026"/>
    <n v="3"/>
    <s v="27-03-2026"/>
    <n v="7451"/>
    <s v="2116-01"/>
    <n v="2000000"/>
    <n v="0"/>
    <s v="0133423583 transf a hector vivanco"/>
    <n v="2000000"/>
    <s v="Pasivo"/>
    <n v="-2000000"/>
    <x v="78"/>
  </r>
  <r>
    <n v="2026"/>
    <n v="3"/>
    <s v="27-03-2026"/>
    <n v="7452"/>
    <s v="2116-01"/>
    <n v="1939700"/>
    <n v="0"/>
    <s v="0775321636 transf a hayex tecnolog"/>
    <n v="1939700"/>
    <s v="Pasivo"/>
    <n v="-1939700"/>
    <x v="78"/>
  </r>
  <r>
    <n v="2026"/>
    <n v="3"/>
    <s v="27-03-2026"/>
    <n v="7453"/>
    <s v="2116-01"/>
    <n v="1927000"/>
    <n v="0"/>
    <s v="0133423583 transf a hector vivanco"/>
    <n v="1927000"/>
    <s v="Pasivo"/>
    <n v="-1927000"/>
    <x v="78"/>
  </r>
  <r>
    <n v="2026"/>
    <n v="3"/>
    <s v="27-03-2026"/>
    <n v="7454"/>
    <s v="2116-01"/>
    <n v="1544125"/>
    <n v="0"/>
    <s v="0770782546 transf a cogent communi"/>
    <n v="1544125"/>
    <s v="Pasivo"/>
    <n v="-1544125"/>
    <x v="78"/>
  </r>
  <r>
    <n v="2026"/>
    <n v="3"/>
    <s v="27-03-2026"/>
    <n v="7455"/>
    <s v="2116-01"/>
    <n v="1094800"/>
    <n v="0"/>
    <s v="0966693401 transf a tac comunicati"/>
    <n v="1094800"/>
    <s v="Pasivo"/>
    <n v="-1094800"/>
    <x v="78"/>
  </r>
  <r>
    <n v="2026"/>
    <n v="3"/>
    <s v="27-03-2026"/>
    <n v="7456"/>
    <s v="2116-01"/>
    <n v="300000"/>
    <n v="0"/>
    <s v="0995200007 transf a muevo copec em"/>
    <n v="300000"/>
    <s v="Pasivo"/>
    <n v="-300000"/>
    <x v="78"/>
  </r>
  <r>
    <n v="2026"/>
    <n v="3"/>
    <s v="27-03-2026"/>
    <n v="7458"/>
    <s v="2116-01"/>
    <n v="5738"/>
    <n v="0"/>
    <s v="Com.mantencion plan"/>
    <n v="5738"/>
    <s v="Pasivo"/>
    <n v="-5738"/>
    <x v="78"/>
  </r>
  <r>
    <n v="2026"/>
    <n v="3"/>
    <s v="27-03-2026"/>
    <n v="7458"/>
    <s v="2116-01"/>
    <n v="17739"/>
    <n v="0"/>
    <s v="Com.mantencion plan"/>
    <n v="17739"/>
    <s v="Pasivo"/>
    <n v="-17739"/>
    <x v="78"/>
  </r>
  <r>
    <n v="2026"/>
    <n v="3"/>
    <s v="28-03-2026"/>
    <n v="8397"/>
    <s v="2116-01"/>
    <n v="43360"/>
    <n v="0"/>
    <s v="Centralización pagos marzo 2026 #803 - #803"/>
    <n v="43360"/>
    <s v="Pasivo"/>
    <n v="-43360"/>
    <x v="78"/>
  </r>
  <r>
    <n v="2026"/>
    <n v="3"/>
    <s v="29-03-2026"/>
    <n v="8386"/>
    <s v="2116-01"/>
    <n v="120000"/>
    <n v="0"/>
    <s v="Centralización pagos marzo 2026 #757 - #757"/>
    <n v="120000"/>
    <s v="Pasivo"/>
    <n v="-120000"/>
    <x v="78"/>
  </r>
  <r>
    <n v="2026"/>
    <n v="3"/>
    <s v="30-03-2026"/>
    <n v="7461"/>
    <s v="2116-01"/>
    <n v="582825"/>
    <n v="0"/>
    <s v="0762565196 transf a inversiones y"/>
    <n v="582825"/>
    <s v="Pasivo"/>
    <n v="-582825"/>
    <x v="78"/>
  </r>
  <r>
    <n v="2026"/>
    <n v="3"/>
    <s v="30-03-2026"/>
    <n v="8142"/>
    <s v="2116-01"/>
    <n v="10000"/>
    <n v="0"/>
    <s v="Centralización pagos marzo 2026 #636 - #636"/>
    <n v="10000"/>
    <s v="Pasivo"/>
    <n v="-10000"/>
    <x v="78"/>
  </r>
  <r>
    <n v="2026"/>
    <n v="3"/>
    <s v="30-03-2026"/>
    <n v="8297"/>
    <s v="2116-01"/>
    <n v="19840"/>
    <n v="0"/>
    <s v="Centralización pagos marzo 2026 #695 - #695"/>
    <n v="19840"/>
    <s v="Pasivo"/>
    <n v="-19840"/>
    <x v="78"/>
  </r>
  <r>
    <n v="2026"/>
    <n v="3"/>
    <s v="30-03-2026"/>
    <n v="8387"/>
    <s v="2116-01"/>
    <n v="71162"/>
    <n v="0"/>
    <s v="Centralización pagos marzo 2026 #762 - #762"/>
    <n v="71162"/>
    <s v="Pasivo"/>
    <n v="-71162"/>
    <x v="78"/>
  </r>
  <r>
    <n v="2026"/>
    <n v="3"/>
    <s v="31-03-2026"/>
    <n v="7479"/>
    <s v="2116-01"/>
    <n v="6817"/>
    <n v="0"/>
    <s v="Centralización pagos marzo 2026"/>
    <n v="6817"/>
    <s v="Pasivo"/>
    <n v="-6817"/>
    <x v="78"/>
  </r>
  <r>
    <n v="2026"/>
    <n v="3"/>
    <s v="31-03-2026"/>
    <n v="8139"/>
    <s v="2116-01"/>
    <n v="170534"/>
    <n v="0"/>
    <s v="Centralización pagos marzo 2026 #620 - #620"/>
    <n v="170534"/>
    <s v="Pasivo"/>
    <n v="-170534"/>
    <x v="78"/>
  </r>
  <r>
    <n v="2026"/>
    <n v="3"/>
    <s v="31-03-2026"/>
    <n v="8178"/>
    <s v="2116-01"/>
    <n v="4171267"/>
    <n v="0"/>
    <s v="Centralización pagos marzo 2026"/>
    <n v="4171267"/>
    <s v="Pasivo"/>
    <n v="-4171267"/>
    <x v="78"/>
  </r>
  <r>
    <n v="2026"/>
    <n v="3"/>
    <s v="31-03-2026"/>
    <n v="10743"/>
    <s v="2116-01"/>
    <n v="0"/>
    <n v="3213038"/>
    <s v="Centralización compras marzo 2026 - valor total"/>
    <n v="-3213038"/>
    <s v="Pasivo"/>
    <n v="3213038"/>
    <x v="78"/>
  </r>
  <r>
    <n v="2026"/>
    <n v="3"/>
    <s v="31-03-2026"/>
    <n v="10748"/>
    <s v="2116-01"/>
    <n v="157016"/>
    <n v="0"/>
    <s v="Chipax"/>
    <n v="157016"/>
    <s v="Pasivo"/>
    <n v="-157016"/>
    <x v="78"/>
  </r>
  <r>
    <n v="2026"/>
    <n v="3"/>
    <s v="31-03-2026"/>
    <n v="10748"/>
    <s v="2116-01"/>
    <n v="242626"/>
    <n v="0"/>
    <s v="Webpay eparis"/>
    <n v="242626"/>
    <s v="Pasivo"/>
    <n v="-242626"/>
    <x v="78"/>
  </r>
  <r>
    <n v="2026"/>
    <n v="3"/>
    <s v="31-03-2026"/>
    <n v="10748"/>
    <s v="2116-01"/>
    <n v="340000"/>
    <n v="0"/>
    <s v="Broders"/>
    <n v="340000"/>
    <s v="Pasivo"/>
    <n v="-340000"/>
    <x v="78"/>
  </r>
  <r>
    <n v="2026"/>
    <n v="3"/>
    <s v="31-03-2026"/>
    <n v="10749"/>
    <s v="2116-01"/>
    <n v="115922"/>
    <n v="0"/>
    <s v="Paris mall plaza vespu"/>
    <n v="115922"/>
    <s v="Pasivo"/>
    <n v="-115922"/>
    <x v="78"/>
  </r>
  <r>
    <n v="2026"/>
    <n v="3"/>
    <s v="31-03-2026"/>
    <n v="10749"/>
    <s v="2116-01"/>
    <n v="207835"/>
    <n v="0"/>
    <s v="Intcomex chile quilicu"/>
    <n v="207835"/>
    <s v="Pasivo"/>
    <n v="-207835"/>
    <x v="78"/>
  </r>
  <r>
    <n v="2026"/>
    <n v="3"/>
    <s v="31-03-2026"/>
    <n v="10750"/>
    <s v="2116-01"/>
    <n v="389970"/>
    <n v="0"/>
    <s v="Dp falabella.com"/>
    <n v="389970"/>
    <s v="Pasivo"/>
    <n v="-389970"/>
    <x v="78"/>
  </r>
  <r>
    <n v="2026"/>
    <n v="3"/>
    <s v="31-03-2026"/>
    <n v="10750"/>
    <s v="2116-01"/>
    <n v="38862"/>
    <n v="0"/>
    <s v="Twilio sendgrid"/>
    <n v="38862"/>
    <s v="Pasivo"/>
    <n v="-38862"/>
    <x v="78"/>
  </r>
  <r>
    <n v="2026"/>
    <n v="3"/>
    <s v="31-03-2026"/>
    <n v="10750"/>
    <s v="2116-01"/>
    <n v="193115"/>
    <n v="0"/>
    <s v="Segur. falabella co"/>
    <n v="193115"/>
    <s v="Pasivo"/>
    <n v="-193115"/>
    <x v="78"/>
  </r>
  <r>
    <n v="2026"/>
    <n v="3"/>
    <s v="31-03-2026"/>
    <n v="10750"/>
    <s v="2116-01"/>
    <n v="374000"/>
    <n v="0"/>
    <s v="Dlstarlink"/>
    <n v="374000"/>
    <s v="Pasivo"/>
    <n v="-374000"/>
    <x v="78"/>
  </r>
  <r>
    <n v="2026"/>
    <n v="3"/>
    <s v="31-03-2026"/>
    <n v="10750"/>
    <s v="2116-01"/>
    <n v="143020"/>
    <n v="0"/>
    <s v="Toku nubox payments"/>
    <n v="143020"/>
    <s v="Pasivo"/>
    <n v="-143020"/>
    <x v="78"/>
  </r>
  <r>
    <n v="2026"/>
    <n v="3"/>
    <s v="31-03-2026"/>
    <n v="10750"/>
    <s v="2116-01"/>
    <n v="233000"/>
    <n v="0"/>
    <s v="Dlstarlink"/>
    <n v="233000"/>
    <s v="Pasivo"/>
    <n v="-233000"/>
    <x v="78"/>
  </r>
  <r>
    <n v="2026"/>
    <n v="3"/>
    <s v="31-03-2026"/>
    <n v="10753"/>
    <s v="2116-01"/>
    <n v="138917"/>
    <n v="0"/>
    <s v="Centralización compras marzo 2026 - valor total"/>
    <n v="138917"/>
    <s v="Pasivo"/>
    <n v="-138917"/>
    <x v="78"/>
  </r>
  <r>
    <n v="2026"/>
    <n v="3"/>
    <s v="31-03-2026"/>
    <n v="10753"/>
    <s v="2116-01"/>
    <n v="0"/>
    <n v="184164983"/>
    <s v="Centralización compras marzo 2026 - valor total"/>
    <n v="-184164983"/>
    <s v="Pasivo"/>
    <n v="184164983"/>
    <x v="78"/>
  </r>
  <r>
    <n v="2026"/>
    <n v="4"/>
    <s v="01-04-2026"/>
    <n v="7484"/>
    <s v="2116-01"/>
    <n v="300000"/>
    <n v="0"/>
    <s v="0995200007 transf a muevo copec em"/>
    <n v="300000"/>
    <s v="Pasivo"/>
    <n v="-300000"/>
    <x v="78"/>
  </r>
  <r>
    <n v="2026"/>
    <n v="4"/>
    <s v="02-04-2026"/>
    <n v="7492"/>
    <s v="2116-01"/>
    <n v="2272517"/>
    <n v="0"/>
    <s v="0969128608 transf a silica network"/>
    <n v="2272517"/>
    <s v="Pasivo"/>
    <n v="-2272517"/>
    <x v="78"/>
  </r>
  <r>
    <n v="2026"/>
    <n v="4"/>
    <s v="02-04-2026"/>
    <n v="7493"/>
    <s v="2116-01"/>
    <n v="2127161"/>
    <n v="0"/>
    <s v="0966693401 transf a tac comunicati"/>
    <n v="2127161"/>
    <s v="Pasivo"/>
    <n v="-2127161"/>
    <x v="78"/>
  </r>
  <r>
    <n v="2026"/>
    <n v="4"/>
    <s v="02-04-2026"/>
    <n v="7494"/>
    <s v="2116-01"/>
    <n v="1105510"/>
    <n v="0"/>
    <s v="0761831402 transf a comercial lago"/>
    <n v="1105510"/>
    <s v="Pasivo"/>
    <n v="-1105510"/>
    <x v="78"/>
  </r>
  <r>
    <n v="2026"/>
    <n v="4"/>
    <s v="02-04-2026"/>
    <n v="7495"/>
    <s v="2116-01"/>
    <n v="535500"/>
    <n v="0"/>
    <s v="0782238159 transf a luxconnect spa"/>
    <n v="535500"/>
    <s v="Pasivo"/>
    <n v="-535500"/>
    <x v="78"/>
  </r>
  <r>
    <n v="2026"/>
    <n v="4"/>
    <s v="02-04-2026"/>
    <n v="7496"/>
    <s v="2116-01"/>
    <n v="513844"/>
    <n v="0"/>
    <s v="0765672007 transf a tecnologia lk"/>
    <n v="513844"/>
    <s v="Pasivo"/>
    <n v="-513844"/>
    <x v="78"/>
  </r>
  <r>
    <n v="2026"/>
    <n v="4"/>
    <s v="02-04-2026"/>
    <n v="7497"/>
    <s v="2116-01"/>
    <n v="500000"/>
    <n v="0"/>
    <s v="0995200007 transf a muevo copec em"/>
    <n v="500000"/>
    <s v="Pasivo"/>
    <n v="-500000"/>
    <x v="78"/>
  </r>
  <r>
    <n v="2026"/>
    <n v="4"/>
    <s v="03-04-2026"/>
    <n v="8407"/>
    <s v="2116-01"/>
    <n v="120000"/>
    <n v="0"/>
    <s v="Centralización pagos abril 2026 #788 - #788"/>
    <n v="120000"/>
    <s v="Pasivo"/>
    <n v="-120000"/>
    <x v="78"/>
  </r>
  <r>
    <n v="2026"/>
    <n v="4"/>
    <s v="04-04-2026"/>
    <n v="8408"/>
    <s v="2116-01"/>
    <n v="71162"/>
    <n v="0"/>
    <s v="Centralización pagos abril 2026 #793 - #793"/>
    <n v="71162"/>
    <s v="Pasivo"/>
    <n v="-71162"/>
    <x v="78"/>
  </r>
  <r>
    <n v="2026"/>
    <n v="4"/>
    <s v="05-04-2026"/>
    <n v="8156"/>
    <s v="2116-01"/>
    <n v="2034485"/>
    <n v="0"/>
    <s v="Centralización pagos abril 2026 #675 - #675"/>
    <n v="2034485"/>
    <s v="Pasivo"/>
    <n v="-2034485"/>
    <x v="78"/>
  </r>
  <r>
    <n v="2026"/>
    <n v="4"/>
    <s v="05-04-2026"/>
    <n v="8299"/>
    <s v="2116-01"/>
    <n v="69000"/>
    <n v="0"/>
    <s v="Centralización pagos abril 2026 #685 - #685"/>
    <n v="69000"/>
    <s v="Pasivo"/>
    <n v="-69000"/>
    <x v="78"/>
  </r>
  <r>
    <n v="2026"/>
    <n v="4"/>
    <s v="05-04-2026"/>
    <n v="8334"/>
    <s v="2116-01"/>
    <n v="50000"/>
    <n v="0"/>
    <s v="Centralización pagos abril 2026 #712 - #712"/>
    <n v="50000"/>
    <s v="Pasivo"/>
    <n v="-50000"/>
    <x v="78"/>
  </r>
  <r>
    <n v="2026"/>
    <n v="4"/>
    <s v="06-04-2026"/>
    <n v="7689"/>
    <s v="2116-01"/>
    <n v="7570"/>
    <n v="0"/>
    <s v="Centralización pagos abril 2026 #583 - #583"/>
    <n v="7570"/>
    <s v="Pasivo"/>
    <n v="-7570"/>
    <x v="78"/>
  </r>
  <r>
    <n v="2026"/>
    <n v="4"/>
    <s v="06-04-2026"/>
    <n v="7690"/>
    <s v="2116-01"/>
    <n v="1438"/>
    <n v="0"/>
    <s v="Centralización pagos abril 2026 #584 - #584"/>
    <n v="1438"/>
    <s v="Pasivo"/>
    <n v="-1438"/>
    <x v="78"/>
  </r>
  <r>
    <n v="2026"/>
    <n v="4"/>
    <s v="06-04-2026"/>
    <n v="8154"/>
    <s v="2116-01"/>
    <n v="491519"/>
    <n v="0"/>
    <s v="Centralización pagos abril 2026 #659 - #659"/>
    <n v="491519"/>
    <s v="Pasivo"/>
    <n v="-491519"/>
    <x v="78"/>
  </r>
  <r>
    <n v="2026"/>
    <n v="4"/>
    <s v="06-04-2026"/>
    <n v="8155"/>
    <s v="2116-01"/>
    <n v="223117"/>
    <n v="0"/>
    <s v="Centralización pagos abril 2026 #665 - #665"/>
    <n v="223117"/>
    <s v="Pasivo"/>
    <n v="-223117"/>
    <x v="78"/>
  </r>
  <r>
    <n v="2026"/>
    <n v="4"/>
    <s v="07-04-2026"/>
    <n v="7513"/>
    <s v="2116-01"/>
    <n v="500000"/>
    <n v="0"/>
    <s v="0995200007 transf a muevo copec em"/>
    <n v="500000"/>
    <s v="Pasivo"/>
    <n v="-500000"/>
    <x v="78"/>
  </r>
  <r>
    <n v="2026"/>
    <n v="4"/>
    <s v="08-04-2026"/>
    <n v="7514"/>
    <s v="2116-01"/>
    <n v="6020805"/>
    <n v="0"/>
    <s v="0762565196 transf a inversiones y"/>
    <n v="6020805"/>
    <s v="Pasivo"/>
    <n v="-6020805"/>
    <x v="78"/>
  </r>
  <r>
    <n v="2026"/>
    <n v="4"/>
    <s v="08-04-2026"/>
    <n v="7515"/>
    <s v="2116-01"/>
    <n v="3816541"/>
    <n v="0"/>
    <s v="0762489287 transf a wircom telecom"/>
    <n v="3816541"/>
    <s v="Pasivo"/>
    <n v="-3816541"/>
    <x v="78"/>
  </r>
  <r>
    <n v="2026"/>
    <n v="4"/>
    <s v="08-04-2026"/>
    <n v="7516"/>
    <s v="2116-01"/>
    <n v="100472"/>
    <n v="0"/>
    <s v="0761831402 transf a comercial lago"/>
    <n v="100472"/>
    <s v="Pasivo"/>
    <n v="-100472"/>
    <x v="78"/>
  </r>
  <r>
    <n v="2026"/>
    <n v="4"/>
    <s v="08-04-2026"/>
    <n v="7516"/>
    <s v="2116-01"/>
    <n v="338492"/>
    <n v="0"/>
    <s v="0761831402 transf a comercial lago"/>
    <n v="338492"/>
    <s v="Pasivo"/>
    <n v="-338492"/>
    <x v="78"/>
  </r>
  <r>
    <n v="2026"/>
    <n v="4"/>
    <s v="08-04-2026"/>
    <n v="7516"/>
    <s v="2116-01"/>
    <n v="590323"/>
    <n v="0"/>
    <s v="0761831402 transf a comercial lago"/>
    <n v="590323"/>
    <s v="Pasivo"/>
    <n v="-590323"/>
    <x v="78"/>
  </r>
  <r>
    <n v="2026"/>
    <n v="4"/>
    <s v="08-04-2026"/>
    <n v="7517"/>
    <s v="2116-01"/>
    <n v="744053"/>
    <n v="0"/>
    <s v="0762565196 transf a inversiones y"/>
    <n v="744053"/>
    <s v="Pasivo"/>
    <n v="-744053"/>
    <x v="78"/>
  </r>
  <r>
    <n v="2026"/>
    <n v="4"/>
    <s v="08-04-2026"/>
    <n v="7518"/>
    <s v="2116-01"/>
    <n v="476000"/>
    <n v="0"/>
    <s v="0785907302 transf a cia.de comunic"/>
    <n v="476000"/>
    <s v="Pasivo"/>
    <n v="-476000"/>
    <x v="78"/>
  </r>
  <r>
    <n v="2026"/>
    <n v="4"/>
    <s v="08-04-2026"/>
    <n v="7519"/>
    <s v="2116-01"/>
    <n v="341023"/>
    <n v="0"/>
    <s v="0760643823 transf a powerhost tele"/>
    <n v="341023"/>
    <s v="Pasivo"/>
    <n v="-341023"/>
    <x v="78"/>
  </r>
  <r>
    <n v="2026"/>
    <n v="4"/>
    <s v="08-04-2026"/>
    <n v="7522"/>
    <s v="2116-01"/>
    <n v="202300"/>
    <n v="0"/>
    <s v="0775202467 transf a ingsor spa"/>
    <n v="202300"/>
    <s v="Pasivo"/>
    <n v="-202300"/>
    <x v="78"/>
  </r>
  <r>
    <n v="2026"/>
    <n v="4"/>
    <s v="08-04-2026"/>
    <n v="7524"/>
    <s v="2116-01"/>
    <n v="142800"/>
    <n v="0"/>
    <s v="0773987793 transf a servicio técni"/>
    <n v="142800"/>
    <s v="Pasivo"/>
    <n v="-142800"/>
    <x v="78"/>
  </r>
  <r>
    <n v="2026"/>
    <n v="4"/>
    <s v="08-04-2026"/>
    <n v="7529"/>
    <s v="2116-01"/>
    <n v="41650"/>
    <n v="0"/>
    <s v="0767042191 transf a productora ene"/>
    <n v="41650"/>
    <s v="Pasivo"/>
    <n v="-41650"/>
    <x v="78"/>
  </r>
  <r>
    <n v="2026"/>
    <n v="4"/>
    <s v="08-04-2026"/>
    <n v="7530"/>
    <s v="2116-01"/>
    <n v="8160"/>
    <n v="0"/>
    <s v="0762565196 transf a inversiones y"/>
    <n v="8160"/>
    <s v="Pasivo"/>
    <n v="-8160"/>
    <x v="78"/>
  </r>
  <r>
    <n v="2026"/>
    <n v="4"/>
    <s v="08-04-2026"/>
    <n v="7695"/>
    <s v="2116-01"/>
    <n v="6827"/>
    <n v="0"/>
    <s v="Banco del estado de chile"/>
    <n v="6827"/>
    <s v="Pasivo"/>
    <n v="-6827"/>
    <x v="78"/>
  </r>
  <r>
    <n v="2026"/>
    <n v="4"/>
    <s v="08-04-2026"/>
    <n v="8341"/>
    <s v="2116-01"/>
    <n v="15900"/>
    <n v="0"/>
    <s v="Centralización pagos abril 2026 #749 - #749"/>
    <n v="15900"/>
    <s v="Pasivo"/>
    <n v="-15900"/>
    <x v="78"/>
  </r>
  <r>
    <n v="2026"/>
    <n v="4"/>
    <s v="08-04-2026"/>
    <n v="8422"/>
    <s v="2116-01"/>
    <n v="15900"/>
    <n v="0"/>
    <s v="Centralización pagos abril 2026 #813 - #813"/>
    <n v="15900"/>
    <s v="Pasivo"/>
    <n v="-15900"/>
    <x v="78"/>
  </r>
  <r>
    <n v="2026"/>
    <n v="4"/>
    <s v="09-04-2026"/>
    <n v="7531"/>
    <s v="2116-01"/>
    <n v="4318541"/>
    <n v="0"/>
    <s v="0763858715 transf a grupo zgh spa"/>
    <n v="4318541"/>
    <s v="Pasivo"/>
    <n v="-4318541"/>
    <x v="78"/>
  </r>
  <r>
    <n v="2026"/>
    <n v="4"/>
    <s v="09-04-2026"/>
    <n v="7532"/>
    <s v="2116-01"/>
    <n v="3248455"/>
    <n v="0"/>
    <s v="0966693401 transf a tac comunicati"/>
    <n v="3248455"/>
    <s v="Pasivo"/>
    <n v="-3248455"/>
    <x v="78"/>
  </r>
  <r>
    <n v="2026"/>
    <n v="4"/>
    <s v="09-04-2026"/>
    <n v="7533"/>
    <s v="2116-01"/>
    <n v="3149730"/>
    <n v="0"/>
    <s v="0766282563 transf a pit chile spa"/>
    <n v="3149730"/>
    <s v="Pasivo"/>
    <n v="-3149730"/>
    <x v="78"/>
  </r>
  <r>
    <n v="2026"/>
    <n v="4"/>
    <s v="09-04-2026"/>
    <n v="7534"/>
    <s v="2116-01"/>
    <n v="1474144"/>
    <n v="0"/>
    <s v="0763338789 transf a at gonzález sp"/>
    <n v="1474144"/>
    <s v="Pasivo"/>
    <n v="-1474144"/>
    <x v="78"/>
  </r>
  <r>
    <n v="2026"/>
    <n v="4"/>
    <s v="09-04-2026"/>
    <n v="7535"/>
    <s v="2116-01"/>
    <n v="1420526"/>
    <n v="0"/>
    <s v="0777638785 transf a ficom telecomu"/>
    <n v="1420526"/>
    <s v="Pasivo"/>
    <n v="-1420526"/>
    <x v="78"/>
  </r>
  <r>
    <n v="2026"/>
    <n v="4"/>
    <s v="09-04-2026"/>
    <n v="7536"/>
    <s v="2116-01"/>
    <n v="1094800"/>
    <n v="0"/>
    <s v="0966693401 transf a tac comunicati"/>
    <n v="1094800"/>
    <s v="Pasivo"/>
    <n v="-1094800"/>
    <x v="78"/>
  </r>
  <r>
    <n v="2026"/>
    <n v="4"/>
    <s v="09-04-2026"/>
    <n v="7537"/>
    <s v="2116-01"/>
    <n v="1014832"/>
    <n v="0"/>
    <s v="0766114598 transf a ascenty"/>
    <n v="1014832"/>
    <s v="Pasivo"/>
    <n v="-1014832"/>
    <x v="78"/>
  </r>
  <r>
    <n v="2026"/>
    <n v="4"/>
    <s v="09-04-2026"/>
    <n v="7538"/>
    <s v="2116-01"/>
    <n v="989485"/>
    <n v="0"/>
    <s v="0761831402 transf a comercial lago"/>
    <n v="989485"/>
    <s v="Pasivo"/>
    <n v="-989485"/>
    <x v="78"/>
  </r>
  <r>
    <n v="2026"/>
    <n v="4"/>
    <s v="09-04-2026"/>
    <n v="7539"/>
    <s v="2116-01"/>
    <n v="970831"/>
    <n v="0"/>
    <s v="0763858715 transf a grupo zgh spa"/>
    <n v="970831"/>
    <s v="Pasivo"/>
    <n v="-970831"/>
    <x v="78"/>
  </r>
  <r>
    <n v="2026"/>
    <n v="4"/>
    <s v="09-04-2026"/>
    <n v="7541"/>
    <s v="2116-01"/>
    <n v="805998"/>
    <n v="0"/>
    <s v="0760926108 transf a alberto diaz d"/>
    <n v="805998"/>
    <s v="Pasivo"/>
    <n v="-805998"/>
    <x v="78"/>
  </r>
  <r>
    <n v="2026"/>
    <n v="4"/>
    <s v="09-04-2026"/>
    <n v="7543"/>
    <s v="2116-01"/>
    <n v="710262"/>
    <n v="0"/>
    <s v="0777638785 transf a ficom telecomu"/>
    <n v="710262"/>
    <s v="Pasivo"/>
    <n v="-710262"/>
    <x v="78"/>
  </r>
  <r>
    <n v="2026"/>
    <n v="4"/>
    <s v="09-04-2026"/>
    <n v="7545"/>
    <s v="2116-01"/>
    <n v="515737"/>
    <n v="0"/>
    <s v="0761831402 transf a comercial lago"/>
    <n v="515737"/>
    <s v="Pasivo"/>
    <n v="-515737"/>
    <x v="78"/>
  </r>
  <r>
    <n v="2026"/>
    <n v="4"/>
    <s v="09-04-2026"/>
    <n v="7546"/>
    <s v="2116-01"/>
    <n v="500000"/>
    <n v="0"/>
    <s v="0995200007 transf a muevo copec em"/>
    <n v="500000"/>
    <s v="Pasivo"/>
    <n v="-500000"/>
    <x v="78"/>
  </r>
  <r>
    <n v="2026"/>
    <n v="4"/>
    <s v="09-04-2026"/>
    <n v="7547"/>
    <s v="2116-01"/>
    <n v="434463"/>
    <n v="0"/>
    <s v="0765672007 transf a tecnologia lk"/>
    <n v="434463"/>
    <s v="Pasivo"/>
    <n v="-434463"/>
    <x v="78"/>
  </r>
  <r>
    <n v="2026"/>
    <n v="4"/>
    <s v="09-04-2026"/>
    <n v="7548"/>
    <s v="2116-01"/>
    <n v="398410"/>
    <n v="0"/>
    <s v="0520050752 transf a cg abogados s"/>
    <n v="398410"/>
    <s v="Pasivo"/>
    <n v="-398410"/>
    <x v="78"/>
  </r>
  <r>
    <n v="2026"/>
    <n v="4"/>
    <s v="09-04-2026"/>
    <n v="7549"/>
    <s v="2116-01"/>
    <n v="269298"/>
    <n v="0"/>
    <s v="0764470907 transf a serv telecom y"/>
    <n v="269298"/>
    <s v="Pasivo"/>
    <n v="-269298"/>
    <x v="78"/>
  </r>
  <r>
    <n v="2026"/>
    <n v="4"/>
    <s v="09-04-2026"/>
    <n v="7550"/>
    <s v="2116-01"/>
    <n v="95178"/>
    <n v="0"/>
    <s v="Pago en linea servipag"/>
    <n v="95178"/>
    <s v="Pasivo"/>
    <n v="-95178"/>
    <x v="78"/>
  </r>
  <r>
    <n v="2026"/>
    <n v="4"/>
    <s v="09-04-2026"/>
    <n v="7550"/>
    <s v="2116-01"/>
    <n v="10058"/>
    <n v="0"/>
    <s v="Pago en linea servipag"/>
    <n v="10058"/>
    <s v="Pasivo"/>
    <n v="-10058"/>
    <x v="78"/>
  </r>
  <r>
    <n v="2026"/>
    <n v="4"/>
    <s v="09-04-2026"/>
    <n v="7550"/>
    <s v="2116-01"/>
    <n v="32800"/>
    <n v="0"/>
    <s v="Pago en linea servipag"/>
    <n v="32800"/>
    <s v="Pasivo"/>
    <n v="-32800"/>
    <x v="78"/>
  </r>
  <r>
    <n v="2026"/>
    <n v="4"/>
    <s v="09-04-2026"/>
    <n v="7550"/>
    <s v="2116-01"/>
    <n v="23449"/>
    <n v="0"/>
    <s v="Pago en linea servipag"/>
    <n v="23449"/>
    <s v="Pasivo"/>
    <n v="-23449"/>
    <x v="78"/>
  </r>
  <r>
    <n v="2026"/>
    <n v="4"/>
    <s v="09-04-2026"/>
    <n v="7550"/>
    <s v="2116-01"/>
    <n v="107551"/>
    <n v="0"/>
    <s v="Pago en linea servipag"/>
    <n v="107551"/>
    <s v="Pasivo"/>
    <n v="-107551"/>
    <x v="78"/>
  </r>
  <r>
    <n v="2026"/>
    <n v="4"/>
    <s v="09-04-2026"/>
    <n v="7551"/>
    <s v="2116-01"/>
    <n v="248000"/>
    <n v="0"/>
    <s v="0966693401 transf a tac comunicati"/>
    <n v="248000"/>
    <s v="Pasivo"/>
    <n v="-248000"/>
    <x v="78"/>
  </r>
  <r>
    <n v="2026"/>
    <n v="4"/>
    <s v="09-04-2026"/>
    <n v="7554"/>
    <s v="2116-01"/>
    <n v="199919"/>
    <n v="0"/>
    <s v="Pago en linea servipag"/>
    <n v="199919"/>
    <s v="Pasivo"/>
    <n v="-199919"/>
    <x v="78"/>
  </r>
  <r>
    <n v="2026"/>
    <n v="4"/>
    <s v="09-04-2026"/>
    <n v="7557"/>
    <s v="2116-01"/>
    <n v="121303"/>
    <n v="0"/>
    <s v="0703601006 transf a asociación chi"/>
    <n v="121303"/>
    <s v="Pasivo"/>
    <n v="-121303"/>
    <x v="78"/>
  </r>
  <r>
    <n v="2026"/>
    <n v="4"/>
    <s v="09-04-2026"/>
    <n v="7562"/>
    <s v="2116-01"/>
    <n v="81097"/>
    <n v="0"/>
    <s v="0766114598 transf a ascenty"/>
    <n v="81097"/>
    <s v="Pasivo"/>
    <n v="-81097"/>
    <x v="78"/>
  </r>
  <r>
    <n v="2026"/>
    <n v="4"/>
    <s v="09-04-2026"/>
    <n v="7563"/>
    <s v="2116-01"/>
    <n v="76333"/>
    <n v="0"/>
    <s v="0766114598 transf a ascenty"/>
    <n v="76333"/>
    <s v="Pasivo"/>
    <n v="-76333"/>
    <x v="78"/>
  </r>
  <r>
    <n v="2026"/>
    <n v="4"/>
    <s v="09-04-2026"/>
    <n v="7564"/>
    <s v="2116-01"/>
    <n v="76333"/>
    <n v="0"/>
    <s v="0766114598 transf a ascenty"/>
    <n v="76333"/>
    <s v="Pasivo"/>
    <n v="-76333"/>
    <x v="78"/>
  </r>
  <r>
    <n v="2026"/>
    <n v="4"/>
    <s v="09-04-2026"/>
    <n v="7565"/>
    <s v="2116-01"/>
    <n v="76333"/>
    <n v="0"/>
    <s v="0766114598 transf a ascenty"/>
    <n v="76333"/>
    <s v="Pasivo"/>
    <n v="-76333"/>
    <x v="78"/>
  </r>
  <r>
    <n v="2026"/>
    <n v="4"/>
    <s v="09-04-2026"/>
    <n v="7566"/>
    <s v="2116-01"/>
    <n v="71400"/>
    <n v="0"/>
    <s v="0781088498 transf a zettabyte zpa"/>
    <n v="71400"/>
    <s v="Pasivo"/>
    <n v="-71400"/>
    <x v="78"/>
  </r>
  <r>
    <n v="2026"/>
    <n v="4"/>
    <s v="09-04-2026"/>
    <n v="7567"/>
    <s v="2116-01"/>
    <n v="64466"/>
    <n v="0"/>
    <s v="0766114598 transf a ascenty"/>
    <n v="64466"/>
    <s v="Pasivo"/>
    <n v="-64466"/>
    <x v="78"/>
  </r>
  <r>
    <n v="2026"/>
    <n v="4"/>
    <s v="09-04-2026"/>
    <n v="7568"/>
    <s v="2116-01"/>
    <n v="64337"/>
    <n v="0"/>
    <s v="0766114598 transf a ascenty"/>
    <n v="64337"/>
    <s v="Pasivo"/>
    <n v="-64337"/>
    <x v="78"/>
  </r>
  <r>
    <n v="2026"/>
    <n v="4"/>
    <s v="09-04-2026"/>
    <n v="7569"/>
    <s v="2116-01"/>
    <n v="64273"/>
    <n v="0"/>
    <s v="0766114598 transf a ascenty"/>
    <n v="64273"/>
    <s v="Pasivo"/>
    <n v="-64273"/>
    <x v="78"/>
  </r>
  <r>
    <n v="2026"/>
    <n v="4"/>
    <s v="09-04-2026"/>
    <n v="7570"/>
    <s v="2116-01"/>
    <n v="64146"/>
    <n v="0"/>
    <s v="0766114598 transf a ascenty"/>
    <n v="64146"/>
    <s v="Pasivo"/>
    <n v="-64146"/>
    <x v="78"/>
  </r>
  <r>
    <n v="2026"/>
    <n v="4"/>
    <s v="09-04-2026"/>
    <n v="8152"/>
    <s v="2116-01"/>
    <n v="53706"/>
    <n v="0"/>
    <s v="Centralización pagos abril 2026 #622 - #622"/>
    <n v="53706"/>
    <s v="Pasivo"/>
    <n v="-53706"/>
    <x v="78"/>
  </r>
  <r>
    <n v="2026"/>
    <n v="4"/>
    <s v="09-04-2026"/>
    <n v="8338"/>
    <s v="2116-01"/>
    <n v="45000"/>
    <n v="0"/>
    <s v="Centralización pagos abril 2026 #737 - #737"/>
    <n v="45000"/>
    <s v="Pasivo"/>
    <n v="-45000"/>
    <x v="78"/>
  </r>
  <r>
    <n v="2026"/>
    <n v="4"/>
    <s v="09-04-2026"/>
    <n v="8424"/>
    <s v="2116-01"/>
    <n v="15000"/>
    <n v="0"/>
    <s v="Centralización pagos abril 2026 #815 - #815"/>
    <n v="15000"/>
    <s v="Pasivo"/>
    <n v="-15000"/>
    <x v="78"/>
  </r>
  <r>
    <n v="2026"/>
    <n v="4"/>
    <s v="10-04-2026"/>
    <n v="7573"/>
    <s v="2116-01"/>
    <n v="4147615"/>
    <n v="0"/>
    <s v="0969107309 transf a telxius cable"/>
    <n v="4147615"/>
    <s v="Pasivo"/>
    <n v="-4147615"/>
    <x v="78"/>
  </r>
  <r>
    <n v="2026"/>
    <n v="4"/>
    <s v="10-04-2026"/>
    <n v="7575"/>
    <s v="2116-01"/>
    <n v="2071769"/>
    <n v="0"/>
    <s v="076360912k transf a sociedad de in"/>
    <n v="2071769"/>
    <s v="Pasivo"/>
    <n v="-2071769"/>
    <x v="78"/>
  </r>
  <r>
    <n v="2026"/>
    <n v="4"/>
    <s v="10-04-2026"/>
    <n v="7577"/>
    <s v="2116-01"/>
    <n v="1440845"/>
    <n v="0"/>
    <s v="0765672007 transf a tecnologia lk"/>
    <n v="1440845"/>
    <s v="Pasivo"/>
    <n v="-1440845"/>
    <x v="78"/>
  </r>
  <r>
    <n v="2026"/>
    <n v="4"/>
    <s v="10-04-2026"/>
    <n v="7579"/>
    <s v="2116-01"/>
    <n v="751000"/>
    <n v="0"/>
    <s v="0773062668 transf a globalconnect"/>
    <n v="751000"/>
    <s v="Pasivo"/>
    <n v="-751000"/>
    <x v="78"/>
  </r>
  <r>
    <n v="2026"/>
    <n v="4"/>
    <s v="10-04-2026"/>
    <n v="7580"/>
    <s v="2116-01"/>
    <n v="386750"/>
    <n v="0"/>
    <s v="0995251000 transf a gama leasing o"/>
    <n v="386750"/>
    <s v="Pasivo"/>
    <n v="-386750"/>
    <x v="78"/>
  </r>
  <r>
    <n v="2026"/>
    <n v="4"/>
    <s v="10-04-2026"/>
    <n v="7581"/>
    <s v="2116-01"/>
    <n v="239778"/>
    <n v="0"/>
    <s v="076691442k transf a buk spa"/>
    <n v="239778"/>
    <s v="Pasivo"/>
    <n v="-239778"/>
    <x v="78"/>
  </r>
  <r>
    <n v="2026"/>
    <n v="4"/>
    <s v="10-04-2026"/>
    <n v="7584"/>
    <s v="2116-01"/>
    <n v="135958"/>
    <n v="0"/>
    <s v="0966708409 transf a dimerc s.a"/>
    <n v="135958"/>
    <s v="Pasivo"/>
    <n v="-135958"/>
    <x v="78"/>
  </r>
  <r>
    <n v="2026"/>
    <n v="4"/>
    <s v="10-04-2026"/>
    <n v="8340"/>
    <s v="2116-01"/>
    <n v="15900"/>
    <n v="0"/>
    <s v="Centralización pagos abril 2026 #746 - #746"/>
    <n v="15900"/>
    <s v="Pasivo"/>
    <n v="-15900"/>
    <x v="78"/>
  </r>
  <r>
    <n v="2026"/>
    <n v="4"/>
    <s v="13-04-2026"/>
    <n v="7590"/>
    <s v="2116-01"/>
    <n v="500000"/>
    <n v="0"/>
    <s v="0995200007 transf a muevo copec em"/>
    <n v="500000"/>
    <s v="Pasivo"/>
    <n v="-500000"/>
    <x v="78"/>
  </r>
  <r>
    <n v="2026"/>
    <n v="4"/>
    <s v="13-04-2026"/>
    <n v="7591"/>
    <s v="2116-01"/>
    <n v="90200"/>
    <n v="0"/>
    <s v="0789512701 transf a regus manageme"/>
    <n v="90200"/>
    <s v="Pasivo"/>
    <n v="-90200"/>
    <x v="78"/>
  </r>
  <r>
    <n v="2026"/>
    <n v="4"/>
    <s v="13-04-2026"/>
    <n v="7677"/>
    <s v="2116-01"/>
    <n v="1113470"/>
    <n v="0"/>
    <s v="Centralización pagos abril 2026 #581 - #581"/>
    <n v="1113470"/>
    <s v="Pasivo"/>
    <n v="-1113470"/>
    <x v="78"/>
  </r>
  <r>
    <n v="2026"/>
    <n v="4"/>
    <s v="13-04-2026"/>
    <n v="8339"/>
    <s v="2116-01"/>
    <n v="30770"/>
    <n v="0"/>
    <s v="Centralización pagos abril 2026 #739 - #739"/>
    <n v="30770"/>
    <s v="Pasivo"/>
    <n v="-30770"/>
    <x v="78"/>
  </r>
  <r>
    <n v="2026"/>
    <n v="4"/>
    <s v="13-04-2026"/>
    <n v="8405"/>
    <s v="2116-01"/>
    <n v="15900"/>
    <n v="0"/>
    <s v="Centralización pagos abril 2026 #784 - #784"/>
    <n v="15900"/>
    <s v="Pasivo"/>
    <n v="-15900"/>
    <x v="78"/>
  </r>
  <r>
    <n v="2026"/>
    <n v="4"/>
    <s v="14-04-2026"/>
    <n v="7592"/>
    <s v="2116-01"/>
    <n v="4615000"/>
    <n v="0"/>
    <s v="0966693401 transf a tac comunicati"/>
    <n v="4615000"/>
    <s v="Pasivo"/>
    <n v="-4615000"/>
    <x v="78"/>
  </r>
  <r>
    <n v="2026"/>
    <n v="4"/>
    <s v="14-04-2026"/>
    <n v="7593"/>
    <s v="2116-01"/>
    <n v="4000000"/>
    <n v="0"/>
    <s v="0133423583 transf a hector vivanco"/>
    <n v="4000000"/>
    <s v="Pasivo"/>
    <n v="-4000000"/>
    <x v="78"/>
  </r>
  <r>
    <n v="2026"/>
    <n v="4"/>
    <s v="14-04-2026"/>
    <n v="7594"/>
    <s v="2116-01"/>
    <n v="2283200"/>
    <n v="0"/>
    <s v="0133423583 transf a hector vivanco"/>
    <n v="2283200"/>
    <s v="Pasivo"/>
    <n v="-2283200"/>
    <x v="78"/>
  </r>
  <r>
    <n v="2026"/>
    <n v="4"/>
    <s v="14-04-2026"/>
    <n v="7595"/>
    <s v="2116-01"/>
    <n v="2042040"/>
    <n v="0"/>
    <s v="0761831402 transf a comercial lago"/>
    <n v="2042040"/>
    <s v="Pasivo"/>
    <n v="-2042040"/>
    <x v="78"/>
  </r>
  <r>
    <n v="2026"/>
    <n v="4"/>
    <s v="14-04-2026"/>
    <n v="7596"/>
    <s v="2116-01"/>
    <n v="735848"/>
    <n v="0"/>
    <s v="0966693401 transf a tac comunicati"/>
    <n v="735848"/>
    <s v="Pasivo"/>
    <n v="-735848"/>
    <x v="78"/>
  </r>
  <r>
    <n v="2026"/>
    <n v="4"/>
    <s v="14-04-2026"/>
    <n v="7597"/>
    <s v="2116-01"/>
    <n v="645327"/>
    <n v="0"/>
    <s v="0765672007 transf a tecnologia lk"/>
    <n v="645327"/>
    <s v="Pasivo"/>
    <n v="-645327"/>
    <x v="78"/>
  </r>
  <r>
    <n v="2026"/>
    <n v="4"/>
    <s v="14-04-2026"/>
    <n v="7598"/>
    <s v="2116-01"/>
    <n v="612898"/>
    <n v="0"/>
    <s v="0966693401 transf a tac comunicati"/>
    <n v="612898"/>
    <s v="Pasivo"/>
    <n v="-612898"/>
    <x v="78"/>
  </r>
  <r>
    <n v="2026"/>
    <n v="4"/>
    <s v="14-04-2026"/>
    <n v="7600"/>
    <s v="2116-01"/>
    <n v="434826"/>
    <n v="0"/>
    <s v="0966693401 transf a tac comunicati"/>
    <n v="434826"/>
    <s v="Pasivo"/>
    <n v="-434826"/>
    <x v="78"/>
  </r>
  <r>
    <n v="2026"/>
    <n v="4"/>
    <s v="14-04-2026"/>
    <n v="7601"/>
    <s v="2116-01"/>
    <n v="267750"/>
    <n v="0"/>
    <s v="0761831402 transf a comercial lago"/>
    <n v="267750"/>
    <s v="Pasivo"/>
    <n v="-267750"/>
    <x v="78"/>
  </r>
  <r>
    <n v="2026"/>
    <n v="4"/>
    <s v="14-04-2026"/>
    <n v="7602"/>
    <s v="2116-01"/>
    <n v="260764"/>
    <n v="0"/>
    <s v="0769921850 transf a central sistem"/>
    <n v="260764"/>
    <s v="Pasivo"/>
    <n v="-260764"/>
    <x v="78"/>
  </r>
  <r>
    <n v="2026"/>
    <n v="4"/>
    <s v="14-04-2026"/>
    <n v="7606"/>
    <s v="2116-01"/>
    <n v="71117"/>
    <n v="0"/>
    <s v="0779304779 transf a mdd soluciones"/>
    <n v="71117"/>
    <s v="Pasivo"/>
    <n v="-71117"/>
    <x v="78"/>
  </r>
  <r>
    <n v="2026"/>
    <n v="4"/>
    <s v="14-04-2026"/>
    <n v="8402"/>
    <s v="2116-01"/>
    <n v="45000"/>
    <n v="0"/>
    <s v="Centralización pagos abril 2026 #772 - #772"/>
    <n v="45000"/>
    <s v="Pasivo"/>
    <n v="-45000"/>
    <x v="78"/>
  </r>
  <r>
    <n v="2026"/>
    <n v="4"/>
    <s v="15-04-2026"/>
    <n v="7608"/>
    <s v="2116-01"/>
    <n v="941885"/>
    <n v="0"/>
    <s v="0966693401 transf a tac comunicati"/>
    <n v="941885"/>
    <s v="Pasivo"/>
    <n v="-941885"/>
    <x v="78"/>
  </r>
  <r>
    <n v="2026"/>
    <n v="4"/>
    <s v="15-04-2026"/>
    <n v="7609"/>
    <s v="2116-01"/>
    <n v="500000"/>
    <n v="0"/>
    <s v="0995200007 transf a muevo copec em"/>
    <n v="500000"/>
    <s v="Pasivo"/>
    <n v="-500000"/>
    <x v="78"/>
  </r>
  <r>
    <n v="2026"/>
    <n v="4"/>
    <s v="15-04-2026"/>
    <n v="8300"/>
    <s v="2116-01"/>
    <n v="3700"/>
    <n v="0"/>
    <s v="Centralización pagos abril 2026 #692 - #692"/>
    <n v="3700"/>
    <s v="Pasivo"/>
    <n v="-3700"/>
    <x v="78"/>
  </r>
  <r>
    <n v="2026"/>
    <n v="4"/>
    <s v="15-04-2026"/>
    <n v="8342"/>
    <s v="2116-01"/>
    <n v="15100"/>
    <n v="0"/>
    <s v="Centralización pagos abril 2026 #750 - #750"/>
    <n v="15100"/>
    <s v="Pasivo"/>
    <n v="-15100"/>
    <x v="78"/>
  </r>
  <r>
    <n v="2026"/>
    <n v="4"/>
    <s v="15-04-2026"/>
    <n v="8404"/>
    <s v="2116-01"/>
    <n v="15900"/>
    <n v="0"/>
    <s v="Centralización pagos abril 2026 #781 - #781"/>
    <n v="15900"/>
    <s v="Pasivo"/>
    <n v="-15900"/>
    <x v="78"/>
  </r>
  <r>
    <n v="2026"/>
    <n v="4"/>
    <s v="15-04-2026"/>
    <n v="8423"/>
    <s v="2116-01"/>
    <n v="15900"/>
    <n v="0"/>
    <s v="Centralización pagos abril 2026 #814 - #814"/>
    <n v="15900"/>
    <s v="Pasivo"/>
    <n v="-15900"/>
    <x v="78"/>
  </r>
  <r>
    <n v="2026"/>
    <n v="4"/>
    <s v="15-04-2026"/>
    <n v="8428"/>
    <s v="2116-01"/>
    <n v="394765"/>
    <n v="0"/>
    <s v="Centralización pagos abril 2026 #818 - #818"/>
    <n v="394765"/>
    <s v="Pasivo"/>
    <n v="-394765"/>
    <x v="78"/>
  </r>
  <r>
    <n v="2026"/>
    <n v="4"/>
    <s v="16-04-2026"/>
    <n v="7610"/>
    <s v="2116-01"/>
    <n v="1800000"/>
    <n v="0"/>
    <s v="0151626734 transf a hector steve o"/>
    <n v="1800000"/>
    <s v="Pasivo"/>
    <n v="-1800000"/>
    <x v="78"/>
  </r>
  <r>
    <n v="2026"/>
    <n v="4"/>
    <s v="16-04-2026"/>
    <n v="7611"/>
    <s v="2116-01"/>
    <n v="1341220"/>
    <n v="0"/>
    <s v="0966693401 transf a tac comunicati"/>
    <n v="1341220"/>
    <s v="Pasivo"/>
    <n v="-1341220"/>
    <x v="78"/>
  </r>
  <r>
    <n v="2026"/>
    <n v="4"/>
    <s v="16-04-2026"/>
    <n v="7684"/>
    <s v="2116-01"/>
    <n v="13298"/>
    <n v="0"/>
    <s v="Telefonica empresas chile s.a."/>
    <n v="13298"/>
    <s v="Pasivo"/>
    <n v="-13298"/>
    <x v="78"/>
  </r>
  <r>
    <n v="2026"/>
    <n v="4"/>
    <s v="16-04-2026"/>
    <n v="7684"/>
    <s v="2116-01"/>
    <n v="14617"/>
    <n v="0"/>
    <s v="Telefónica móviles chile s.a."/>
    <n v="14617"/>
    <s v="Pasivo"/>
    <n v="-14617"/>
    <x v="78"/>
  </r>
  <r>
    <n v="2026"/>
    <n v="4"/>
    <s v="16-04-2026"/>
    <n v="7684"/>
    <s v="2116-01"/>
    <n v="16833"/>
    <n v="0"/>
    <s v="Telefónica móviles chile s.a."/>
    <n v="16833"/>
    <s v="Pasivo"/>
    <n v="-16833"/>
    <x v="78"/>
  </r>
  <r>
    <n v="2026"/>
    <n v="4"/>
    <s v="16-04-2026"/>
    <n v="7684"/>
    <s v="2116-01"/>
    <n v="148"/>
    <n v="0"/>
    <s v="Telefonica empresas chile s.a."/>
    <n v="148"/>
    <s v="Pasivo"/>
    <n v="-148"/>
    <x v="78"/>
  </r>
  <r>
    <n v="2026"/>
    <n v="4"/>
    <s v="16-04-2026"/>
    <n v="7684"/>
    <s v="2116-01"/>
    <n v="125710"/>
    <n v="0"/>
    <s v="Telefonica empresas chile s.a."/>
    <n v="125710"/>
    <s v="Pasivo"/>
    <n v="-125710"/>
    <x v="78"/>
  </r>
  <r>
    <n v="2026"/>
    <n v="4"/>
    <s v="16-04-2026"/>
    <n v="7684"/>
    <s v="2116-01"/>
    <n v="298353"/>
    <n v="0"/>
    <s v="Telefonica chile s.a"/>
    <n v="298353"/>
    <s v="Pasivo"/>
    <n v="-298353"/>
    <x v="78"/>
  </r>
  <r>
    <n v="2026"/>
    <n v="4"/>
    <s v="16-04-2026"/>
    <n v="7684"/>
    <s v="2116-01"/>
    <n v="664901"/>
    <n v="0"/>
    <s v="Telefonica empresas chile s.a."/>
    <n v="664901"/>
    <s v="Pasivo"/>
    <n v="-664901"/>
    <x v="78"/>
  </r>
  <r>
    <n v="2026"/>
    <n v="4"/>
    <s v="16-04-2026"/>
    <n v="7684"/>
    <s v="2116-01"/>
    <n v="489762"/>
    <n v="0"/>
    <s v="Telefonica empresas chile s.a."/>
    <n v="489762"/>
    <s v="Pasivo"/>
    <n v="-489762"/>
    <x v="78"/>
  </r>
  <r>
    <n v="2026"/>
    <n v="4"/>
    <s v="16-04-2026"/>
    <n v="7684"/>
    <s v="2116-01"/>
    <n v="282833"/>
    <n v="0"/>
    <s v="Telefonica chile s.a"/>
    <n v="282833"/>
    <s v="Pasivo"/>
    <n v="-282833"/>
    <x v="78"/>
  </r>
  <r>
    <n v="2026"/>
    <n v="4"/>
    <s v="17-04-2026"/>
    <n v="7613"/>
    <s v="2116-01"/>
    <n v="500000"/>
    <n v="0"/>
    <s v="0995200007 transf a muevo copec em"/>
    <n v="500000"/>
    <s v="Pasivo"/>
    <n v="-500000"/>
    <x v="78"/>
  </r>
  <r>
    <n v="2026"/>
    <n v="4"/>
    <s v="17-04-2026"/>
    <n v="7614"/>
    <s v="2116-01"/>
    <n v="160000"/>
    <n v="0"/>
    <s v="Pago en linea voissnet cloud servi"/>
    <n v="160000"/>
    <s v="Pasivo"/>
    <n v="-160000"/>
    <x v="78"/>
  </r>
  <r>
    <n v="2026"/>
    <n v="4"/>
    <s v="17-04-2026"/>
    <n v="7616"/>
    <s v="2116-01"/>
    <n v="80000"/>
    <n v="0"/>
    <s v="Pago en linea voissnet cloud servi"/>
    <n v="80000"/>
    <s v="Pasivo"/>
    <n v="-80000"/>
    <x v="78"/>
  </r>
  <r>
    <n v="2026"/>
    <n v="4"/>
    <s v="17-04-2026"/>
    <n v="7616"/>
    <s v="2116-01"/>
    <n v="20000"/>
    <n v="0"/>
    <s v="Pago en linea voissnet cloud servi"/>
    <n v="20000"/>
    <s v="Pasivo"/>
    <n v="-20000"/>
    <x v="78"/>
  </r>
  <r>
    <n v="2026"/>
    <n v="4"/>
    <s v="17-04-2026"/>
    <n v="7617"/>
    <s v="2116-01"/>
    <n v="85000"/>
    <n v="0"/>
    <s v="Pago en linea voissnet cloud servi"/>
    <n v="85000"/>
    <s v="Pasivo"/>
    <n v="-85000"/>
    <x v="78"/>
  </r>
  <r>
    <n v="2026"/>
    <n v="4"/>
    <s v="17-04-2026"/>
    <n v="7618"/>
    <s v="2116-01"/>
    <n v="65000"/>
    <n v="0"/>
    <s v="Pago en linea voissnet cloud servi"/>
    <n v="65000"/>
    <s v="Pasivo"/>
    <n v="-65000"/>
    <x v="78"/>
  </r>
  <r>
    <n v="2026"/>
    <n v="4"/>
    <s v="17-04-2026"/>
    <n v="7619"/>
    <s v="2116-01"/>
    <n v="42000"/>
    <n v="0"/>
    <s v="Pago en linea voissnet cloud servi"/>
    <n v="42000"/>
    <s v="Pasivo"/>
    <n v="-42000"/>
    <x v="78"/>
  </r>
  <r>
    <n v="2026"/>
    <n v="4"/>
    <s v="17-04-2026"/>
    <n v="7620"/>
    <s v="2116-01"/>
    <n v="42000"/>
    <n v="0"/>
    <s v="Pago en linea voissnet cloud servi"/>
    <n v="42000"/>
    <s v="Pasivo"/>
    <n v="-42000"/>
    <x v="78"/>
  </r>
  <r>
    <n v="2026"/>
    <n v="4"/>
    <s v="17-04-2026"/>
    <n v="7621"/>
    <s v="2116-01"/>
    <n v="42000"/>
    <n v="0"/>
    <s v="Pago en linea voissnet cloud servi"/>
    <n v="42000"/>
    <s v="Pasivo"/>
    <n v="-42000"/>
    <x v="78"/>
  </r>
  <r>
    <n v="2026"/>
    <n v="4"/>
    <s v="17-04-2026"/>
    <n v="7622"/>
    <s v="2116-01"/>
    <n v="42000"/>
    <n v="0"/>
    <s v="Pago en linea voissnet cloud servi"/>
    <n v="42000"/>
    <s v="Pasivo"/>
    <n v="-42000"/>
    <x v="78"/>
  </r>
  <r>
    <n v="2026"/>
    <n v="4"/>
    <s v="17-04-2026"/>
    <n v="7623"/>
    <s v="2116-01"/>
    <n v="42000"/>
    <n v="0"/>
    <s v="Pago en linea voissnet cloud servi"/>
    <n v="42000"/>
    <s v="Pasivo"/>
    <n v="-42000"/>
    <x v="78"/>
  </r>
  <r>
    <n v="2026"/>
    <n v="4"/>
    <s v="17-04-2026"/>
    <n v="7624"/>
    <s v="2116-01"/>
    <n v="42000"/>
    <n v="0"/>
    <s v="Pago en linea voissnet cloud servi"/>
    <n v="42000"/>
    <s v="Pasivo"/>
    <n v="-42000"/>
    <x v="78"/>
  </r>
  <r>
    <n v="2026"/>
    <n v="4"/>
    <s v="17-04-2026"/>
    <n v="7625"/>
    <s v="2116-01"/>
    <n v="42000"/>
    <n v="0"/>
    <s v="Pago en linea voissnet cloud servi"/>
    <n v="42000"/>
    <s v="Pasivo"/>
    <n v="-42000"/>
    <x v="78"/>
  </r>
  <r>
    <n v="2026"/>
    <n v="4"/>
    <s v="17-04-2026"/>
    <n v="7626"/>
    <s v="2116-01"/>
    <n v="42000"/>
    <n v="0"/>
    <s v="Pago en linea voissnet cloud servi"/>
    <n v="42000"/>
    <s v="Pasivo"/>
    <n v="-42000"/>
    <x v="78"/>
  </r>
  <r>
    <n v="2026"/>
    <n v="4"/>
    <s v="17-04-2026"/>
    <n v="7627"/>
    <s v="2116-01"/>
    <n v="31000"/>
    <n v="0"/>
    <s v="Pago en linea voissnet cloud servi"/>
    <n v="31000"/>
    <s v="Pasivo"/>
    <n v="-31000"/>
    <x v="78"/>
  </r>
  <r>
    <n v="2026"/>
    <n v="4"/>
    <s v="17-04-2026"/>
    <n v="7627"/>
    <s v="2116-01"/>
    <n v="2000"/>
    <n v="0"/>
    <s v="Pago en linea voissnet cloud servi"/>
    <n v="2000"/>
    <s v="Pasivo"/>
    <n v="-2000"/>
    <x v="78"/>
  </r>
  <r>
    <n v="2026"/>
    <n v="4"/>
    <s v="17-04-2026"/>
    <n v="7627"/>
    <s v="2116-01"/>
    <n v="9000"/>
    <n v="0"/>
    <s v="Pago en linea voissnet cloud servi"/>
    <n v="9000"/>
    <s v="Pasivo"/>
    <n v="-9000"/>
    <x v="78"/>
  </r>
  <r>
    <n v="2026"/>
    <n v="4"/>
    <s v="17-04-2026"/>
    <n v="8153"/>
    <s v="2116-01"/>
    <n v="15821"/>
    <n v="0"/>
    <s v="Centralización pagos abril 2026 #629 - #629"/>
    <n v="15821"/>
    <s v="Pasivo"/>
    <n v="-15821"/>
    <x v="78"/>
  </r>
  <r>
    <n v="2026"/>
    <n v="4"/>
    <s v="17-04-2026"/>
    <n v="8301"/>
    <s v="2116-01"/>
    <n v="1500"/>
    <n v="0"/>
    <s v="Centralización pagos abril 2026 #693 - #693"/>
    <n v="1500"/>
    <s v="Pasivo"/>
    <n v="-1500"/>
    <x v="78"/>
  </r>
  <r>
    <n v="2026"/>
    <n v="4"/>
    <s v="18-04-2026"/>
    <n v="8403"/>
    <s v="2116-01"/>
    <n v="46670"/>
    <n v="0"/>
    <s v="Centralización pagos abril 2026 #774 - #774"/>
    <n v="46670"/>
    <s v="Pasivo"/>
    <n v="-46670"/>
    <x v="78"/>
  </r>
  <r>
    <n v="2026"/>
    <n v="4"/>
    <s v="19-04-2026"/>
    <n v="8409"/>
    <s v="2116-01"/>
    <n v="45000"/>
    <n v="0"/>
    <s v="Centralización pagos abril 2026 #802 - #802"/>
    <n v="45000"/>
    <s v="Pasivo"/>
    <n v="-45000"/>
    <x v="78"/>
  </r>
  <r>
    <n v="2026"/>
    <n v="4"/>
    <s v="20-04-2026"/>
    <n v="7628"/>
    <s v="2116-01"/>
    <n v="4819500"/>
    <n v="0"/>
    <s v="0966693401 transf a tac comunicati"/>
    <n v="4819500"/>
    <s v="Pasivo"/>
    <n v="-4819500"/>
    <x v="78"/>
  </r>
  <r>
    <n v="2026"/>
    <n v="4"/>
    <s v="20-04-2026"/>
    <n v="7630"/>
    <s v="2116-01"/>
    <n v="1351397"/>
    <n v="0"/>
    <s v="0773470286 transf a lars spa"/>
    <n v="1351397"/>
    <s v="Pasivo"/>
    <n v="-1351397"/>
    <x v="78"/>
  </r>
  <r>
    <n v="2026"/>
    <n v="4"/>
    <s v="20-04-2026"/>
    <n v="7631"/>
    <s v="2116-01"/>
    <n v="975149"/>
    <n v="0"/>
    <s v="0966693401 transf a tac comunicati"/>
    <n v="975149"/>
    <s v="Pasivo"/>
    <n v="-975149"/>
    <x v="78"/>
  </r>
  <r>
    <n v="2026"/>
    <n v="4"/>
    <s v="20-04-2026"/>
    <n v="7632"/>
    <s v="2116-01"/>
    <n v="557217"/>
    <n v="0"/>
    <s v="0966693401 transf a tac comunicati"/>
    <n v="557217"/>
    <s v="Pasivo"/>
    <n v="-557217"/>
    <x v="78"/>
  </r>
  <r>
    <n v="2026"/>
    <n v="4"/>
    <s v="20-04-2026"/>
    <n v="7633"/>
    <s v="2116-01"/>
    <n v="531302"/>
    <n v="0"/>
    <s v="076743913k transf a h y l telecom"/>
    <n v="531302"/>
    <s v="Pasivo"/>
    <n v="-531302"/>
    <x v="78"/>
  </r>
  <r>
    <n v="2026"/>
    <n v="4"/>
    <s v="20-04-2026"/>
    <n v="7634"/>
    <s v="2116-01"/>
    <n v="500000"/>
    <n v="0"/>
    <s v="0995200007 transf a muevo copec em"/>
    <n v="500000"/>
    <s v="Pasivo"/>
    <n v="-500000"/>
    <x v="78"/>
  </r>
  <r>
    <n v="2026"/>
    <n v="4"/>
    <s v="20-04-2026"/>
    <n v="7635"/>
    <s v="2116-01"/>
    <n v="367924"/>
    <n v="0"/>
    <s v="0966693401 transf a tac comunicati"/>
    <n v="367924"/>
    <s v="Pasivo"/>
    <n v="-367924"/>
    <x v="78"/>
  </r>
  <r>
    <n v="2026"/>
    <n v="4"/>
    <s v="20-04-2026"/>
    <n v="7637"/>
    <s v="2116-01"/>
    <n v="94701"/>
    <n v="0"/>
    <s v="0769657371 transf a sociedad emiso"/>
    <n v="94701"/>
    <s v="Pasivo"/>
    <n v="-94701"/>
    <x v="78"/>
  </r>
  <r>
    <n v="2026"/>
    <n v="4"/>
    <s v="20-04-2026"/>
    <n v="8343"/>
    <s v="2116-01"/>
    <n v="89032"/>
    <n v="0"/>
    <s v="Centralización pagos abril 2026 #754 - #754"/>
    <n v="89032"/>
    <s v="Pasivo"/>
    <n v="-89032"/>
    <x v="78"/>
  </r>
  <r>
    <n v="2026"/>
    <n v="4"/>
    <s v="20-04-2026"/>
    <n v="8406"/>
    <s v="2116-01"/>
    <n v="31000"/>
    <n v="0"/>
    <s v="Centralización pagos abril 2026 #785 - #785"/>
    <n v="31000"/>
    <s v="Pasivo"/>
    <n v="-31000"/>
    <x v="78"/>
  </r>
  <r>
    <n v="2026"/>
    <n v="4"/>
    <s v="21-04-2026"/>
    <n v="7678"/>
    <s v="2116-01"/>
    <n v="3581424"/>
    <n v="0"/>
    <s v="Centralización pagos abril 2026 #582 - #582"/>
    <n v="3581424"/>
    <s v="Pasivo"/>
    <n v="-3581424"/>
    <x v="78"/>
  </r>
  <r>
    <n v="2026"/>
    <n v="4"/>
    <s v="22-04-2026"/>
    <n v="7639"/>
    <s v="2116-01"/>
    <n v="5000000"/>
    <n v="0"/>
    <s v="0966693401 transf a tac comunicati"/>
    <n v="5000000"/>
    <s v="Pasivo"/>
    <n v="-5000000"/>
    <x v="78"/>
  </r>
  <r>
    <n v="2026"/>
    <n v="4"/>
    <s v="22-04-2026"/>
    <n v="7640"/>
    <s v="2116-01"/>
    <n v="4424800"/>
    <n v="0"/>
    <s v="0966693401 transf a tac comunicati"/>
    <n v="4424800"/>
    <s v="Pasivo"/>
    <n v="-4424800"/>
    <x v="78"/>
  </r>
  <r>
    <n v="2026"/>
    <n v="4"/>
    <s v="22-04-2026"/>
    <n v="7641"/>
    <s v="2116-01"/>
    <n v="1939700"/>
    <n v="0"/>
    <s v="0775321636 transf a hayex tecnolog"/>
    <n v="1939700"/>
    <s v="Pasivo"/>
    <n v="-1939700"/>
    <x v="78"/>
  </r>
  <r>
    <n v="2026"/>
    <n v="4"/>
    <s v="22-04-2026"/>
    <n v="8337"/>
    <s v="2116-01"/>
    <n v="47700"/>
    <n v="0"/>
    <s v="Centralización pagos abril 2026 #735 - #735"/>
    <n v="47700"/>
    <s v="Pasivo"/>
    <n v="-47700"/>
    <x v="78"/>
  </r>
  <r>
    <n v="2026"/>
    <n v="4"/>
    <s v="22-04-2026"/>
    <n v="10773"/>
    <s v="2116-01"/>
    <n v="157016"/>
    <n v="0"/>
    <s v="Chipax"/>
    <n v="157016"/>
    <s v="Pasivo"/>
    <n v="-157016"/>
    <x v="78"/>
  </r>
  <r>
    <n v="2026"/>
    <n v="4"/>
    <s v="22-04-2026"/>
    <n v="10773"/>
    <s v="2116-01"/>
    <n v="192718"/>
    <n v="0"/>
    <s v="Webpay eparis"/>
    <n v="192718"/>
    <s v="Pasivo"/>
    <n v="-192718"/>
    <x v="78"/>
  </r>
  <r>
    <n v="2026"/>
    <n v="4"/>
    <s v="22-04-2026"/>
    <n v="10773"/>
    <s v="2116-01"/>
    <n v="49909"/>
    <n v="0"/>
    <s v="Webpay eparis"/>
    <n v="49909"/>
    <s v="Pasivo"/>
    <n v="-49909"/>
    <x v="78"/>
  </r>
  <r>
    <n v="2026"/>
    <n v="4"/>
    <s v="22-04-2026"/>
    <n v="10773"/>
    <s v="2116-01"/>
    <n v="27990"/>
    <n v="0"/>
    <s v="Equifax chile"/>
    <n v="27990"/>
    <s v="Pasivo"/>
    <n v="-27990"/>
    <x v="78"/>
  </r>
  <r>
    <n v="2026"/>
    <n v="4"/>
    <s v="22-04-2026"/>
    <n v="10773"/>
    <s v="2116-01"/>
    <n v="4108"/>
    <n v="0"/>
    <s v="Grupo zgh ltda"/>
    <n v="4108"/>
    <s v="Pasivo"/>
    <n v="-4108"/>
    <x v="78"/>
  </r>
  <r>
    <n v="2026"/>
    <n v="4"/>
    <s v="22-04-2026"/>
    <n v="10773"/>
    <s v="2116-01"/>
    <n v="27990"/>
    <n v="0"/>
    <s v="Equifax chile"/>
    <n v="27990"/>
    <s v="Pasivo"/>
    <n v="-27990"/>
    <x v="78"/>
  </r>
  <r>
    <n v="2026"/>
    <n v="4"/>
    <s v="22-04-2026"/>
    <n v="10773"/>
    <s v="2116-01"/>
    <n v="27990"/>
    <n v="0"/>
    <s v="Equifax chile"/>
    <n v="27990"/>
    <s v="Pasivo"/>
    <n v="-27990"/>
    <x v="78"/>
  </r>
  <r>
    <n v="2026"/>
    <n v="4"/>
    <s v="22-04-2026"/>
    <n v="10773"/>
    <s v="2116-01"/>
    <n v="7097"/>
    <n v="0"/>
    <s v="Facebk gsgw6gry92"/>
    <n v="7097"/>
    <s v="Pasivo"/>
    <n v="-7097"/>
    <x v="78"/>
  </r>
  <r>
    <n v="2026"/>
    <n v="4"/>
    <s v="22-04-2026"/>
    <n v="10773"/>
    <s v="2116-01"/>
    <n v="2810"/>
    <n v="0"/>
    <s v="Facebk mf8ujgdy92"/>
    <n v="2810"/>
    <s v="Pasivo"/>
    <n v="-2810"/>
    <x v="78"/>
  </r>
  <r>
    <n v="2026"/>
    <n v="4"/>
    <s v="22-04-2026"/>
    <n v="10773"/>
    <s v="2116-01"/>
    <n v="2516"/>
    <n v="0"/>
    <s v="Facebk vzrhkhzy92"/>
    <n v="2516"/>
    <s v="Pasivo"/>
    <n v="-2516"/>
    <x v="78"/>
  </r>
  <r>
    <n v="2026"/>
    <n v="4"/>
    <s v="22-04-2026"/>
    <n v="10773"/>
    <s v="2116-01"/>
    <n v="60246"/>
    <n v="0"/>
    <s v="Facebk rbzzgfvy92"/>
    <n v="60246"/>
    <s v="Pasivo"/>
    <n v="-60246"/>
    <x v="78"/>
  </r>
  <r>
    <n v="2026"/>
    <n v="4"/>
    <s v="22-04-2026"/>
    <n v="10773"/>
    <s v="2116-01"/>
    <n v="14416"/>
    <n v="0"/>
    <s v="Centralizacion tc 8107"/>
    <n v="14416"/>
    <s v="Pasivo"/>
    <n v="-14416"/>
    <x v="78"/>
  </r>
  <r>
    <n v="2026"/>
    <n v="4"/>
    <s v="22-04-2026"/>
    <n v="10773"/>
    <s v="2116-01"/>
    <n v="60246"/>
    <n v="0"/>
    <s v="Facebk jmfqre9y92"/>
    <n v="60246"/>
    <s v="Pasivo"/>
    <n v="-60246"/>
    <x v="78"/>
  </r>
  <r>
    <n v="2026"/>
    <n v="4"/>
    <s v="22-04-2026"/>
    <n v="10773"/>
    <s v="2116-01"/>
    <n v="60245"/>
    <n v="0"/>
    <s v="Facebk zyhrvh5z92"/>
    <n v="60245"/>
    <s v="Pasivo"/>
    <n v="-60245"/>
    <x v="78"/>
  </r>
  <r>
    <n v="2026"/>
    <n v="4"/>
    <s v="22-04-2026"/>
    <n v="10774"/>
    <s v="2116-01"/>
    <n v="115922"/>
    <n v="0"/>
    <s v="Paris mall plaza vespu"/>
    <n v="115922"/>
    <s v="Pasivo"/>
    <n v="-115922"/>
    <x v="78"/>
  </r>
  <r>
    <n v="2026"/>
    <n v="4"/>
    <s v="22-04-2026"/>
    <n v="10774"/>
    <s v="2116-01"/>
    <n v="207835"/>
    <n v="0"/>
    <s v="Intcomex chile quilicu"/>
    <n v="207835"/>
    <s v="Pasivo"/>
    <n v="-207835"/>
    <x v="78"/>
  </r>
  <r>
    <n v="2026"/>
    <n v="4"/>
    <s v="22-04-2026"/>
    <n v="10774"/>
    <s v="2116-01"/>
    <n v="133330"/>
    <n v="0"/>
    <s v="Paris mall plaza vespu"/>
    <n v="133330"/>
    <s v="Pasivo"/>
    <n v="-133330"/>
    <x v="78"/>
  </r>
  <r>
    <n v="2026"/>
    <n v="4"/>
    <s v="22-04-2026"/>
    <n v="10774"/>
    <s v="2116-01"/>
    <n v="19326"/>
    <n v="0"/>
    <s v="Ppro adobe"/>
    <n v="19326"/>
    <s v="Pasivo"/>
    <n v="-19326"/>
    <x v="78"/>
  </r>
  <r>
    <n v="2026"/>
    <n v="4"/>
    <s v="22-04-2026"/>
    <n v="10775"/>
    <s v="2116-01"/>
    <n v="193040"/>
    <n v="0"/>
    <s v="Segur. falabella co"/>
    <n v="193040"/>
    <s v="Pasivo"/>
    <n v="-193040"/>
    <x v="78"/>
  </r>
  <r>
    <n v="2026"/>
    <n v="4"/>
    <s v="22-04-2026"/>
    <n v="10775"/>
    <s v="2116-01"/>
    <n v="12640"/>
    <n v="0"/>
    <s v="Mercadopago takasaki"/>
    <n v="12640"/>
    <s v="Pasivo"/>
    <n v="-12640"/>
    <x v="78"/>
  </r>
  <r>
    <n v="2026"/>
    <n v="4"/>
    <s v="22-04-2026"/>
    <n v="10775"/>
    <s v="2116-01"/>
    <n v="374000"/>
    <n v="0"/>
    <s v="Dlstarlink"/>
    <n v="374000"/>
    <s v="Pasivo"/>
    <n v="-374000"/>
    <x v="78"/>
  </r>
  <r>
    <n v="2026"/>
    <n v="4"/>
    <s v="22-04-2026"/>
    <n v="10775"/>
    <s v="2116-01"/>
    <n v="143183"/>
    <n v="0"/>
    <s v="Toku nubox payments"/>
    <n v="143183"/>
    <s v="Pasivo"/>
    <n v="-143183"/>
    <x v="78"/>
  </r>
  <r>
    <n v="2026"/>
    <n v="4"/>
    <s v="22-04-2026"/>
    <n v="10775"/>
    <s v="2116-01"/>
    <n v="233000"/>
    <n v="0"/>
    <s v="Dlstarlink"/>
    <n v="233000"/>
    <s v="Pasivo"/>
    <n v="-233000"/>
    <x v="78"/>
  </r>
  <r>
    <n v="2026"/>
    <n v="4"/>
    <s v="22-04-2026"/>
    <n v="10775"/>
    <s v="2116-01"/>
    <n v="1142550"/>
    <n v="0"/>
    <s v="Ministra pro"/>
    <n v="1142550"/>
    <s v="Pasivo"/>
    <n v="-1142550"/>
    <x v="78"/>
  </r>
  <r>
    <n v="2026"/>
    <n v="4"/>
    <s v="22-04-2026"/>
    <n v="10775"/>
    <s v="2116-01"/>
    <n v="24276"/>
    <n v="0"/>
    <s v="Adobe"/>
    <n v="24276"/>
    <s v="Pasivo"/>
    <n v="-24276"/>
    <x v="78"/>
  </r>
  <r>
    <n v="2026"/>
    <n v="4"/>
    <s v="22-04-2026"/>
    <n v="10775"/>
    <s v="2116-01"/>
    <n v="233846"/>
    <n v="0"/>
    <s v="Paypal devoz llc devo"/>
    <n v="233846"/>
    <s v="Pasivo"/>
    <n v="-233846"/>
    <x v="78"/>
  </r>
  <r>
    <n v="2026"/>
    <n v="4"/>
    <s v="22-04-2026"/>
    <n v="10775"/>
    <s v="2116-01"/>
    <n v="605417"/>
    <n v="0"/>
    <s v="Sytex.io"/>
    <n v="605417"/>
    <s v="Pasivo"/>
    <n v="-605417"/>
    <x v="78"/>
  </r>
  <r>
    <n v="2026"/>
    <n v="4"/>
    <s v="22-04-2026"/>
    <n v="10775"/>
    <s v="2116-01"/>
    <n v="395885"/>
    <n v="0"/>
    <s v="Paypal smartolt"/>
    <n v="395885"/>
    <s v="Pasivo"/>
    <n v="-395885"/>
    <x v="78"/>
  </r>
  <r>
    <n v="2026"/>
    <n v="4"/>
    <s v="22-04-2026"/>
    <n v="10775"/>
    <s v="2116-01"/>
    <n v="73768"/>
    <n v="0"/>
    <s v="Adobe adobe"/>
    <n v="73768"/>
    <s v="Pasivo"/>
    <n v="-73768"/>
    <x v="78"/>
  </r>
  <r>
    <n v="2026"/>
    <n v="4"/>
    <s v="23-04-2026"/>
    <n v="7643"/>
    <s v="2116-01"/>
    <n v="500000"/>
    <n v="0"/>
    <s v="0995200007 transf a muevo copec em"/>
    <n v="500000"/>
    <s v="Pasivo"/>
    <n v="-500000"/>
    <x v="78"/>
  </r>
  <r>
    <n v="2026"/>
    <n v="4"/>
    <s v="23-04-2026"/>
    <n v="8336"/>
    <s v="2116-01"/>
    <n v="75980"/>
    <n v="0"/>
    <s v="Centralización pagos abril 2026 #726 - #726"/>
    <n v="75980"/>
    <s v="Pasivo"/>
    <n v="-75980"/>
    <x v="78"/>
  </r>
  <r>
    <n v="2026"/>
    <n v="4"/>
    <s v="23-04-2026"/>
    <n v="8410"/>
    <s v="2116-01"/>
    <n v="30770"/>
    <n v="0"/>
    <s v="Centralización pagos abril 2026 #804 - #804"/>
    <n v="30770"/>
    <s v="Pasivo"/>
    <n v="-30770"/>
    <x v="78"/>
  </r>
  <r>
    <n v="2026"/>
    <n v="4"/>
    <s v="25-04-2026"/>
    <n v="8411"/>
    <s v="2116-01"/>
    <n v="11722"/>
    <n v="0"/>
    <s v="Centralización pagos abril 2026 #812 - #812"/>
    <n v="11722"/>
    <s v="Pasivo"/>
    <n v="-11722"/>
    <x v="78"/>
  </r>
  <r>
    <n v="2026"/>
    <n v="4"/>
    <s v="26-04-2026"/>
    <n v="8302"/>
    <s v="2116-01"/>
    <n v="4000"/>
    <n v="0"/>
    <s v="Centralización pagos abril 2026 #694 - #694"/>
    <n v="4000"/>
    <s v="Pasivo"/>
    <n v="-4000"/>
    <x v="78"/>
  </r>
  <r>
    <n v="2026"/>
    <n v="4"/>
    <s v="27-04-2026"/>
    <n v="7646"/>
    <s v="2116-01"/>
    <n v="2075241"/>
    <n v="0"/>
    <s v="0761831402 transf a comercial lago"/>
    <n v="2075241"/>
    <s v="Pasivo"/>
    <n v="-2075241"/>
    <x v="78"/>
  </r>
  <r>
    <n v="2026"/>
    <n v="4"/>
    <s v="27-04-2026"/>
    <n v="7647"/>
    <s v="2116-01"/>
    <n v="1507333"/>
    <n v="0"/>
    <s v="0774546138 transf a optictimes spa"/>
    <n v="1507333"/>
    <s v="Pasivo"/>
    <n v="-1507333"/>
    <x v="78"/>
  </r>
  <r>
    <n v="2026"/>
    <n v="4"/>
    <s v="27-04-2026"/>
    <n v="7648"/>
    <s v="2116-01"/>
    <n v="1113840"/>
    <n v="0"/>
    <s v="0774546138 transf a optictimes spa"/>
    <n v="1113840"/>
    <s v="Pasivo"/>
    <n v="-1113840"/>
    <x v="78"/>
  </r>
  <r>
    <n v="2026"/>
    <n v="4"/>
    <s v="27-04-2026"/>
    <n v="7649"/>
    <s v="2116-01"/>
    <n v="1000000"/>
    <n v="0"/>
    <s v="077740671k transf a growthpro spa"/>
    <n v="1000000"/>
    <s v="Pasivo"/>
    <n v="-1000000"/>
    <x v="78"/>
  </r>
  <r>
    <n v="2026"/>
    <n v="4"/>
    <s v="27-04-2026"/>
    <n v="7650"/>
    <s v="2116-01"/>
    <n v="538426"/>
    <n v="0"/>
    <s v="0765672007 transf a tecnologia lk"/>
    <n v="538426"/>
    <s v="Pasivo"/>
    <n v="-538426"/>
    <x v="78"/>
  </r>
  <r>
    <n v="2026"/>
    <n v="4"/>
    <s v="27-04-2026"/>
    <n v="7651"/>
    <s v="2116-01"/>
    <n v="500000"/>
    <n v="0"/>
    <s v="0995200007 transf a muevo copec em"/>
    <n v="500000"/>
    <s v="Pasivo"/>
    <n v="-500000"/>
    <x v="78"/>
  </r>
  <r>
    <n v="2026"/>
    <n v="4"/>
    <s v="27-04-2026"/>
    <n v="7652"/>
    <s v="2116-01"/>
    <n v="300000"/>
    <n v="0"/>
    <s v="0779729982 transf a sociedad de pr"/>
    <n v="300000"/>
    <s v="Pasivo"/>
    <n v="-300000"/>
    <x v="78"/>
  </r>
  <r>
    <n v="2026"/>
    <n v="4"/>
    <s v="27-04-2026"/>
    <n v="7653"/>
    <s v="2116-01"/>
    <n v="202300"/>
    <n v="0"/>
    <s v="0775202467 transf a ingsor spa"/>
    <n v="202300"/>
    <s v="Pasivo"/>
    <n v="-202300"/>
    <x v="78"/>
  </r>
  <r>
    <n v="2026"/>
    <n v="4"/>
    <s v="27-04-2026"/>
    <n v="7655"/>
    <s v="2116-01"/>
    <n v="169799"/>
    <n v="0"/>
    <s v="0769818758 transf a contempora com"/>
    <n v="169799"/>
    <s v="Pasivo"/>
    <n v="-169799"/>
    <x v="78"/>
  </r>
  <r>
    <n v="2026"/>
    <n v="4"/>
    <s v="27-04-2026"/>
    <n v="7657"/>
    <s v="2116-01"/>
    <n v="117682"/>
    <n v="0"/>
    <s v="Pago en linea servipag"/>
    <n v="117682"/>
    <s v="Pasivo"/>
    <n v="-117682"/>
    <x v="78"/>
  </r>
  <r>
    <n v="2026"/>
    <n v="4"/>
    <s v="27-04-2026"/>
    <n v="7657"/>
    <s v="2116-01"/>
    <n v="4143"/>
    <n v="0"/>
    <s v="Pago en linea servipag"/>
    <n v="4143"/>
    <s v="Pasivo"/>
    <n v="-4143"/>
    <x v="78"/>
  </r>
  <r>
    <n v="2026"/>
    <n v="4"/>
    <s v="27-04-2026"/>
    <n v="7657"/>
    <s v="2116-01"/>
    <n v="7"/>
    <n v="0"/>
    <s v="Pago en linea servipag"/>
    <n v="7"/>
    <s v="Pasivo"/>
    <n v="-7"/>
    <x v="78"/>
  </r>
  <r>
    <n v="2026"/>
    <n v="4"/>
    <s v="27-04-2026"/>
    <n v="7661"/>
    <s v="2116-01"/>
    <n v="21896"/>
    <n v="0"/>
    <s v="0765672007 transf a tecnologia lk"/>
    <n v="21896"/>
    <s v="Pasivo"/>
    <n v="-21896"/>
    <x v="78"/>
  </r>
  <r>
    <n v="2026"/>
    <n v="4"/>
    <s v="27-04-2026"/>
    <n v="7662"/>
    <s v="2116-01"/>
    <n v="20000"/>
    <n v="0"/>
    <s v="0779729982 transf a sociedad de pr"/>
    <n v="20000"/>
    <s v="Pasivo"/>
    <n v="-20000"/>
    <x v="78"/>
  </r>
  <r>
    <n v="2026"/>
    <n v="4"/>
    <s v="27-04-2026"/>
    <n v="7663"/>
    <s v="2116-01"/>
    <n v="10000"/>
    <n v="0"/>
    <s v="0779729982 transf a sociedad de pr"/>
    <n v="10000"/>
    <s v="Pasivo"/>
    <n v="-10000"/>
    <x v="78"/>
  </r>
  <r>
    <n v="2026"/>
    <n v="4"/>
    <s v="27-04-2026"/>
    <n v="8335"/>
    <s v="2116-01"/>
    <n v="124000"/>
    <n v="0"/>
    <s v="Centralización pagos abril 2026 #721 - #721"/>
    <n v="124000"/>
    <s v="Pasivo"/>
    <n v="-124000"/>
    <x v="78"/>
  </r>
  <r>
    <n v="2026"/>
    <n v="4"/>
    <s v="27-04-2026"/>
    <n v="8401"/>
    <s v="2116-01"/>
    <n v="47700"/>
    <n v="0"/>
    <s v="Centralización pagos abril 2026 #770 - #770"/>
    <n v="47700"/>
    <s v="Pasivo"/>
    <n v="-47700"/>
    <x v="78"/>
  </r>
  <r>
    <n v="2026"/>
    <n v="4"/>
    <s v="28-04-2026"/>
    <n v="7666"/>
    <s v="2116-01"/>
    <n v="23511"/>
    <n v="0"/>
    <s v="Com.mantencion plan"/>
    <n v="23511"/>
    <s v="Pasivo"/>
    <n v="-23511"/>
    <x v="78"/>
  </r>
  <r>
    <n v="2026"/>
    <n v="4"/>
    <s v="28-04-2026"/>
    <n v="8400"/>
    <s v="2116-01"/>
    <n v="75980"/>
    <n v="0"/>
    <s v="Centralización pagos abril 2026 #760 - #760"/>
    <n v="75980"/>
    <s v="Pasivo"/>
    <n v="-75980"/>
    <x v="78"/>
  </r>
  <r>
    <n v="2026"/>
    <n v="4"/>
    <s v="29-04-2026"/>
    <n v="7667"/>
    <s v="2116-01"/>
    <n v="500000"/>
    <n v="0"/>
    <s v="0995200007 transf a muevo copec em"/>
    <n v="500000"/>
    <s v="Pasivo"/>
    <n v="-500000"/>
    <x v="78"/>
  </r>
  <r>
    <n v="2026"/>
    <n v="4"/>
    <s v="30-04-2026"/>
    <n v="10758"/>
    <s v="2116-01"/>
    <n v="66411542"/>
    <n v="0"/>
    <s v="Centralización compras abril 2026 - valor total"/>
    <n v="66411542"/>
    <s v="Pasivo"/>
    <n v="-66411542"/>
    <x v="78"/>
  </r>
  <r>
    <n v="2026"/>
    <n v="4"/>
    <s v="30-04-2026"/>
    <n v="10758"/>
    <s v="2116-01"/>
    <n v="0"/>
    <n v="170540401"/>
    <s v="Centralización compras abril 2026 - valor total"/>
    <n v="-170540401"/>
    <s v="Pasivo"/>
    <n v="170540401"/>
    <x v="78"/>
  </r>
  <r>
    <n v="2026"/>
    <n v="5"/>
    <s v="01-05-2026"/>
    <n v="8182"/>
    <s v="2116-01"/>
    <n v="14617"/>
    <n v="0"/>
    <s v="Centralización pagos mayo 2026 #643 - #643"/>
    <n v="14617"/>
    <s v="Pasivo"/>
    <n v="-14617"/>
    <x v="78"/>
  </r>
  <r>
    <n v="2026"/>
    <n v="5"/>
    <s v="01-05-2026"/>
    <n v="8430"/>
    <s v="2116-01"/>
    <n v="1"/>
    <n v="0"/>
    <s v="Centralización pagos mayo 2026 #821 - #821"/>
    <n v="1"/>
    <s v="Pasivo"/>
    <n v="-1"/>
    <x v="78"/>
  </r>
  <r>
    <n v="2026"/>
    <n v="5"/>
    <s v="02-05-2026"/>
    <n v="8414"/>
    <s v="2116-01"/>
    <n v="47700"/>
    <n v="0"/>
    <s v="Centralización pagos mayo 2026 #800 - #800"/>
    <n v="47700"/>
    <s v="Pasivo"/>
    <n v="-47700"/>
    <x v="78"/>
  </r>
  <r>
    <n v="2026"/>
    <n v="5"/>
    <s v="03-05-2026"/>
    <n v="8413"/>
    <s v="2116-01"/>
    <n v="75980"/>
    <n v="0"/>
    <s v="Centralización pagos mayo 2026 #791 - #791"/>
    <n v="75980"/>
    <s v="Pasivo"/>
    <n v="-75980"/>
    <x v="78"/>
  </r>
  <r>
    <n v="2026"/>
    <n v="5"/>
    <s v="05-05-2026"/>
    <n v="7700"/>
    <s v="2116-01"/>
    <n v="9086"/>
    <n v="0"/>
    <s v="Pago f 7822368 iatau"/>
    <n v="9086"/>
    <s v="Pasivo"/>
    <n v="-9086"/>
    <x v="78"/>
  </r>
  <r>
    <n v="2026"/>
    <n v="5"/>
    <s v="05-05-2026"/>
    <n v="7713"/>
    <s v="2116-01"/>
    <n v="535500"/>
    <n v="0"/>
    <s v="Pago f15 luxconnect spa"/>
    <n v="535500"/>
    <s v="Pasivo"/>
    <n v="-535500"/>
    <x v="78"/>
  </r>
  <r>
    <n v="2026"/>
    <n v="5"/>
    <s v="05-05-2026"/>
    <n v="7714"/>
    <s v="2116-01"/>
    <n v="500000"/>
    <n v="0"/>
    <s v="Pago f31373794 copec s.a."/>
    <n v="500000"/>
    <s v="Pasivo"/>
    <n v="-500000"/>
    <x v="78"/>
  </r>
  <r>
    <n v="2026"/>
    <n v="5"/>
    <s v="05-05-2026"/>
    <n v="8181"/>
    <s v="2116-01"/>
    <n v="301070"/>
    <n v="0"/>
    <s v="Centralización pagos mayo 2026 #594 - #594"/>
    <n v="301070"/>
    <s v="Pasivo"/>
    <n v="-301070"/>
    <x v="78"/>
  </r>
  <r>
    <n v="2026"/>
    <n v="5"/>
    <s v="05-05-2026"/>
    <n v="8304"/>
    <s v="2116-01"/>
    <n v="3000"/>
    <n v="0"/>
    <s v="Centralización pagos mayo 2026 #696 - #696"/>
    <n v="3000"/>
    <s v="Pasivo"/>
    <n v="-3000"/>
    <x v="78"/>
  </r>
  <r>
    <n v="2026"/>
    <n v="5"/>
    <s v="05-05-2026"/>
    <n v="8346"/>
    <s v="2116-01"/>
    <n v="20000"/>
    <n v="0"/>
    <s v="Centralización pagos mayo 2026 #707 - #707"/>
    <n v="20000"/>
    <s v="Pasivo"/>
    <n v="-20000"/>
    <x v="78"/>
  </r>
  <r>
    <n v="2026"/>
    <n v="5"/>
    <s v="05-05-2026"/>
    <n v="8347"/>
    <s v="2116-01"/>
    <n v="70000"/>
    <n v="0"/>
    <s v="Centralización pagos mayo 2026 #716 - #716"/>
    <n v="70000"/>
    <s v="Pasivo"/>
    <n v="-70000"/>
    <x v="78"/>
  </r>
  <r>
    <n v="2026"/>
    <n v="5"/>
    <s v="06-05-2026"/>
    <n v="7715"/>
    <s v="2116-01"/>
    <n v="2219998"/>
    <n v="0"/>
    <s v="Pago f4896685 telefonica empresas chile s.a."/>
    <n v="2219998"/>
    <s v="Pasivo"/>
    <n v="-2219998"/>
    <x v="78"/>
  </r>
  <r>
    <n v="2026"/>
    <n v="5"/>
    <s v="06-05-2026"/>
    <n v="7718"/>
    <s v="2116-01"/>
    <n v="612007"/>
    <n v="0"/>
    <s v="Pago f526 growthpro spa"/>
    <n v="612007"/>
    <s v="Pasivo"/>
    <n v="-612007"/>
    <x v="78"/>
  </r>
  <r>
    <n v="2026"/>
    <n v="5"/>
    <s v="06-05-2026"/>
    <n v="8307"/>
    <s v="2116-01"/>
    <n v="175620"/>
    <n v="0"/>
    <s v="Centralización pagos mayo 2026 #683 - #683"/>
    <n v="175620"/>
    <s v="Pasivo"/>
    <n v="-175620"/>
    <x v="78"/>
  </r>
  <r>
    <n v="2026"/>
    <n v="5"/>
    <s v="07-05-2026"/>
    <n v="7719"/>
    <s v="2116-01"/>
    <n v="6050833"/>
    <n v="0"/>
    <s v="Pago f8561 inversiones y telecomunicaciones r y m spa"/>
    <n v="6050833"/>
    <s v="Pasivo"/>
    <n v="-6050833"/>
    <x v="78"/>
  </r>
  <r>
    <n v="2026"/>
    <n v="5"/>
    <s v="07-05-2026"/>
    <n v="7720"/>
    <s v="2116-01"/>
    <n v="4323468"/>
    <n v="0"/>
    <s v="Pago f38429 grupo zgh spa"/>
    <n v="4323468"/>
    <s v="Pasivo"/>
    <n v="-4323468"/>
    <x v="78"/>
  </r>
  <r>
    <n v="2026"/>
    <n v="5"/>
    <s v="07-05-2026"/>
    <n v="7721"/>
    <s v="2116-01"/>
    <n v="3821541"/>
    <n v="0"/>
    <s v="Pago f279 asociacion gremial de pequenos proveedores de internet y television"/>
    <n v="3821541"/>
    <s v="Pasivo"/>
    <n v="-3821541"/>
    <x v="78"/>
  </r>
  <r>
    <n v="2026"/>
    <n v="5"/>
    <s v="07-05-2026"/>
    <n v="7723"/>
    <s v="2116-01"/>
    <n v="3152876"/>
    <n v="0"/>
    <s v="Pago f11541 pit chile spa"/>
    <n v="3152876"/>
    <s v="Pasivo"/>
    <n v="-3152876"/>
    <x v="78"/>
  </r>
  <r>
    <n v="2026"/>
    <n v="5"/>
    <s v="07-05-2026"/>
    <n v="7724"/>
    <s v="2116-01"/>
    <n v="2275760"/>
    <n v="0"/>
    <s v="Pago f9112 silica networks chile s.a."/>
    <n v="2275760"/>
    <s v="Pasivo"/>
    <n v="-2275760"/>
    <x v="78"/>
  </r>
  <r>
    <n v="2026"/>
    <n v="5"/>
    <s v="07-05-2026"/>
    <n v="7725"/>
    <s v="2116-01"/>
    <n v="1484447"/>
    <n v="0"/>
    <s v="Pago f15583 asesorias tributarias pedro gonzalez limitada"/>
    <n v="1484447"/>
    <s v="Pasivo"/>
    <n v="-1484447"/>
    <x v="78"/>
  </r>
  <r>
    <n v="2026"/>
    <n v="5"/>
    <s v="07-05-2026"/>
    <n v="7726"/>
    <s v="2116-01"/>
    <n v="1422350"/>
    <n v="0"/>
    <s v="Pago f3746 ficom telecomunicaciones spa"/>
    <n v="1422350"/>
    <s v="Pasivo"/>
    <n v="-1422350"/>
    <x v="78"/>
  </r>
  <r>
    <n v="2026"/>
    <n v="5"/>
    <s v="07-05-2026"/>
    <n v="7727"/>
    <s v="2116-01"/>
    <n v="1105510"/>
    <n v="0"/>
    <s v="Pago f36635 comercial lagos e hijos ltda."/>
    <n v="1105510"/>
    <s v="Pasivo"/>
    <n v="-1105510"/>
    <x v="78"/>
  </r>
  <r>
    <n v="2026"/>
    <n v="5"/>
    <s v="07-05-2026"/>
    <n v="7728"/>
    <s v="2116-01"/>
    <n v="1012739"/>
    <n v="0"/>
    <s v="Pago f8733 ascenty chile spa"/>
    <n v="1012739"/>
    <s v="Pasivo"/>
    <n v="-1012739"/>
    <x v="78"/>
  </r>
  <r>
    <n v="2026"/>
    <n v="5"/>
    <s v="07-05-2026"/>
    <n v="7730"/>
    <s v="2116-01"/>
    <n v="971940"/>
    <n v="0"/>
    <s v="Pago f38430 grupo zgh spa"/>
    <n v="971940"/>
    <s v="Pasivo"/>
    <n v="-971940"/>
    <x v="78"/>
  </r>
  <r>
    <n v="2026"/>
    <n v="5"/>
    <s v="07-05-2026"/>
    <n v="7731"/>
    <s v="2116-01"/>
    <n v="811628"/>
    <n v="0"/>
    <s v="Pago f324 alberto diaz de valdes e hija limitada"/>
    <n v="811628"/>
    <s v="Pasivo"/>
    <n v="-811628"/>
    <x v="78"/>
  </r>
  <r>
    <n v="2026"/>
    <n v="5"/>
    <s v="07-05-2026"/>
    <n v="7732"/>
    <s v="2116-01"/>
    <n v="801579"/>
    <n v="0"/>
    <s v="Pago f412888 tecnologia lk spa"/>
    <n v="801579"/>
    <s v="Pasivo"/>
    <n v="-801579"/>
    <x v="78"/>
  </r>
  <r>
    <n v="2026"/>
    <n v="5"/>
    <s v="07-05-2026"/>
    <n v="7733"/>
    <s v="2116-01"/>
    <n v="797147"/>
    <n v="0"/>
    <s v="Pago f9092 inversiones y telecomunicaciones r y m spa"/>
    <n v="797147"/>
    <s v="Pasivo"/>
    <n v="-797147"/>
    <x v="78"/>
  </r>
  <r>
    <n v="2026"/>
    <n v="5"/>
    <s v="07-05-2026"/>
    <n v="7735"/>
    <s v="2116-01"/>
    <n v="711175"/>
    <n v="0"/>
    <s v="Pago f3745 ficom telecomunicaciones spa"/>
    <n v="711175"/>
    <s v="Pasivo"/>
    <n v="-711175"/>
    <x v="78"/>
  </r>
  <r>
    <n v="2026"/>
    <n v="5"/>
    <s v="07-05-2026"/>
    <n v="7737"/>
    <s v="2116-01"/>
    <n v="500000"/>
    <n v="0"/>
    <s v="0995200007 transf a muevo copec em"/>
    <n v="500000"/>
    <s v="Pasivo"/>
    <n v="-500000"/>
    <x v="78"/>
  </r>
  <r>
    <n v="2026"/>
    <n v="5"/>
    <s v="07-05-2026"/>
    <n v="7738"/>
    <s v="2116-01"/>
    <n v="476000"/>
    <n v="0"/>
    <s v="Pago f5551 cia de comunicaciones coyhaique limitada"/>
    <n v="476000"/>
    <s v="Pasivo"/>
    <n v="-476000"/>
    <x v="78"/>
  </r>
  <r>
    <n v="2026"/>
    <n v="5"/>
    <s v="07-05-2026"/>
    <n v="7739"/>
    <s v="2116-01"/>
    <n v="401200"/>
    <n v="0"/>
    <s v="Pago f5113 cg abogados limitada"/>
    <n v="401200"/>
    <s v="Pasivo"/>
    <n v="-401200"/>
    <x v="78"/>
  </r>
  <r>
    <n v="2026"/>
    <n v="5"/>
    <s v="07-05-2026"/>
    <n v="7740"/>
    <s v="2116-01"/>
    <n v="341364"/>
    <n v="0"/>
    <s v="Pago f77612 powerhost telecom spa"/>
    <n v="341364"/>
    <s v="Pasivo"/>
    <n v="-341364"/>
    <x v="78"/>
  </r>
  <r>
    <n v="2026"/>
    <n v="5"/>
    <s v="07-05-2026"/>
    <n v="7743"/>
    <s v="2116-01"/>
    <n v="230271"/>
    <n v="0"/>
    <s v="Pago f1085498 fedex express chile spa"/>
    <n v="230271"/>
    <s v="Pasivo"/>
    <n v="-230271"/>
    <x v="78"/>
  </r>
  <r>
    <n v="2026"/>
    <n v="5"/>
    <s v="07-05-2026"/>
    <n v="7747"/>
    <s v="2116-01"/>
    <n v="80931"/>
    <n v="0"/>
    <s v="Pago f8732 ascenty chile spa"/>
    <n v="80931"/>
    <s v="Pasivo"/>
    <n v="-80931"/>
    <x v="78"/>
  </r>
  <r>
    <n v="2026"/>
    <n v="5"/>
    <s v="07-05-2026"/>
    <n v="7748"/>
    <s v="2116-01"/>
    <n v="76175"/>
    <n v="0"/>
    <s v="Pago f8730 ascenty chile spa"/>
    <n v="76175"/>
    <s v="Pasivo"/>
    <n v="-76175"/>
    <x v="78"/>
  </r>
  <r>
    <n v="2026"/>
    <n v="5"/>
    <s v="07-05-2026"/>
    <n v="7749"/>
    <s v="2116-01"/>
    <n v="76175"/>
    <n v="0"/>
    <s v="Pago f8731 ascenty chile spa"/>
    <n v="76175"/>
    <s v="Pasivo"/>
    <n v="-76175"/>
    <x v="78"/>
  </r>
  <r>
    <n v="2026"/>
    <n v="5"/>
    <s v="07-05-2026"/>
    <n v="7750"/>
    <s v="2116-01"/>
    <n v="71400"/>
    <n v="0"/>
    <s v="Pago f147 zettabyte spa"/>
    <n v="71400"/>
    <s v="Pasivo"/>
    <n v="-71400"/>
    <x v="78"/>
  </r>
  <r>
    <n v="2026"/>
    <n v="5"/>
    <s v="07-05-2026"/>
    <n v="7751"/>
    <s v="2116-01"/>
    <n v="64205"/>
    <n v="0"/>
    <s v="Pago f8729 ascenty chile spa"/>
    <n v="64205"/>
    <s v="Pasivo"/>
    <n v="-64205"/>
    <x v="78"/>
  </r>
  <r>
    <n v="2026"/>
    <n v="5"/>
    <s v="07-05-2026"/>
    <n v="7752"/>
    <s v="2116-01"/>
    <n v="64141"/>
    <n v="0"/>
    <s v="Pago f8728 ascenty chile spa"/>
    <n v="64141"/>
    <s v="Pasivo"/>
    <n v="-64141"/>
    <x v="78"/>
  </r>
  <r>
    <n v="2026"/>
    <n v="5"/>
    <s v="07-05-2026"/>
    <n v="7753"/>
    <s v="2116-01"/>
    <n v="64012"/>
    <n v="0"/>
    <s v="Pago f8727 ascenty chile spa"/>
    <n v="64012"/>
    <s v="Pasivo"/>
    <n v="-64012"/>
    <x v="78"/>
  </r>
  <r>
    <n v="2026"/>
    <n v="5"/>
    <s v="07-05-2026"/>
    <n v="7754"/>
    <s v="2116-01"/>
    <n v="41650"/>
    <n v="0"/>
    <s v="Pago f377 productora energeek limitada"/>
    <n v="41650"/>
    <s v="Pasivo"/>
    <n v="-41650"/>
    <x v="78"/>
  </r>
  <r>
    <n v="2026"/>
    <n v="5"/>
    <s v="07-05-2026"/>
    <n v="8305"/>
    <s v="2116-01"/>
    <n v="30500"/>
    <n v="0"/>
    <s v="Centralización pagos mayo 2026 #697 - #697"/>
    <n v="30500"/>
    <s v="Pasivo"/>
    <n v="-30500"/>
    <x v="78"/>
  </r>
  <r>
    <n v="2026"/>
    <n v="5"/>
    <s v="07-05-2026"/>
    <n v="8349"/>
    <s v="2116-01"/>
    <n v="20000"/>
    <n v="0"/>
    <s v="Centralización pagos mayo 2026 #743 - #743"/>
    <n v="20000"/>
    <s v="Pasivo"/>
    <n v="-20000"/>
    <x v="78"/>
  </r>
  <r>
    <n v="2026"/>
    <n v="5"/>
    <s v="08-05-2026"/>
    <n v="7756"/>
    <s v="2116-01"/>
    <n v="4116428"/>
    <n v="0"/>
    <s v="Pago f6936 telxius cable chile s.a."/>
    <n v="4116428"/>
    <s v="Pasivo"/>
    <n v="-4116428"/>
    <x v="78"/>
  </r>
  <r>
    <n v="2026"/>
    <n v="5"/>
    <s v="08-05-2026"/>
    <n v="7757"/>
    <s v="2116-01"/>
    <n v="3248455"/>
    <n v="0"/>
    <s v="Pago f38528 tac communications s.a."/>
    <n v="3248455"/>
    <s v="Pasivo"/>
    <n v="-3248455"/>
    <x v="78"/>
  </r>
  <r>
    <n v="2026"/>
    <n v="5"/>
    <s v="08-05-2026"/>
    <n v="7758"/>
    <s v="2116-01"/>
    <n v="2089713"/>
    <n v="0"/>
    <s v="Pago f273 sociedad de inversiones straubing s.a."/>
    <n v="2089713"/>
    <s v="Pasivo"/>
    <n v="-2089713"/>
    <x v="78"/>
  </r>
  <r>
    <n v="2026"/>
    <n v="5"/>
    <s v="08-05-2026"/>
    <n v="7759"/>
    <s v="2116-01"/>
    <n v="772310"/>
    <n v="0"/>
    <s v="Pago f39053 tac communications s.a."/>
    <n v="772310"/>
    <s v="Pasivo"/>
    <n v="-772310"/>
    <x v="78"/>
  </r>
  <r>
    <n v="2026"/>
    <n v="5"/>
    <s v="08-05-2026"/>
    <n v="7760"/>
    <s v="2116-01"/>
    <n v="751000"/>
    <n v="0"/>
    <s v="Pago f10362 globalconnect spa"/>
    <n v="751000"/>
    <s v="Pasivo"/>
    <n v="-751000"/>
    <x v="78"/>
  </r>
  <r>
    <n v="2026"/>
    <n v="5"/>
    <s v="08-05-2026"/>
    <n v="7761"/>
    <s v="2116-01"/>
    <n v="271320"/>
    <n v="0"/>
    <s v="Pago f2104 erika del carmen celis fernandez"/>
    <n v="271320"/>
    <s v="Pasivo"/>
    <n v="-271320"/>
    <x v="78"/>
  </r>
  <r>
    <n v="2026"/>
    <n v="5"/>
    <s v="08-05-2026"/>
    <n v="7762"/>
    <s v="2116-01"/>
    <n v="254455"/>
    <n v="0"/>
    <s v="Pago f297048 buk spa"/>
    <n v="254455"/>
    <s v="Pasivo"/>
    <n v="-254455"/>
    <x v="78"/>
  </r>
  <r>
    <n v="2026"/>
    <n v="5"/>
    <s v="08-05-2026"/>
    <n v="7765"/>
    <s v="2116-01"/>
    <n v="160000"/>
    <n v="0"/>
    <s v="Pago f60374 voissnet cloud services s.p.a."/>
    <n v="160000"/>
    <s v="Pasivo"/>
    <n v="-160000"/>
    <x v="78"/>
  </r>
  <r>
    <n v="2026"/>
    <n v="5"/>
    <s v="11-05-2026"/>
    <n v="7774"/>
    <s v="2116-01"/>
    <n v="500000"/>
    <n v="0"/>
    <s v="0995200007 transf a muevo copec em"/>
    <n v="500000"/>
    <s v="Pasivo"/>
    <n v="-500000"/>
    <x v="78"/>
  </r>
  <r>
    <n v="2026"/>
    <n v="5"/>
    <s v="12-05-2026"/>
    <n v="7777"/>
    <s v="2116-01"/>
    <n v="4000000"/>
    <n v="0"/>
    <s v="Pago f96 mileniumnet spa."/>
    <n v="4000000"/>
    <s v="Pasivo"/>
    <n v="-4000000"/>
    <x v="78"/>
  </r>
  <r>
    <n v="2026"/>
    <n v="5"/>
    <s v="12-05-2026"/>
    <n v="7779"/>
    <s v="2116-01"/>
    <n v="1230764"/>
    <n v="0"/>
    <s v="Pago f96 mileniumnet spa."/>
    <n v="1230764"/>
    <s v="Pasivo"/>
    <n v="-1230764"/>
    <x v="78"/>
  </r>
  <r>
    <n v="2026"/>
    <n v="5"/>
    <s v="12-05-2026"/>
    <n v="7780"/>
    <s v="2116-01"/>
    <n v="1000000"/>
    <n v="0"/>
    <s v="Pago f57881 compañia de telecomunicaciones sistek sp"/>
    <n v="1000000"/>
    <s v="Pasivo"/>
    <n v="-1000000"/>
    <x v="78"/>
  </r>
  <r>
    <n v="2026"/>
    <n v="5"/>
    <s v="12-05-2026"/>
    <n v="7782"/>
    <s v="2116-01"/>
    <n v="500000"/>
    <n v="0"/>
    <s v="0995200007 transf a muevo copec em"/>
    <n v="500000"/>
    <s v="Pasivo"/>
    <n v="-500000"/>
    <x v="78"/>
  </r>
  <r>
    <n v="2026"/>
    <n v="5"/>
    <s v="12-05-2026"/>
    <n v="7783"/>
    <s v="2116-01"/>
    <n v="163090"/>
    <n v="0"/>
    <s v="Pago f12178914 dimerc sa"/>
    <n v="163090"/>
    <s v="Pasivo"/>
    <n v="-163090"/>
    <x v="78"/>
  </r>
  <r>
    <n v="2026"/>
    <n v="5"/>
    <s v="12-05-2026"/>
    <n v="8348"/>
    <s v="2116-01"/>
    <n v="30000"/>
    <n v="0"/>
    <s v="Centralización pagos mayo 2026 #718 - #718"/>
    <n v="30000"/>
    <s v="Pasivo"/>
    <n v="-30000"/>
    <x v="78"/>
  </r>
  <r>
    <n v="2026"/>
    <n v="5"/>
    <s v="12-05-2026"/>
    <n v="8412"/>
    <s v="2116-01"/>
    <n v="20000"/>
    <n v="0"/>
    <s v="Centralización pagos mayo 2026 #778 - #778"/>
    <n v="20000"/>
    <s v="Pasivo"/>
    <n v="-20000"/>
    <x v="78"/>
  </r>
  <r>
    <n v="2026"/>
    <n v="5"/>
    <s v="13-05-2026"/>
    <n v="7789"/>
    <s v="2116-01"/>
    <n v="4424800"/>
    <n v="0"/>
    <s v="Pago f38891 tac communications s.a."/>
    <n v="4424800"/>
    <s v="Pasivo"/>
    <n v="-4424800"/>
    <x v="78"/>
  </r>
  <r>
    <n v="2026"/>
    <n v="5"/>
    <s v="13-05-2026"/>
    <n v="7790"/>
    <s v="2116-01"/>
    <n v="2278374"/>
    <n v="0"/>
    <s v="Pago f39110 tac communications s.a."/>
    <n v="2278374"/>
    <s v="Pasivo"/>
    <n v="-2278374"/>
    <x v="78"/>
  </r>
  <r>
    <n v="2026"/>
    <n v="5"/>
    <s v="13-05-2026"/>
    <n v="7791"/>
    <s v="2116-01"/>
    <n v="2042040"/>
    <n v="0"/>
    <s v="Pago f37111 comercial lagos e hijos ltda."/>
    <n v="2042040"/>
    <s v="Pasivo"/>
    <n v="-2042040"/>
    <x v="78"/>
  </r>
  <r>
    <n v="2026"/>
    <n v="5"/>
    <s v="13-05-2026"/>
    <n v="7792"/>
    <s v="2116-01"/>
    <n v="1612007"/>
    <n v="0"/>
    <s v="Pago f540 growthpro spa"/>
    <n v="1612007"/>
    <s v="Pasivo"/>
    <n v="-1612007"/>
    <x v="78"/>
  </r>
  <r>
    <n v="2026"/>
    <n v="5"/>
    <s v="13-05-2026"/>
    <n v="7793"/>
    <s v="2116-01"/>
    <n v="1256649"/>
    <n v="0"/>
    <s v="Pago f57881 compañia de telecomunicaciones sistek sp"/>
    <n v="1256649"/>
    <s v="Pasivo"/>
    <n v="-1256649"/>
    <x v="78"/>
  </r>
  <r>
    <n v="2026"/>
    <n v="5"/>
    <s v="13-05-2026"/>
    <n v="7794"/>
    <s v="2116-01"/>
    <n v="258389"/>
    <n v="0"/>
    <s v="Pago en linea servipag"/>
    <n v="258389"/>
    <s v="Pasivo"/>
    <n v="-258389"/>
    <x v="78"/>
  </r>
  <r>
    <n v="2026"/>
    <n v="5"/>
    <s v="13-05-2026"/>
    <n v="7794"/>
    <s v="2116-01"/>
    <n v="30600"/>
    <n v="0"/>
    <s v="Pago en linea servipag"/>
    <n v="30600"/>
    <s v="Pasivo"/>
    <n v="-30600"/>
    <x v="78"/>
  </r>
  <r>
    <n v="2026"/>
    <n v="5"/>
    <s v="13-05-2026"/>
    <n v="7794"/>
    <s v="2116-01"/>
    <n v="76163"/>
    <n v="0"/>
    <s v="Pago en linea servipag"/>
    <n v="76163"/>
    <s v="Pasivo"/>
    <n v="-76163"/>
    <x v="78"/>
  </r>
  <r>
    <n v="2026"/>
    <n v="5"/>
    <s v="13-05-2026"/>
    <n v="7794"/>
    <s v="2116-01"/>
    <n v="90414"/>
    <n v="0"/>
    <s v="Pago en linea servipag"/>
    <n v="90414"/>
    <s v="Pasivo"/>
    <n v="-90414"/>
    <x v="78"/>
  </r>
  <r>
    <n v="2026"/>
    <n v="5"/>
    <s v="13-05-2026"/>
    <n v="7794"/>
    <s v="2116-01"/>
    <n v="16449"/>
    <n v="0"/>
    <s v="Pago en linea servipag"/>
    <n v="16449"/>
    <s v="Pasivo"/>
    <n v="-16449"/>
    <x v="78"/>
  </r>
  <r>
    <n v="2026"/>
    <n v="5"/>
    <s v="13-05-2026"/>
    <n v="7794"/>
    <s v="2116-01"/>
    <n v="121232"/>
    <n v="0"/>
    <s v="Pago en linea servipag"/>
    <n v="121232"/>
    <s v="Pasivo"/>
    <n v="-121232"/>
    <x v="78"/>
  </r>
  <r>
    <n v="2026"/>
    <n v="5"/>
    <s v="13-05-2026"/>
    <n v="7795"/>
    <s v="2116-01"/>
    <n v="308448"/>
    <n v="0"/>
    <s v="Pago f413646 tecnologia lk spa"/>
    <n v="308448"/>
    <s v="Pasivo"/>
    <n v="-308448"/>
    <x v="78"/>
  </r>
  <r>
    <n v="2026"/>
    <n v="5"/>
    <s v="13-05-2026"/>
    <n v="7796"/>
    <s v="2116-01"/>
    <n v="263022"/>
    <n v="0"/>
    <s v="Pago f10453 central sistemas spa"/>
    <n v="263022"/>
    <s v="Pasivo"/>
    <n v="-263022"/>
    <x v="78"/>
  </r>
  <r>
    <n v="2026"/>
    <n v="5"/>
    <s v="13-05-2026"/>
    <n v="7797"/>
    <s v="2116-01"/>
    <n v="90200"/>
    <n v="0"/>
    <s v="Pago f196605 regus management de chile limitada"/>
    <n v="90200"/>
    <s v="Pasivo"/>
    <n v="-90200"/>
    <x v="78"/>
  </r>
  <r>
    <n v="2026"/>
    <n v="5"/>
    <s v="13-05-2026"/>
    <n v="7798"/>
    <s v="2116-01"/>
    <n v="71732"/>
    <n v="0"/>
    <s v="Pago f388 mdd soluciones spa"/>
    <n v="71732"/>
    <s v="Pasivo"/>
    <n v="-71732"/>
    <x v="78"/>
  </r>
  <r>
    <n v="2026"/>
    <n v="5"/>
    <s v="13-05-2026"/>
    <n v="7799"/>
    <s v="2116-01"/>
    <n v="47700"/>
    <n v="0"/>
    <s v="Pago f217628 inversiones y proyectos haensgen limitada"/>
    <n v="47700"/>
    <s v="Pasivo"/>
    <n v="-47700"/>
    <x v="78"/>
  </r>
  <r>
    <n v="2026"/>
    <n v="5"/>
    <s v="13-05-2026"/>
    <n v="8344"/>
    <s v="2116-01"/>
    <n v="9740"/>
    <n v="0"/>
    <s v="Centralización pagos mayo 2026 #705 - #705"/>
    <n v="9740"/>
    <s v="Pasivo"/>
    <n v="-9740"/>
    <x v="78"/>
  </r>
  <r>
    <n v="2026"/>
    <n v="5"/>
    <s v="13-05-2026"/>
    <n v="8345"/>
    <s v="2116-01"/>
    <n v="367970"/>
    <n v="0"/>
    <s v="Centralización pagos mayo 2026 #706 - #706"/>
    <n v="367970"/>
    <s v="Pasivo"/>
    <n v="-367970"/>
    <x v="78"/>
  </r>
  <r>
    <n v="2026"/>
    <n v="5"/>
    <s v="14-05-2026"/>
    <n v="7800"/>
    <s v="2116-01"/>
    <n v="500000"/>
    <n v="0"/>
    <s v="0995200007 transf a muevo copec em"/>
    <n v="500000"/>
    <s v="Pasivo"/>
    <n v="-500000"/>
    <x v="78"/>
  </r>
  <r>
    <n v="2026"/>
    <n v="5"/>
    <s v="14-05-2026"/>
    <n v="7801"/>
    <s v="2116-01"/>
    <n v="31200"/>
    <n v="0"/>
    <s v="Pago f245476 comercial rio puelo limitada"/>
    <n v="31200"/>
    <s v="Pasivo"/>
    <n v="-31200"/>
    <x v="78"/>
  </r>
  <r>
    <n v="2026"/>
    <n v="5"/>
    <s v="14-05-2026"/>
    <n v="8183"/>
    <s v="2116-01"/>
    <n v="14004"/>
    <n v="0"/>
    <s v="Centralización pagos mayo 2026 #673 - #673"/>
    <n v="14004"/>
    <s v="Pasivo"/>
    <n v="-14004"/>
    <x v="78"/>
  </r>
  <r>
    <n v="2026"/>
    <n v="5"/>
    <s v="15-05-2026"/>
    <n v="7802"/>
    <s v="2116-01"/>
    <n v="2202772"/>
    <n v="0"/>
    <s v="Pago f13866 asesorias tributarias pedro gonzalez limitada"/>
    <n v="2202772"/>
    <s v="Pasivo"/>
    <n v="-2202772"/>
    <x v="78"/>
  </r>
  <r>
    <n v="2026"/>
    <n v="5"/>
    <s v="15-05-2026"/>
    <n v="7804"/>
    <s v="2116-01"/>
    <n v="100000"/>
    <n v="0"/>
    <s v="Pago f60377 voissnet cloud services s.p.a."/>
    <n v="100000"/>
    <s v="Pasivo"/>
    <n v="-100000"/>
    <x v="78"/>
  </r>
  <r>
    <n v="2026"/>
    <n v="5"/>
    <s v="15-05-2026"/>
    <n v="7805"/>
    <s v="2116-01"/>
    <n v="85001"/>
    <n v="0"/>
    <s v="Pago f60373 voissnet cloud services s.p.a."/>
    <n v="85001"/>
    <s v="Pasivo"/>
    <n v="-85001"/>
    <x v="78"/>
  </r>
  <r>
    <n v="2026"/>
    <n v="5"/>
    <s v="15-05-2026"/>
    <n v="7806"/>
    <s v="2116-01"/>
    <n v="65000"/>
    <n v="0"/>
    <s v="Pago f60372 voissnet cloud services s.p.a."/>
    <n v="65000"/>
    <s v="Pasivo"/>
    <n v="-65000"/>
    <x v="78"/>
  </r>
  <r>
    <n v="2026"/>
    <n v="5"/>
    <s v="15-05-2026"/>
    <n v="7807"/>
    <s v="2116-01"/>
    <n v="44000"/>
    <n v="0"/>
    <s v="Pago f58265 voissnet cloud services s.p.a."/>
    <n v="44000"/>
    <s v="Pasivo"/>
    <n v="-44000"/>
    <x v="78"/>
  </r>
  <r>
    <n v="2026"/>
    <n v="5"/>
    <s v="15-05-2026"/>
    <n v="7808"/>
    <s v="2116-01"/>
    <n v="42000"/>
    <n v="0"/>
    <s v="Pago f60379 voissnet cloud services s.p.a."/>
    <n v="42000"/>
    <s v="Pasivo"/>
    <n v="-42000"/>
    <x v="78"/>
  </r>
  <r>
    <n v="2026"/>
    <n v="5"/>
    <s v="15-05-2026"/>
    <n v="7809"/>
    <s v="2116-01"/>
    <n v="42000"/>
    <n v="0"/>
    <s v="Pago f60369 voissnet cloud services s.p.a."/>
    <n v="42000"/>
    <s v="Pasivo"/>
    <n v="-42000"/>
    <x v="78"/>
  </r>
  <r>
    <n v="2026"/>
    <n v="5"/>
    <s v="15-05-2026"/>
    <n v="7810"/>
    <s v="2116-01"/>
    <n v="42000"/>
    <n v="0"/>
    <s v="Pago f60375 voissnet cloud services s.p.a."/>
    <n v="42000"/>
    <s v="Pasivo"/>
    <n v="-42000"/>
    <x v="78"/>
  </r>
  <r>
    <n v="2026"/>
    <n v="5"/>
    <s v="15-05-2026"/>
    <n v="7811"/>
    <s v="2116-01"/>
    <n v="42000"/>
    <n v="0"/>
    <s v="Pago f60378 voissnet cloud services s.p.a."/>
    <n v="42000"/>
    <s v="Pasivo"/>
    <n v="-42000"/>
    <x v="78"/>
  </r>
  <r>
    <n v="2026"/>
    <n v="5"/>
    <s v="15-05-2026"/>
    <n v="7812"/>
    <s v="2116-01"/>
    <n v="42000"/>
    <n v="0"/>
    <s v="Pago f60370 voissnet cloud services s.p.a."/>
    <n v="42000"/>
    <s v="Pasivo"/>
    <n v="-42000"/>
    <x v="78"/>
  </r>
  <r>
    <n v="2026"/>
    <n v="5"/>
    <s v="15-05-2026"/>
    <n v="7813"/>
    <s v="2116-01"/>
    <n v="42000"/>
    <n v="0"/>
    <s v="Pago f60368 voissnet cloud services s.p.a."/>
    <n v="42000"/>
    <s v="Pasivo"/>
    <n v="-42000"/>
    <x v="78"/>
  </r>
  <r>
    <n v="2026"/>
    <n v="5"/>
    <s v="15-05-2026"/>
    <n v="7814"/>
    <s v="2116-01"/>
    <n v="42000"/>
    <n v="0"/>
    <s v="Pago f60371 voissnet cloud services s.p.a."/>
    <n v="42000"/>
    <s v="Pasivo"/>
    <n v="-42000"/>
    <x v="78"/>
  </r>
  <r>
    <n v="2026"/>
    <n v="5"/>
    <s v="15-05-2026"/>
    <n v="7815"/>
    <s v="2116-01"/>
    <n v="42000"/>
    <n v="0"/>
    <s v="Pago f60380 voissnet cloud services s.p.a."/>
    <n v="42000"/>
    <s v="Pasivo"/>
    <n v="-42000"/>
    <x v="78"/>
  </r>
  <r>
    <n v="2026"/>
    <n v="5"/>
    <s v="15-05-2026"/>
    <n v="7816"/>
    <s v="2116-01"/>
    <n v="42000"/>
    <n v="0"/>
    <s v="Pago f60376 voissnet cloud services s.p.a."/>
    <n v="42000"/>
    <s v="Pasivo"/>
    <n v="-42000"/>
    <x v="78"/>
  </r>
  <r>
    <n v="2026"/>
    <n v="5"/>
    <s v="15-05-2026"/>
    <n v="7817"/>
    <s v="2116-01"/>
    <n v="42000"/>
    <n v="0"/>
    <s v="Pago f59827 voissnet cloud services s.p.a."/>
    <n v="42000"/>
    <s v="Pasivo"/>
    <n v="-42000"/>
    <x v="78"/>
  </r>
  <r>
    <n v="2026"/>
    <n v="5"/>
    <s v="15-05-2026"/>
    <n v="8350"/>
    <s v="2116-01"/>
    <n v="12005"/>
    <n v="0"/>
    <s v="Centralización pagos mayo 2026 #755 - #755"/>
    <n v="12005"/>
    <s v="Pasivo"/>
    <n v="-12005"/>
    <x v="78"/>
  </r>
  <r>
    <n v="2026"/>
    <n v="5"/>
    <s v="15-05-2026"/>
    <n v="8429"/>
    <s v="2116-01"/>
    <n v="150000"/>
    <n v="0"/>
    <s v="Centralización pagos mayo 2026 #816 - #816"/>
    <n v="150000"/>
    <s v="Pasivo"/>
    <n v="-150000"/>
    <x v="78"/>
  </r>
  <r>
    <n v="2026"/>
    <n v="5"/>
    <s v="15-05-2026"/>
    <n v="8431"/>
    <s v="2116-01"/>
    <n v="31450"/>
    <n v="0"/>
    <s v="Centralización pagos mayo 2026 #822 - #822"/>
    <n v="31450"/>
    <s v="Pasivo"/>
    <n v="-31450"/>
    <x v="78"/>
  </r>
  <r>
    <n v="2026"/>
    <n v="5"/>
    <s v="17-05-2026"/>
    <n v="8306"/>
    <s v="2116-01"/>
    <n v="68200"/>
    <n v="0"/>
    <s v="Centralización pagos mayo 2026 #698 - #698"/>
    <n v="68200"/>
    <s v="Pasivo"/>
    <n v="-68200"/>
    <x v="78"/>
  </r>
  <r>
    <n v="2026"/>
    <n v="5"/>
    <s v="17-05-2026"/>
    <n v="8415"/>
    <s v="2116-01"/>
    <n v="20000"/>
    <n v="0"/>
    <s v="Centralización pagos mayo 2026 #807 - #807"/>
    <n v="20000"/>
    <s v="Pasivo"/>
    <n v="-20000"/>
    <x v="78"/>
  </r>
  <r>
    <n v="2026"/>
    <n v="5"/>
    <s v="18-05-2026"/>
    <n v="7822"/>
    <s v="2116-01"/>
    <n v="500000"/>
    <n v="0"/>
    <s v="0995200007 transf a muevo copec em"/>
    <n v="500000"/>
    <s v="Pasivo"/>
    <n v="-500000"/>
    <x v="78"/>
  </r>
  <r>
    <n v="2026"/>
    <n v="5"/>
    <s v="18-05-2026"/>
    <n v="7823"/>
    <s v="2116-01"/>
    <n v="359475"/>
    <n v="0"/>
    <s v="Pago f417720 tecnologia lk spa"/>
    <n v="359475"/>
    <s v="Pasivo"/>
    <n v="-359475"/>
    <x v="78"/>
  </r>
  <r>
    <n v="2026"/>
    <n v="5"/>
    <s v="20-05-2026"/>
    <n v="7831"/>
    <s v="2116-01"/>
    <n v="500000"/>
    <n v="0"/>
    <s v="0995200007 transf a muevo copec em"/>
    <n v="500000"/>
    <s v="Pasivo"/>
    <n v="-500000"/>
    <x v="78"/>
  </r>
  <r>
    <n v="2026"/>
    <n v="5"/>
    <s v="21-05-2026"/>
    <n v="8303"/>
    <s v="2116-01"/>
    <n v="36880"/>
    <n v="0"/>
    <s v="Centralización pagos mayo 2026 #686 - #686"/>
    <n v="36880"/>
    <s v="Pasivo"/>
    <n v="-36880"/>
    <x v="78"/>
  </r>
  <r>
    <n v="2026"/>
    <n v="5"/>
    <s v="22-05-2026"/>
    <n v="7833"/>
    <s v="2116-01"/>
    <n v="5000000"/>
    <n v="0"/>
    <s v="Pago f38891 tac communications s.a."/>
    <n v="5000000"/>
    <s v="Pasivo"/>
    <n v="-5000000"/>
    <x v="78"/>
  </r>
  <r>
    <n v="2026"/>
    <n v="5"/>
    <s v="22-05-2026"/>
    <n v="7835"/>
    <s v="2116-01"/>
    <n v="500000"/>
    <n v="0"/>
    <s v="0995200007 transf a muevo copec em"/>
    <n v="500000"/>
    <s v="Pasivo"/>
    <n v="-500000"/>
    <x v="78"/>
  </r>
  <r>
    <n v="2026"/>
    <n v="5"/>
    <s v="25-05-2026"/>
    <n v="7837"/>
    <s v="2116-01"/>
    <n v="4819500"/>
    <n v="0"/>
    <s v="Pago f37988 tac communications s.a."/>
    <n v="4819500"/>
    <s v="Pasivo"/>
    <n v="-4819500"/>
    <x v="78"/>
  </r>
  <r>
    <n v="2026"/>
    <n v="5"/>
    <s v="25-05-2026"/>
    <n v="7838"/>
    <s v="2116-01"/>
    <n v="3715000"/>
    <n v="0"/>
    <s v="Pago f38860 tac communications s.a."/>
    <n v="3715000"/>
    <s v="Pasivo"/>
    <n v="-3715000"/>
    <x v="78"/>
  </r>
  <r>
    <n v="2026"/>
    <n v="5"/>
    <s v="25-05-2026"/>
    <n v="7839"/>
    <s v="2116-01"/>
    <n v="1351398"/>
    <n v="0"/>
    <s v="Pago f303 lars spa"/>
    <n v="1351398"/>
    <s v="Pasivo"/>
    <n v="-1351398"/>
    <x v="78"/>
  </r>
  <r>
    <n v="2026"/>
    <n v="5"/>
    <s v="25-05-2026"/>
    <n v="7840"/>
    <s v="2116-01"/>
    <n v="1341220"/>
    <n v="0"/>
    <s v="Pago f38269 tac communications s.a."/>
    <n v="1341220"/>
    <s v="Pasivo"/>
    <n v="-1341220"/>
    <x v="78"/>
  </r>
  <r>
    <n v="2026"/>
    <n v="5"/>
    <s v="25-05-2026"/>
    <n v="7841"/>
    <s v="2116-01"/>
    <n v="557218"/>
    <n v="0"/>
    <s v="Pago f38908 tac communications s.a."/>
    <n v="557218"/>
    <s v="Pasivo"/>
    <n v="-557218"/>
    <x v="78"/>
  </r>
  <r>
    <n v="2026"/>
    <n v="5"/>
    <s v="25-05-2026"/>
    <n v="7845"/>
    <s v="2116-01"/>
    <n v="121232"/>
    <n v="0"/>
    <s v="Pago f2745204 operadora de sistemas electrónicos spa"/>
    <n v="121232"/>
    <s v="Pasivo"/>
    <n v="-121232"/>
    <x v="78"/>
  </r>
  <r>
    <n v="2026"/>
    <n v="5"/>
    <s v="25-05-2026"/>
    <n v="10786"/>
    <s v="2116-01"/>
    <n v="97908"/>
    <n v="0"/>
    <s v="Multiaval dos sagr"/>
    <n v="97908"/>
    <s v="Pasivo"/>
    <n v="-97908"/>
    <x v="78"/>
  </r>
  <r>
    <n v="2026"/>
    <n v="5"/>
    <s v="25-05-2026"/>
    <n v="10786"/>
    <s v="2116-01"/>
    <n v="60245"/>
    <n v="0"/>
    <s v="Facebk 33fguk5z92"/>
    <n v="60245"/>
    <s v="Pasivo"/>
    <n v="-60245"/>
    <x v="78"/>
  </r>
  <r>
    <n v="2026"/>
    <n v="5"/>
    <s v="25-05-2026"/>
    <n v="10786"/>
    <s v="2116-01"/>
    <n v="157016"/>
    <n v="0"/>
    <s v="Pago f58061 chipax spa"/>
    <n v="157016"/>
    <s v="Pasivo"/>
    <n v="-157016"/>
    <x v="78"/>
  </r>
  <r>
    <n v="2026"/>
    <n v="5"/>
    <s v="25-05-2026"/>
    <n v="10786"/>
    <s v="2116-01"/>
    <n v="60245"/>
    <n v="0"/>
    <s v="Facebk dqpr9l5z92"/>
    <n v="60245"/>
    <s v="Pasivo"/>
    <n v="-60245"/>
    <x v="78"/>
  </r>
  <r>
    <n v="2026"/>
    <n v="5"/>
    <s v="25-05-2026"/>
    <n v="10786"/>
    <s v="2116-01"/>
    <n v="2206"/>
    <n v="0"/>
    <s v="Facebk vpmz7k9y92"/>
    <n v="2206"/>
    <s v="Pasivo"/>
    <n v="-2206"/>
    <x v="78"/>
  </r>
  <r>
    <n v="2026"/>
    <n v="5"/>
    <s v="25-05-2026"/>
    <n v="10786"/>
    <s v="2116-01"/>
    <n v="60245"/>
    <n v="0"/>
    <s v="Facebk 7fv7uhmy92"/>
    <n v="60245"/>
    <s v="Pasivo"/>
    <n v="-60245"/>
    <x v="78"/>
  </r>
  <r>
    <n v="2026"/>
    <n v="5"/>
    <s v="25-05-2026"/>
    <n v="10786"/>
    <s v="2116-01"/>
    <n v="60245"/>
    <n v="0"/>
    <s v="Facebk k45vwmhy92"/>
    <n v="60245"/>
    <s v="Pasivo"/>
    <n v="-60245"/>
    <x v="78"/>
  </r>
  <r>
    <n v="2026"/>
    <n v="5"/>
    <s v="25-05-2026"/>
    <n v="10786"/>
    <s v="2116-01"/>
    <n v="60245"/>
    <n v="0"/>
    <s v="Facebk cq8qul9y92"/>
    <n v="60245"/>
    <s v="Pasivo"/>
    <n v="-60245"/>
    <x v="78"/>
  </r>
  <r>
    <n v="2026"/>
    <n v="5"/>
    <s v="25-05-2026"/>
    <n v="10786"/>
    <s v="2116-01"/>
    <n v="19980"/>
    <n v="0"/>
    <s v="Muy simple"/>
    <n v="19980"/>
    <s v="Pasivo"/>
    <n v="-19980"/>
    <x v="78"/>
  </r>
  <r>
    <n v="2026"/>
    <n v="5"/>
    <s v="25-05-2026"/>
    <n v="10787"/>
    <s v="2116-01"/>
    <n v="115922"/>
    <n v="0"/>
    <s v="Paris mall plaza vespu"/>
    <n v="115922"/>
    <s v="Pasivo"/>
    <n v="-115922"/>
    <x v="78"/>
  </r>
  <r>
    <n v="2026"/>
    <n v="5"/>
    <s v="25-05-2026"/>
    <n v="10787"/>
    <s v="2116-01"/>
    <n v="207835"/>
    <n v="0"/>
    <s v="Intcomex chile quilicu"/>
    <n v="207835"/>
    <s v="Pasivo"/>
    <n v="-207835"/>
    <x v="78"/>
  </r>
  <r>
    <n v="2026"/>
    <n v="5"/>
    <s v="25-05-2026"/>
    <n v="10787"/>
    <s v="2116-01"/>
    <n v="133330"/>
    <n v="0"/>
    <s v="Paris mall plaza vespu"/>
    <n v="133330"/>
    <s v="Pasivo"/>
    <n v="-133330"/>
    <x v="78"/>
  </r>
  <r>
    <n v="2026"/>
    <n v="5"/>
    <s v="25-05-2026"/>
    <n v="10788"/>
    <s v="2116-01"/>
    <n v="62590"/>
    <n v="0"/>
    <s v="Mercadopago mercadol"/>
    <n v="62590"/>
    <s v="Pasivo"/>
    <n v="-62590"/>
    <x v="78"/>
  </r>
  <r>
    <n v="2026"/>
    <n v="5"/>
    <s v="25-05-2026"/>
    <n v="10788"/>
    <s v="2116-01"/>
    <n v="353928"/>
    <n v="0"/>
    <s v="Paypal smartolt"/>
    <n v="353928"/>
    <s v="Pasivo"/>
    <n v="-353928"/>
    <x v="78"/>
  </r>
  <r>
    <n v="2026"/>
    <n v="5"/>
    <s v="25-05-2026"/>
    <n v="10788"/>
    <s v="2116-01"/>
    <n v="193040"/>
    <n v="0"/>
    <s v="Segur. falabella co"/>
    <n v="193040"/>
    <s v="Pasivo"/>
    <n v="-193040"/>
    <x v="78"/>
  </r>
  <r>
    <n v="2026"/>
    <n v="5"/>
    <s v="25-05-2026"/>
    <n v="10788"/>
    <s v="2116-01"/>
    <n v="73768"/>
    <n v="0"/>
    <s v="Adobe adobe"/>
    <n v="73768"/>
    <s v="Pasivo"/>
    <n v="-73768"/>
    <x v="78"/>
  </r>
  <r>
    <n v="2026"/>
    <n v="5"/>
    <s v="25-05-2026"/>
    <n v="10788"/>
    <s v="2116-01"/>
    <n v="602287"/>
    <n v="0"/>
    <s v="Sytex.io"/>
    <n v="602287"/>
    <s v="Pasivo"/>
    <n v="-602287"/>
    <x v="78"/>
  </r>
  <r>
    <n v="2026"/>
    <n v="5"/>
    <s v="25-05-2026"/>
    <n v="10788"/>
    <s v="2116-01"/>
    <n v="1146918"/>
    <n v="0"/>
    <s v="Ministra pro"/>
    <n v="1146918"/>
    <s v="Pasivo"/>
    <n v="-1146918"/>
    <x v="78"/>
  </r>
  <r>
    <n v="2026"/>
    <n v="5"/>
    <s v="25-05-2026"/>
    <n v="10788"/>
    <s v="2116-01"/>
    <n v="373993"/>
    <n v="0"/>
    <s v="Dlstarlink"/>
    <n v="373993"/>
    <s v="Pasivo"/>
    <n v="-373993"/>
    <x v="78"/>
  </r>
  <r>
    <n v="2026"/>
    <n v="5"/>
    <s v="25-05-2026"/>
    <n v="10788"/>
    <s v="2116-01"/>
    <n v="144232"/>
    <n v="0"/>
    <s v="Toku nubox payments"/>
    <n v="144232"/>
    <s v="Pasivo"/>
    <n v="-144232"/>
    <x v="78"/>
  </r>
  <r>
    <n v="2026"/>
    <n v="5"/>
    <s v="25-05-2026"/>
    <n v="10788"/>
    <s v="2116-01"/>
    <n v="232996"/>
    <n v="0"/>
    <s v="Starlink 2 starlink"/>
    <n v="232996"/>
    <s v="Pasivo"/>
    <n v="-232996"/>
    <x v="78"/>
  </r>
  <r>
    <n v="2026"/>
    <n v="5"/>
    <s v="25-05-2026"/>
    <n v="10788"/>
    <s v="2116-01"/>
    <n v="236346"/>
    <n v="0"/>
    <s v="Paypal devoz llc devo"/>
    <n v="236346"/>
    <s v="Pasivo"/>
    <n v="-236346"/>
    <x v="78"/>
  </r>
  <r>
    <n v="2026"/>
    <n v="5"/>
    <s v="26-05-2026"/>
    <n v="7848"/>
    <s v="2116-01"/>
    <n v="500000"/>
    <n v="0"/>
    <s v="0995200007 transf a muevo copec em"/>
    <n v="500000"/>
    <s v="Pasivo"/>
    <n v="-500000"/>
    <x v="78"/>
  </r>
  <r>
    <n v="2026"/>
    <n v="5"/>
    <s v="26-05-2026"/>
    <n v="7849"/>
    <s v="2116-01"/>
    <n v="500000"/>
    <n v="0"/>
    <s v="0995200007 transf a muevo copec em"/>
    <n v="500000"/>
    <s v="Pasivo"/>
    <n v="-500000"/>
    <x v="78"/>
  </r>
  <r>
    <n v="2026"/>
    <n v="5"/>
    <s v="27-05-2026"/>
    <n v="7851"/>
    <s v="2116-01"/>
    <n v="17887"/>
    <n v="0"/>
    <s v="Pago f56004291 santander - chile"/>
    <n v="17887"/>
    <s v="Pasivo"/>
    <n v="-17887"/>
    <x v="78"/>
  </r>
  <r>
    <n v="2026"/>
    <n v="5"/>
    <s v="27-05-2026"/>
    <n v="7851"/>
    <s v="2116-01"/>
    <n v="5788"/>
    <n v="0"/>
    <s v="Pago f15181613 santander - chile"/>
    <n v="5788"/>
    <s v="Pasivo"/>
    <n v="-5788"/>
    <x v="78"/>
  </r>
  <r>
    <n v="2026"/>
    <n v="5"/>
    <s v="28-05-2026"/>
    <n v="7852"/>
    <s v="2116-01"/>
    <n v="500000"/>
    <n v="0"/>
    <s v="0995200007 transf a muevo copec em"/>
    <n v="500000"/>
    <s v="Pasivo"/>
    <n v="-500000"/>
    <x v="78"/>
  </r>
  <r>
    <n v="2026"/>
    <n v="5"/>
    <s v="28-05-2026"/>
    <n v="8308"/>
    <s v="2116-01"/>
    <n v="10000"/>
    <n v="0"/>
    <s v="Centralización pagos mayo 2026 #699 - #699"/>
    <n v="10000"/>
    <s v="Pasivo"/>
    <n v="-10000"/>
    <x v="78"/>
  </r>
  <r>
    <n v="2026"/>
    <n v="5"/>
    <s v="29-05-2026"/>
    <n v="7705"/>
    <s v="2116-01"/>
    <n v="75449"/>
    <n v="0"/>
    <s v="Remesa transf extranjero web"/>
    <n v="75449"/>
    <s v="Pasivo"/>
    <n v="-75449"/>
    <x v="78"/>
  </r>
  <r>
    <n v="2026"/>
    <n v="5"/>
    <s v="29-05-2026"/>
    <n v="7854"/>
    <s v="2116-01"/>
    <n v="2202772"/>
    <n v="0"/>
    <s v="Pago f13866 asesorias tributarias pedro gonzalez limitada"/>
    <n v="2202772"/>
    <s v="Pasivo"/>
    <n v="-2202772"/>
    <x v="78"/>
  </r>
  <r>
    <n v="2026"/>
    <n v="5"/>
    <s v="29-05-2026"/>
    <n v="7855"/>
    <s v="2116-01"/>
    <n v="1000000"/>
    <n v="0"/>
    <s v="Pago f2602 solution box chile spa"/>
    <n v="1000000"/>
    <s v="Pasivo"/>
    <n v="-1000000"/>
    <x v="78"/>
  </r>
  <r>
    <n v="2026"/>
    <n v="5"/>
    <s v="29-05-2026"/>
    <n v="7859"/>
    <s v="2116-01"/>
    <n v="159222"/>
    <n v="0"/>
    <s v="Pago f59598 voissnet cloud services s.p.a."/>
    <n v="159222"/>
    <s v="Pasivo"/>
    <n v="-159222"/>
    <x v="78"/>
  </r>
  <r>
    <n v="2026"/>
    <n v="5"/>
    <s v="29-05-2026"/>
    <n v="8180"/>
    <s v="2116-01"/>
    <n v="2172679"/>
    <n v="0"/>
    <s v="Centralización pagos mayo 2026 #595 - #595"/>
    <n v="2172679"/>
    <s v="Pasivo"/>
    <n v="-2172679"/>
    <x v="78"/>
  </r>
  <r>
    <n v="2026"/>
    <n v="5"/>
    <s v="31-05-2026"/>
    <n v="8179"/>
    <s v="2116-01"/>
    <n v="3482356"/>
    <n v="0"/>
    <s v="Centralización pagos mayo 2026 #676 - #676"/>
    <n v="3482356"/>
    <s v="Pasivo"/>
    <n v="-3482356"/>
    <x v="78"/>
  </r>
  <r>
    <n v="2026"/>
    <n v="5"/>
    <s v="31-05-2026"/>
    <n v="10790"/>
    <s v="2116-01"/>
    <n v="5800725"/>
    <n v="0"/>
    <s v="Centralización compras mayo 2026 - valor total"/>
    <n v="5800725"/>
    <s v="Pasivo"/>
    <n v="-5800725"/>
    <x v="78"/>
  </r>
  <r>
    <n v="2026"/>
    <n v="5"/>
    <s v="31-05-2026"/>
    <n v="10790"/>
    <s v="2116-01"/>
    <n v="0"/>
    <n v="94538172"/>
    <s v="Centralización compras mayo 2026 - valor total"/>
    <n v="-94538172"/>
    <s v="Pasivo"/>
    <n v="94538172"/>
    <x v="78"/>
  </r>
  <r>
    <n v="2026"/>
    <n v="6"/>
    <s v="01-06-2026"/>
    <n v="8097"/>
    <s v="2116-01"/>
    <n v="3848368"/>
    <n v="0"/>
    <s v="Pago f 38665 tac communications s.a."/>
    <n v="3848368"/>
    <s v="Pasivo"/>
    <n v="-3848368"/>
    <x v="78"/>
  </r>
  <r>
    <n v="2026"/>
    <n v="6"/>
    <s v="01-06-2026"/>
    <n v="8362"/>
    <s v="2116-01"/>
    <n v="50000"/>
    <n v="0"/>
    <s v="Centralización pagos junio 2026 #733 - #733"/>
    <n v="50000"/>
    <s v="Pasivo"/>
    <n v="-50000"/>
    <x v="78"/>
  </r>
  <r>
    <n v="2026"/>
    <n v="6"/>
    <s v="02-06-2026"/>
    <n v="8088"/>
    <s v="2116-01"/>
    <n v="975149"/>
    <n v="0"/>
    <s v="Pago f 38596 tac communications s.a."/>
    <n v="975149"/>
    <s v="Pasivo"/>
    <n v="-975149"/>
    <x v="78"/>
  </r>
  <r>
    <n v="2026"/>
    <n v="6"/>
    <s v="02-06-2026"/>
    <n v="8089"/>
    <s v="2116-01"/>
    <n v="2075241"/>
    <n v="0"/>
    <s v="Pago f 37249 comercial lagos e hijos ltda."/>
    <n v="2075241"/>
    <s v="Pasivo"/>
    <n v="-2075241"/>
    <x v="78"/>
  </r>
  <r>
    <n v="2026"/>
    <n v="6"/>
    <s v="02-06-2026"/>
    <n v="8090"/>
    <s v="2116-01"/>
    <n v="94823"/>
    <n v="0"/>
    <s v="Pago f 2544 sociedad emisora de tarjetas los héroes s.a"/>
    <n v="94823"/>
    <s v="Pasivo"/>
    <n v="-94823"/>
    <x v="78"/>
  </r>
  <r>
    <n v="2026"/>
    <n v="6"/>
    <s v="02-06-2026"/>
    <n v="8091"/>
    <s v="2116-01"/>
    <n v="202300"/>
    <n v="0"/>
    <s v="Pago f 575 ingsor spa"/>
    <n v="202300"/>
    <s v="Pasivo"/>
    <n v="-202300"/>
    <x v="78"/>
  </r>
  <r>
    <n v="2026"/>
    <n v="6"/>
    <s v="02-06-2026"/>
    <n v="8092"/>
    <s v="2116-01"/>
    <n v="478380"/>
    <n v="0"/>
    <s v="Pago f 38973 tac communications s.a."/>
    <n v="478380"/>
    <s v="Pasivo"/>
    <n v="-478380"/>
    <x v="78"/>
  </r>
  <r>
    <n v="2026"/>
    <n v="6"/>
    <s v="02-06-2026"/>
    <n v="8093"/>
    <s v="2116-01"/>
    <n v="1990701"/>
    <n v="0"/>
    <s v="Pago f 2602 solution box chile spa"/>
    <n v="1990701"/>
    <s v="Pasivo"/>
    <n v="-1990701"/>
    <x v="78"/>
  </r>
  <r>
    <n v="2026"/>
    <n v="6"/>
    <s v="02-06-2026"/>
    <n v="8094"/>
    <s v="2116-01"/>
    <n v="1507333"/>
    <n v="0"/>
    <s v="Pago f 6676 optictimes spa"/>
    <n v="1507333"/>
    <s v="Pasivo"/>
    <n v="-1507333"/>
    <x v="78"/>
  </r>
  <r>
    <n v="2026"/>
    <n v="6"/>
    <s v="02-06-2026"/>
    <n v="8095"/>
    <s v="2116-01"/>
    <n v="171640"/>
    <n v="0"/>
    <s v="Pago f 200798 contempora compania de seguros generales s.a"/>
    <n v="171640"/>
    <s v="Pasivo"/>
    <n v="-171640"/>
    <x v="78"/>
  </r>
  <r>
    <n v="2026"/>
    <n v="6"/>
    <s v="02-06-2026"/>
    <n v="8096"/>
    <s v="2116-01"/>
    <n v="538426"/>
    <n v="0"/>
    <s v="Pago f 412170 tecnologia lk spa"/>
    <n v="538426"/>
    <s v="Pasivo"/>
    <n v="-538426"/>
    <x v="78"/>
  </r>
  <r>
    <n v="2026"/>
    <n v="6"/>
    <s v="03-06-2026"/>
    <n v="7897"/>
    <s v="2116-01"/>
    <n v="9194"/>
    <n v="0"/>
    <s v="Centralización pagos junio 2026 #585 - #585"/>
    <n v="9194"/>
    <s v="Pasivo"/>
    <n v="-9194"/>
    <x v="78"/>
  </r>
  <r>
    <n v="2026"/>
    <n v="6"/>
    <s v="04-06-2026"/>
    <n v="8203"/>
    <s v="2116-01"/>
    <n v="648633"/>
    <n v="0"/>
    <s v="Centralización pagos junio 2026 #674 - #674"/>
    <n v="648633"/>
    <s v="Pasivo"/>
    <n v="-648633"/>
    <x v="78"/>
  </r>
  <r>
    <n v="2026"/>
    <n v="6"/>
    <s v="04-06-2026"/>
    <n v="8360"/>
    <s v="2116-01"/>
    <n v="145000"/>
    <n v="0"/>
    <s v="Centralización pagos junio 2026 #719 - #719"/>
    <n v="145000"/>
    <s v="Pasivo"/>
    <n v="-145000"/>
    <x v="78"/>
  </r>
  <r>
    <n v="2026"/>
    <n v="6"/>
    <s v="06-06-2026"/>
    <n v="8417"/>
    <s v="2116-01"/>
    <n v="50000"/>
    <n v="0"/>
    <s v="Centralización pagos junio 2026 #767 - #767"/>
    <n v="50000"/>
    <s v="Pasivo"/>
    <n v="-50000"/>
    <x v="78"/>
  </r>
  <r>
    <n v="2026"/>
    <n v="6"/>
    <s v="08-06-2026"/>
    <n v="7899"/>
    <s v="2116-01"/>
    <n v="2598237"/>
    <n v="0"/>
    <s v="Centralización pagos junio 2026 #586 - #586"/>
    <n v="2598237"/>
    <s v="Pasivo"/>
    <n v="-2598237"/>
    <x v="78"/>
  </r>
  <r>
    <n v="2026"/>
    <n v="6"/>
    <s v="08-06-2026"/>
    <n v="8055"/>
    <s v="2116-01"/>
    <n v="3215069"/>
    <n v="0"/>
    <s v="Pago f 11780 pit chile spa"/>
    <n v="3215069"/>
    <s v="Pasivo"/>
    <n v="-3215069"/>
    <x v="78"/>
  </r>
  <r>
    <n v="2026"/>
    <n v="6"/>
    <s v="08-06-2026"/>
    <n v="8056"/>
    <s v="2116-01"/>
    <n v="406270"/>
    <n v="0"/>
    <s v="Pago f 5162 cg abogados limitada"/>
    <n v="406270"/>
    <s v="Pasivo"/>
    <n v="-406270"/>
    <x v="78"/>
  </r>
  <r>
    <n v="2026"/>
    <n v="6"/>
    <s v="08-06-2026"/>
    <n v="8057"/>
    <s v="2116-01"/>
    <n v="4408751"/>
    <n v="0"/>
    <s v="Pago f 39670 grupo zgh spa"/>
    <n v="4408751"/>
    <s v="Pasivo"/>
    <n v="-4408751"/>
    <x v="78"/>
  </r>
  <r>
    <n v="2026"/>
    <n v="6"/>
    <s v="08-06-2026"/>
    <n v="8058"/>
    <s v="2116-01"/>
    <n v="991111"/>
    <n v="0"/>
    <s v="Pago f 39671 grupo zgh spa"/>
    <n v="991111"/>
    <s v="Pasivo"/>
    <n v="-991111"/>
    <x v="78"/>
  </r>
  <r>
    <n v="2026"/>
    <n v="6"/>
    <s v="08-06-2026"/>
    <n v="8059"/>
    <s v="2116-01"/>
    <n v="821561"/>
    <n v="0"/>
    <s v="Pago f 325 alberto diaz de valdes e hija limitada"/>
    <n v="821561"/>
    <s v="Pasivo"/>
    <n v="-821561"/>
    <x v="78"/>
  </r>
  <r>
    <n v="2026"/>
    <n v="6"/>
    <s v="08-06-2026"/>
    <n v="8060"/>
    <s v="2116-01"/>
    <n v="535500"/>
    <n v="0"/>
    <s v="Pago f 16 luxconnect spa"/>
    <n v="535500"/>
    <s v="Pasivo"/>
    <n v="-535500"/>
    <x v="78"/>
  </r>
  <r>
    <n v="2026"/>
    <n v="6"/>
    <s v="08-06-2026"/>
    <n v="8061"/>
    <s v="2116-01"/>
    <n v="1000000"/>
    <n v="0"/>
    <s v="Pago f 3 echoframe spa"/>
    <n v="1000000"/>
    <s v="Pasivo"/>
    <n v="-1000000"/>
    <x v="78"/>
  </r>
  <r>
    <n v="2026"/>
    <n v="6"/>
    <s v="08-06-2026"/>
    <n v="8065"/>
    <s v="2116-01"/>
    <n v="800000"/>
    <n v="0"/>
    <s v="Pago f 8 altaseo limitada"/>
    <n v="800000"/>
    <s v="Pasivo"/>
    <n v="-800000"/>
    <x v="78"/>
  </r>
  <r>
    <n v="2026"/>
    <n v="6"/>
    <s v="08-06-2026"/>
    <n v="8067"/>
    <s v="2116-01"/>
    <n v="74906"/>
    <n v="0"/>
    <s v="Pago f 8772 ascenty chile spa"/>
    <n v="74906"/>
    <s v="Pasivo"/>
    <n v="-74906"/>
    <x v="78"/>
  </r>
  <r>
    <n v="2026"/>
    <n v="6"/>
    <s v="08-06-2026"/>
    <n v="8068"/>
    <s v="2116-01"/>
    <n v="63262"/>
    <n v="0"/>
    <s v="Pago f 8771 ascenty chile spa"/>
    <n v="63262"/>
    <s v="Pasivo"/>
    <n v="-63262"/>
    <x v="78"/>
  </r>
  <r>
    <n v="2026"/>
    <n v="6"/>
    <s v="08-06-2026"/>
    <n v="8069"/>
    <s v="2116-01"/>
    <n v="1002650"/>
    <n v="0"/>
    <s v="Pago f 9064 ascenty chile spa"/>
    <n v="1002650"/>
    <s v="Pasivo"/>
    <n v="-1002650"/>
    <x v="78"/>
  </r>
  <r>
    <n v="2026"/>
    <n v="6"/>
    <s v="08-06-2026"/>
    <n v="8070"/>
    <s v="2116-01"/>
    <n v="80124"/>
    <n v="0"/>
    <s v="Pago f 9063 ascenty chile spa"/>
    <n v="80124"/>
    <s v="Pasivo"/>
    <n v="-80124"/>
    <x v="78"/>
  </r>
  <r>
    <n v="2026"/>
    <n v="6"/>
    <s v="08-06-2026"/>
    <n v="8072"/>
    <s v="2116-01"/>
    <n v="64325"/>
    <n v="0"/>
    <s v="Pago f 9066 ascenty chile spa"/>
    <n v="64325"/>
    <s v="Pasivo"/>
    <n v="-64325"/>
    <x v="78"/>
  </r>
  <r>
    <n v="2026"/>
    <n v="6"/>
    <s v="08-06-2026"/>
    <n v="8073"/>
    <s v="2116-01"/>
    <n v="63375"/>
    <n v="0"/>
    <s v="Pago f 9065 ascenty chile spa"/>
    <n v="63375"/>
    <s v="Pasivo"/>
    <n v="-63375"/>
    <x v="78"/>
  </r>
  <r>
    <n v="2026"/>
    <n v="6"/>
    <s v="08-06-2026"/>
    <n v="8074"/>
    <s v="2116-01"/>
    <n v="76168"/>
    <n v="0"/>
    <s v="Pago f 9068 ascenty chile spa"/>
    <n v="76168"/>
    <s v="Pasivo"/>
    <n v="-76168"/>
    <x v="78"/>
  </r>
  <r>
    <n v="2026"/>
    <n v="6"/>
    <s v="08-06-2026"/>
    <n v="8075"/>
    <s v="2116-01"/>
    <n v="63565"/>
    <n v="0"/>
    <s v="Pago f 9067 ascenty chile spa"/>
    <n v="63565"/>
    <s v="Pasivo"/>
    <n v="-63565"/>
    <x v="78"/>
  </r>
  <r>
    <n v="2026"/>
    <n v="6"/>
    <s v="08-06-2026"/>
    <n v="8076"/>
    <s v="2116-01"/>
    <n v="75416"/>
    <n v="0"/>
    <s v="Pago f 9069 ascenty chile spa"/>
    <n v="75416"/>
    <s v="Pasivo"/>
    <n v="-75416"/>
    <x v="78"/>
  </r>
  <r>
    <n v="2026"/>
    <n v="6"/>
    <s v="08-06-2026"/>
    <n v="8077"/>
    <s v="2116-01"/>
    <n v="75416"/>
    <n v="0"/>
    <s v="Pago f 9070 ascenty chile spa"/>
    <n v="75416"/>
    <s v="Pasivo"/>
    <n v="-75416"/>
    <x v="78"/>
  </r>
  <r>
    <n v="2026"/>
    <n v="6"/>
    <s v="08-06-2026"/>
    <n v="8078"/>
    <s v="2116-01"/>
    <n v="63072"/>
    <n v="0"/>
    <s v="Pago f 9111 ascenty chile spa"/>
    <n v="63072"/>
    <s v="Pasivo"/>
    <n v="-63072"/>
    <x v="78"/>
  </r>
  <r>
    <n v="2026"/>
    <n v="6"/>
    <s v="08-06-2026"/>
    <n v="8080"/>
    <s v="2116-01"/>
    <n v="71400"/>
    <n v="0"/>
    <s v="Pago f 157 zettabyte spa"/>
    <n v="71400"/>
    <s v="Pasivo"/>
    <n v="-71400"/>
    <x v="78"/>
  </r>
  <r>
    <n v="2026"/>
    <n v="6"/>
    <s v="08-06-2026"/>
    <n v="8082"/>
    <s v="2116-01"/>
    <n v="1502596"/>
    <n v="0"/>
    <s v="Pago f 16012 asesorias tributarias pedro gonzalez limitada"/>
    <n v="1502596"/>
    <s v="Pasivo"/>
    <n v="-1502596"/>
    <x v="78"/>
  </r>
  <r>
    <n v="2026"/>
    <n v="6"/>
    <s v="08-06-2026"/>
    <n v="8083"/>
    <s v="2116-01"/>
    <n v="571200"/>
    <n v="0"/>
    <s v="Pago f 1625 cinthya margarita catalan pizarro"/>
    <n v="571200"/>
    <s v="Pasivo"/>
    <n v="-571200"/>
    <x v="78"/>
  </r>
  <r>
    <n v="2026"/>
    <n v="6"/>
    <s v="08-06-2026"/>
    <n v="8084"/>
    <s v="2116-01"/>
    <n v="3063060"/>
    <n v="0"/>
    <s v="Pago f 97 mileniumnet spa."/>
    <n v="3063060"/>
    <s v="Pasivo"/>
    <n v="-3063060"/>
    <x v="78"/>
  </r>
  <r>
    <n v="2026"/>
    <n v="6"/>
    <s v="08-06-2026"/>
    <n v="8358"/>
    <s v="2116-01"/>
    <n v="25000"/>
    <n v="0"/>
    <s v="Centralización pagos junio 2026 #714 - #714"/>
    <n v="25000"/>
    <s v="Pasivo"/>
    <n v="-25000"/>
    <x v="78"/>
  </r>
  <r>
    <n v="2026"/>
    <n v="6"/>
    <s v="09-06-2026"/>
    <n v="8363"/>
    <s v="2116-01"/>
    <n v="47416"/>
    <n v="0"/>
    <s v="Centralización pagos junio 2026 #736 - #736"/>
    <n v="47416"/>
    <s v="Pasivo"/>
    <n v="-47416"/>
    <x v="78"/>
  </r>
  <r>
    <n v="2026"/>
    <n v="6"/>
    <s v="10-06-2026"/>
    <n v="8357"/>
    <s v="2116-01"/>
    <n v="25000"/>
    <n v="0"/>
    <s v="Centralización pagos junio 2026 #713 - #713"/>
    <n v="25000"/>
    <s v="Pasivo"/>
    <n v="-25000"/>
    <x v="78"/>
  </r>
  <r>
    <n v="2026"/>
    <n v="6"/>
    <s v="11-06-2026"/>
    <n v="8033"/>
    <s v="2116-01"/>
    <n v="260121"/>
    <n v="0"/>
    <s v="Pago en linea servipag"/>
    <n v="260121"/>
    <s v="Pasivo"/>
    <n v="-260121"/>
    <x v="78"/>
  </r>
  <r>
    <n v="2026"/>
    <n v="6"/>
    <s v="11-06-2026"/>
    <n v="8033"/>
    <s v="2116-01"/>
    <n v="82511"/>
    <n v="0"/>
    <s v="Pago en linea servipag"/>
    <n v="82511"/>
    <s v="Pasivo"/>
    <n v="-82511"/>
    <x v="78"/>
  </r>
  <r>
    <n v="2026"/>
    <n v="6"/>
    <s v="11-06-2026"/>
    <n v="8033"/>
    <s v="2116-01"/>
    <n v="24403"/>
    <n v="0"/>
    <s v="Pago en linea servipag"/>
    <n v="24403"/>
    <s v="Pasivo"/>
    <n v="-24403"/>
    <x v="78"/>
  </r>
  <r>
    <n v="2026"/>
    <n v="6"/>
    <s v="11-06-2026"/>
    <n v="8033"/>
    <s v="2116-01"/>
    <n v="9800"/>
    <n v="0"/>
    <s v="Pago en linea servipag"/>
    <n v="9800"/>
    <s v="Pasivo"/>
    <n v="-9800"/>
    <x v="78"/>
  </r>
  <r>
    <n v="2026"/>
    <n v="6"/>
    <s v="11-06-2026"/>
    <n v="8033"/>
    <s v="2116-01"/>
    <n v="25047"/>
    <n v="0"/>
    <s v="Pago en linea servipag"/>
    <n v="25047"/>
    <s v="Pasivo"/>
    <n v="-25047"/>
    <x v="78"/>
  </r>
  <r>
    <n v="2026"/>
    <n v="6"/>
    <s v="11-06-2026"/>
    <n v="8033"/>
    <s v="2116-01"/>
    <n v="1022"/>
    <n v="0"/>
    <s v="Pago en linea servipag"/>
    <n v="1022"/>
    <s v="Pasivo"/>
    <n v="-1022"/>
    <x v="78"/>
  </r>
  <r>
    <n v="2026"/>
    <n v="6"/>
    <s v="11-06-2026"/>
    <n v="8034"/>
    <s v="2116-01"/>
    <n v="1432291"/>
    <n v="0"/>
    <s v="Pago f 3912 ficom telecomunicaciones spa"/>
    <n v="1432291"/>
    <s v="Pasivo"/>
    <n v="-1432291"/>
    <x v="78"/>
  </r>
  <r>
    <n v="2026"/>
    <n v="6"/>
    <s v="11-06-2026"/>
    <n v="8035"/>
    <s v="2116-01"/>
    <n v="716146"/>
    <n v="0"/>
    <s v="Pago f 3913 ficom telecomunicaciones spa"/>
    <n v="716146"/>
    <s v="Pasivo"/>
    <n v="-716146"/>
    <x v="78"/>
  </r>
  <r>
    <n v="2026"/>
    <n v="6"/>
    <s v="11-06-2026"/>
    <n v="8036"/>
    <s v="2116-01"/>
    <n v="348097"/>
    <n v="0"/>
    <s v="Pago f 78262 powerhost telecom spa"/>
    <n v="348097"/>
    <s v="Pasivo"/>
    <n v="-348097"/>
    <x v="78"/>
  </r>
  <r>
    <n v="2026"/>
    <n v="6"/>
    <s v="11-06-2026"/>
    <n v="8037"/>
    <s v="2116-01"/>
    <n v="751000"/>
    <n v="0"/>
    <s v="Pago f 10780 globalconnect spa"/>
    <n v="751000"/>
    <s v="Pasivo"/>
    <n v="-751000"/>
    <x v="78"/>
  </r>
  <r>
    <n v="2026"/>
    <n v="6"/>
    <s v="11-06-2026"/>
    <n v="8038"/>
    <s v="2116-01"/>
    <n v="4804080"/>
    <n v="0"/>
    <s v="Pago f 7035 telxius cable chile s.a."/>
    <n v="4804080"/>
    <s v="Pasivo"/>
    <n v="-4804080"/>
    <x v="78"/>
  </r>
  <r>
    <n v="2026"/>
    <n v="6"/>
    <s v="11-06-2026"/>
    <n v="8039"/>
    <s v="2116-01"/>
    <n v="90200"/>
    <n v="0"/>
    <s v="Pago f 197325 regus management de chile limitada"/>
    <n v="90200"/>
    <s v="Pasivo"/>
    <n v="-90200"/>
    <x v="78"/>
  </r>
  <r>
    <n v="2026"/>
    <n v="6"/>
    <s v="11-06-2026"/>
    <n v="8041"/>
    <s v="2116-01"/>
    <n v="72641"/>
    <n v="0"/>
    <s v="Pago f 403 mdd soluciones spa"/>
    <n v="72641"/>
    <s v="Pasivo"/>
    <n v="-72641"/>
    <x v="78"/>
  </r>
  <r>
    <n v="2026"/>
    <n v="6"/>
    <s v="11-06-2026"/>
    <n v="8042"/>
    <s v="2116-01"/>
    <n v="919493"/>
    <n v="0"/>
    <s v="Pago f 420230 tecnologia lk spa"/>
    <n v="919493"/>
    <s v="Pasivo"/>
    <n v="-919493"/>
    <x v="78"/>
  </r>
  <r>
    <n v="2026"/>
    <n v="6"/>
    <s v="11-06-2026"/>
    <n v="8043"/>
    <s v="2116-01"/>
    <n v="476000"/>
    <n v="0"/>
    <s v="Pago f 5612 cia de comunicaciones coyhaique limitada"/>
    <n v="476000"/>
    <s v="Pasivo"/>
    <n v="-476000"/>
    <x v="78"/>
  </r>
  <r>
    <n v="2026"/>
    <n v="6"/>
    <s v="11-06-2026"/>
    <n v="8044"/>
    <s v="2116-01"/>
    <n v="6137011"/>
    <n v="0"/>
    <s v="Pago f 8755 inversiones y telecomunicaciones r y m spa"/>
    <n v="6137011"/>
    <s v="Pasivo"/>
    <n v="-6137011"/>
    <x v="78"/>
  </r>
  <r>
    <n v="2026"/>
    <n v="6"/>
    <s v="11-06-2026"/>
    <n v="8045"/>
    <s v="2116-01"/>
    <n v="966535"/>
    <n v="0"/>
    <s v="Pago f 8633 inversiones y telecomunicaciones r y m spa"/>
    <n v="966535"/>
    <s v="Pasivo"/>
    <n v="-966535"/>
    <x v="78"/>
  </r>
  <r>
    <n v="2026"/>
    <n v="6"/>
    <s v="11-06-2026"/>
    <n v="8046"/>
    <s v="2116-01"/>
    <n v="41650"/>
    <n v="0"/>
    <s v="Pago f 395 productora energeek limitada"/>
    <n v="41650"/>
    <s v="Pasivo"/>
    <n v="-41650"/>
    <x v="78"/>
  </r>
  <r>
    <n v="2026"/>
    <n v="6"/>
    <s v="11-06-2026"/>
    <n v="8047"/>
    <s v="2116-01"/>
    <n v="2116160"/>
    <n v="0"/>
    <s v="Pago f 277 sociedad de inversiones straubing s.a."/>
    <n v="2116160"/>
    <s v="Pasivo"/>
    <n v="-2116160"/>
    <x v="78"/>
  </r>
  <r>
    <n v="2026"/>
    <n v="6"/>
    <s v="11-06-2026"/>
    <n v="8048"/>
    <s v="2116-01"/>
    <n v="234660"/>
    <n v="0"/>
    <s v="Pago f 310149 buk spa"/>
    <n v="234660"/>
    <s v="Pasivo"/>
    <n v="-234660"/>
    <x v="78"/>
  </r>
  <r>
    <n v="2026"/>
    <n v="6"/>
    <s v="11-06-2026"/>
    <n v="8049"/>
    <s v="2116-01"/>
    <n v="265908"/>
    <n v="0"/>
    <s v="Pago f 10672 central sistemas spa"/>
    <n v="265908"/>
    <s v="Pasivo"/>
    <n v="-265908"/>
    <x v="78"/>
  </r>
  <r>
    <n v="2026"/>
    <n v="6"/>
    <s v="11-06-2026"/>
    <n v="8050"/>
    <s v="2116-01"/>
    <n v="3248457"/>
    <n v="0"/>
    <s v="Pago f 38528 tac communications s.a."/>
    <n v="3248457"/>
    <s v="Pasivo"/>
    <n v="-3248457"/>
    <x v="78"/>
  </r>
  <r>
    <n v="2026"/>
    <n v="6"/>
    <s v="11-06-2026"/>
    <n v="8052"/>
    <s v="2116-01"/>
    <n v="190000"/>
    <n v="0"/>
    <s v="Pago f 3 echoframe spa"/>
    <n v="190000"/>
    <s v="Pasivo"/>
    <n v="-190000"/>
    <x v="78"/>
  </r>
  <r>
    <n v="2026"/>
    <n v="6"/>
    <s v="11-06-2026"/>
    <n v="8361"/>
    <s v="2116-01"/>
    <n v="94800"/>
    <n v="0"/>
    <s v="Centralización pagos junio 2026 #724 - #724"/>
    <n v="94800"/>
    <s v="Pasivo"/>
    <n v="-94800"/>
    <x v="78"/>
  </r>
  <r>
    <n v="2026"/>
    <n v="6"/>
    <s v="11-06-2026"/>
    <n v="8420"/>
    <s v="2116-01"/>
    <n v="50000"/>
    <n v="0"/>
    <s v="Centralización pagos junio 2026 #798 - #798"/>
    <n v="50000"/>
    <s v="Pasivo"/>
    <n v="-50000"/>
    <x v="78"/>
  </r>
  <r>
    <n v="2026"/>
    <n v="6"/>
    <s v="12-06-2026"/>
    <n v="7898"/>
    <s v="2116-01"/>
    <n v="76813"/>
    <n v="0"/>
    <s v="Centralización pagos junio 2026 #587 - #587"/>
    <n v="76813"/>
    <s v="Pasivo"/>
    <n v="-76813"/>
    <x v="78"/>
  </r>
  <r>
    <n v="2026"/>
    <n v="6"/>
    <s v="12-06-2026"/>
    <n v="7900"/>
    <s v="2116-01"/>
    <n v="2623195"/>
    <n v="0"/>
    <s v="Centralización pagos junio 2026 #588 - #588"/>
    <n v="2623195"/>
    <s v="Pasivo"/>
    <n v="-2623195"/>
    <x v="78"/>
  </r>
  <r>
    <n v="2026"/>
    <n v="6"/>
    <s v="12-06-2026"/>
    <n v="8027"/>
    <s v="2116-01"/>
    <n v="5000000"/>
    <n v="0"/>
    <s v="Pago f 38891 tac communications s.a."/>
    <n v="5000000"/>
    <s v="Pasivo"/>
    <n v="-5000000"/>
    <x v="78"/>
  </r>
  <r>
    <n v="2026"/>
    <n v="6"/>
    <s v="12-06-2026"/>
    <n v="8028"/>
    <s v="2116-01"/>
    <n v="4424800"/>
    <n v="0"/>
    <s v="Pago f 38891 tac communications s.a."/>
    <n v="4424800"/>
    <s v="Pasivo"/>
    <n v="-4424800"/>
    <x v="78"/>
  </r>
  <r>
    <n v="2026"/>
    <n v="6"/>
    <s v="12-06-2026"/>
    <n v="8030"/>
    <s v="2116-01"/>
    <n v="77350"/>
    <n v="0"/>
    <s v="Pago f 79 servicio tecnico a domicilio muza spa"/>
    <n v="77350"/>
    <s v="Pasivo"/>
    <n v="-77350"/>
    <x v="78"/>
  </r>
  <r>
    <n v="2026"/>
    <n v="6"/>
    <s v="12-06-2026"/>
    <n v="8032"/>
    <s v="2116-01"/>
    <n v="2499000"/>
    <n v="0"/>
    <s v="Pago f 38892 transworld power telcom spa"/>
    <n v="2499000"/>
    <s v="Pasivo"/>
    <n v="-2499000"/>
    <x v="78"/>
  </r>
  <r>
    <n v="2026"/>
    <n v="6"/>
    <s v="12-06-2026"/>
    <n v="8365"/>
    <s v="2116-01"/>
    <n v="40907"/>
    <n v="0"/>
    <s v="Centralización pagos junio 2026 #756 - #756"/>
    <n v="40907"/>
    <s v="Pasivo"/>
    <n v="-40907"/>
    <x v="78"/>
  </r>
  <r>
    <n v="2026"/>
    <n v="6"/>
    <s v="14-06-2026"/>
    <n v="8418"/>
    <s v="2116-01"/>
    <n v="47416"/>
    <n v="0"/>
    <s v="Centralización pagos junio 2026 #771 - #771"/>
    <n v="47416"/>
    <s v="Pasivo"/>
    <n v="-47416"/>
    <x v="78"/>
  </r>
  <r>
    <n v="2026"/>
    <n v="6"/>
    <s v="15-06-2026"/>
    <n v="7901"/>
    <s v="2116-01"/>
    <n v="75991"/>
    <n v="0"/>
    <s v="Centralización pagos junio 2026 #589 - #589"/>
    <n v="75991"/>
    <s v="Pasivo"/>
    <n v="-75991"/>
    <x v="78"/>
  </r>
  <r>
    <n v="2026"/>
    <n v="6"/>
    <s v="15-06-2026"/>
    <n v="8023"/>
    <s v="2116-01"/>
    <n v="1498928"/>
    <n v="0"/>
    <s v="Pago f 79 sociedad de inversiones straubing s.a."/>
    <n v="1498928"/>
    <s v="Pasivo"/>
    <n v="-1498928"/>
    <x v="78"/>
  </r>
  <r>
    <n v="2026"/>
    <n v="6"/>
    <s v="15-06-2026"/>
    <n v="8024"/>
    <s v="2116-01"/>
    <n v="2082500"/>
    <n v="0"/>
    <s v="Pago f 39128 tac communications s.a."/>
    <n v="2082500"/>
    <s v="Pasivo"/>
    <n v="-2082500"/>
    <x v="78"/>
  </r>
  <r>
    <n v="2026"/>
    <n v="6"/>
    <s v="15-06-2026"/>
    <n v="8025"/>
    <s v="2116-01"/>
    <n v="3825167"/>
    <n v="0"/>
    <s v="Pago f 294 asociacion gremial de pequenos proveedores de internet y television"/>
    <n v="3825167"/>
    <s v="Pasivo"/>
    <n v="-3825167"/>
    <x v="78"/>
  </r>
  <r>
    <n v="2026"/>
    <n v="6"/>
    <s v="15-06-2026"/>
    <n v="8356"/>
    <s v="2116-01"/>
    <n v="20000"/>
    <n v="0"/>
    <s v="Centralización pagos junio 2026 #708 - #708"/>
    <n v="20000"/>
    <s v="Pasivo"/>
    <n v="-20000"/>
    <x v="78"/>
  </r>
  <r>
    <n v="2026"/>
    <n v="6"/>
    <s v="15-06-2026"/>
    <n v="8364"/>
    <s v="2116-01"/>
    <n v="24896"/>
    <n v="0"/>
    <s v="Centralización pagos junio 2026 #753 - #753"/>
    <n v="24896"/>
    <s v="Pasivo"/>
    <n v="-24896"/>
    <x v="78"/>
  </r>
  <r>
    <n v="2026"/>
    <n v="6"/>
    <s v="15-06-2026"/>
    <n v="8425"/>
    <s v="2116-01"/>
    <n v="110000"/>
    <n v="0"/>
    <s v="Centralización pagos junio 2026 #817 - #817"/>
    <n v="110000"/>
    <s v="Pasivo"/>
    <n v="-110000"/>
    <x v="78"/>
  </r>
  <r>
    <n v="2026"/>
    <n v="6"/>
    <s v="16-06-2026"/>
    <n v="8355"/>
    <s v="2116-01"/>
    <n v="8790"/>
    <n v="0"/>
    <s v="Centralización pagos junio 2026 #704 - #704"/>
    <n v="8790"/>
    <s v="Pasivo"/>
    <n v="-8790"/>
    <x v="78"/>
  </r>
  <r>
    <n v="2026"/>
    <n v="6"/>
    <s v="16-06-2026"/>
    <n v="8416"/>
    <s v="2116-01"/>
    <n v="94800"/>
    <n v="0"/>
    <s v="Centralización pagos junio 2026 #758 - #758"/>
    <n v="94800"/>
    <s v="Pasivo"/>
    <n v="-94800"/>
    <x v="78"/>
  </r>
  <r>
    <n v="2026"/>
    <n v="6"/>
    <s v="17-06-2026"/>
    <n v="7902"/>
    <s v="2116-01"/>
    <n v="3966151"/>
    <n v="0"/>
    <s v="Centralización pagos junio 2026 #590 - #590"/>
    <n v="3966151"/>
    <s v="Pasivo"/>
    <n v="-3966151"/>
    <x v="78"/>
  </r>
  <r>
    <n v="2026"/>
    <n v="6"/>
    <s v="17-06-2026"/>
    <n v="8020"/>
    <s v="2116-01"/>
    <n v="344206"/>
    <n v="0"/>
    <s v="Pago f 77960 powerhost telecom spa"/>
    <n v="344206"/>
    <s v="Pasivo"/>
    <n v="-344206"/>
    <x v="78"/>
  </r>
  <r>
    <n v="2026"/>
    <n v="6"/>
    <s v="17-06-2026"/>
    <n v="8021"/>
    <s v="2116-01"/>
    <n v="141610"/>
    <n v="0"/>
    <s v="Pago f 3710 m m impresores limitada"/>
    <n v="141610"/>
    <s v="Pasivo"/>
    <n v="-141610"/>
    <x v="78"/>
  </r>
  <r>
    <n v="2026"/>
    <n v="6"/>
    <s v="17-06-2026"/>
    <n v="8022"/>
    <s v="2116-01"/>
    <n v="28500"/>
    <n v="0"/>
    <s v="Pago f 3737981 soc. comerc. de repuestos s.p.a."/>
    <n v="28500"/>
    <s v="Pasivo"/>
    <n v="-28500"/>
    <x v="78"/>
  </r>
  <r>
    <n v="2026"/>
    <n v="6"/>
    <s v="17-06-2026"/>
    <n v="8351"/>
    <s v="2116-01"/>
    <n v="13200"/>
    <n v="0"/>
    <s v="Centralización pagos junio 2026 #700 - #700"/>
    <n v="13200"/>
    <s v="Pasivo"/>
    <n v="-13200"/>
    <x v="78"/>
  </r>
  <r>
    <n v="2026"/>
    <n v="6"/>
    <s v="19-06-2026"/>
    <n v="8017"/>
    <s v="2116-01"/>
    <n v="4901382"/>
    <n v="0"/>
    <s v="Pago f 59659 compañia de telecomunicaciones sistek sp"/>
    <n v="4901382"/>
    <s v="Pasivo"/>
    <n v="-4901382"/>
    <x v="78"/>
  </r>
  <r>
    <n v="2026"/>
    <n v="6"/>
    <s v="19-06-2026"/>
    <n v="8018"/>
    <s v="2116-01"/>
    <n v="1873536"/>
    <n v="0"/>
    <s v="Pago f 421077 tecnologia lk spa"/>
    <n v="1873536"/>
    <s v="Pasivo"/>
    <n v="-1873536"/>
    <x v="78"/>
  </r>
  <r>
    <n v="2026"/>
    <n v="6"/>
    <s v="19-06-2026"/>
    <n v="8019"/>
    <s v="2116-01"/>
    <n v="3415467"/>
    <n v="0"/>
    <s v="Pago f 58794 compañia de telecomunicaciones sistek sp"/>
    <n v="3415467"/>
    <s v="Pasivo"/>
    <n v="-3415467"/>
    <x v="78"/>
  </r>
  <r>
    <n v="2026"/>
    <n v="6"/>
    <s v="19-06-2026"/>
    <n v="8354"/>
    <s v="2116-01"/>
    <n v="15900"/>
    <n v="0"/>
    <s v="Centralización pagos junio 2026 #703 - #703"/>
    <n v="15900"/>
    <s v="Pasivo"/>
    <n v="-15900"/>
    <x v="78"/>
  </r>
  <r>
    <n v="2026"/>
    <n v="6"/>
    <s v="19-06-2026"/>
    <n v="8421"/>
    <s v="2116-01"/>
    <n v="47416"/>
    <n v="0"/>
    <s v="Centralización pagos junio 2026 #801 - #801"/>
    <n v="47416"/>
    <s v="Pasivo"/>
    <n v="-47416"/>
    <x v="78"/>
  </r>
  <r>
    <n v="2026"/>
    <n v="6"/>
    <s v="21-06-2026"/>
    <n v="8419"/>
    <s v="2116-01"/>
    <n v="94800"/>
    <n v="0"/>
    <s v="Centralización pagos junio 2026 #789 - #789"/>
    <n v="94800"/>
    <s v="Pasivo"/>
    <n v="-94800"/>
    <x v="78"/>
  </r>
  <r>
    <n v="2026"/>
    <n v="6"/>
    <s v="22-06-2026"/>
    <n v="8016"/>
    <s v="2116-01"/>
    <n v="95486"/>
    <n v="0"/>
    <s v="Pago f 2606 sociedad emisora de tarjetas los héroes s.a"/>
    <n v="95486"/>
    <s v="Pasivo"/>
    <n v="-95486"/>
    <x v="78"/>
  </r>
  <r>
    <n v="2026"/>
    <n v="6"/>
    <s v="22-06-2026"/>
    <n v="8202"/>
    <s v="2116-01"/>
    <n v="230695"/>
    <n v="0"/>
    <s v="Centralización pagos junio 2026 #666 - #666"/>
    <n v="230695"/>
    <s v="Pasivo"/>
    <n v="-230695"/>
    <x v="78"/>
  </r>
  <r>
    <n v="2026"/>
    <n v="6"/>
    <s v="23-06-2026"/>
    <n v="8011"/>
    <s v="2116-01"/>
    <n v="771120"/>
    <n v="0"/>
    <s v="Pago f 253 sfplus spa"/>
    <n v="771120"/>
    <s v="Pasivo"/>
    <n v="-771120"/>
    <x v="78"/>
  </r>
  <r>
    <n v="2026"/>
    <n v="6"/>
    <s v="23-06-2026"/>
    <n v="8012"/>
    <s v="2116-01"/>
    <n v="429245"/>
    <n v="0"/>
    <s v="Pago f 39157 tac communications s.a."/>
    <n v="429245"/>
    <s v="Pasivo"/>
    <n v="-429245"/>
    <x v="78"/>
  </r>
  <r>
    <n v="2026"/>
    <n v="6"/>
    <s v="23-06-2026"/>
    <n v="8013"/>
    <s v="2116-01"/>
    <n v="975149"/>
    <n v="0"/>
    <s v="Pago f 38596 tac communications s.a."/>
    <n v="975149"/>
    <s v="Pasivo"/>
    <n v="-975149"/>
    <x v="78"/>
  </r>
  <r>
    <n v="2026"/>
    <n v="6"/>
    <s v="23-06-2026"/>
    <n v="8014"/>
    <s v="2116-01"/>
    <n v="178500"/>
    <n v="0"/>
    <s v="Pago f 39128 tac communications s.a."/>
    <n v="178500"/>
    <s v="Pasivo"/>
    <n v="-178500"/>
    <x v="78"/>
  </r>
  <r>
    <n v="2026"/>
    <n v="6"/>
    <s v="23-06-2026"/>
    <n v="8015"/>
    <s v="2116-01"/>
    <n v="546924"/>
    <n v="0"/>
    <s v="Pago f 8137 hyl telecom ltda."/>
    <n v="546924"/>
    <s v="Pasivo"/>
    <n v="-546924"/>
    <x v="78"/>
  </r>
  <r>
    <n v="2026"/>
    <n v="6"/>
    <s v="23-06-2026"/>
    <n v="10846"/>
    <s v="2116-01"/>
    <n v="157016"/>
    <n v="0"/>
    <s v="Chipax - cuota 0612"/>
    <n v="157016"/>
    <s v="Pasivo"/>
    <n v="-157016"/>
    <x v="78"/>
  </r>
  <r>
    <n v="2026"/>
    <n v="6"/>
    <s v="23-06-2026"/>
    <n v="10846"/>
    <s v="2116-01"/>
    <n v="60245"/>
    <n v="0"/>
    <s v="Ncuotas precio - cuota 0612"/>
    <n v="60245"/>
    <s v="Pasivo"/>
    <n v="-60245"/>
    <x v="78"/>
  </r>
  <r>
    <n v="2026"/>
    <n v="6"/>
    <s v="23-06-2026"/>
    <n v="10846"/>
    <s v="2116-01"/>
    <n v="795065"/>
    <n v="0"/>
    <s v="Grupo dhl express chil"/>
    <n v="795065"/>
    <s v="Pasivo"/>
    <n v="-795065"/>
    <x v="78"/>
  </r>
  <r>
    <n v="2026"/>
    <n v="6"/>
    <s v="23-06-2026"/>
    <n v="10846"/>
    <s v="2116-01"/>
    <n v="36120"/>
    <n v="0"/>
    <s v="Lioren enterprises spa"/>
    <n v="36120"/>
    <s v="Pasivo"/>
    <n v="-36120"/>
    <x v="78"/>
  </r>
  <r>
    <n v="2026"/>
    <n v="6"/>
    <s v="23-06-2026"/>
    <n v="10846"/>
    <s v="2116-01"/>
    <n v="36565"/>
    <n v="0"/>
    <s v="Lioren enterprises spa"/>
    <n v="36565"/>
    <s v="Pasivo"/>
    <n v="-36565"/>
    <x v="78"/>
  </r>
  <r>
    <n v="2026"/>
    <n v="6"/>
    <s v="23-06-2026"/>
    <n v="10846"/>
    <s v="2116-01"/>
    <n v="17990"/>
    <n v="0"/>
    <s v="Equifax chile"/>
    <n v="17990"/>
    <s v="Pasivo"/>
    <n v="-17990"/>
    <x v="78"/>
  </r>
  <r>
    <n v="2026"/>
    <n v="6"/>
    <s v="23-06-2026"/>
    <n v="10846"/>
    <s v="2116-01"/>
    <n v="38239"/>
    <n v="0"/>
    <s v="Multiaval dos sagr"/>
    <n v="38239"/>
    <s v="Pasivo"/>
    <n v="-38239"/>
    <x v="78"/>
  </r>
  <r>
    <n v="2026"/>
    <n v="6"/>
    <s v="23-06-2026"/>
    <n v="10847"/>
    <s v="2116-01"/>
    <n v="115922"/>
    <n v="0"/>
    <s v="Paris mall plaza vespu cuota fija 2,75 - cuota 0612"/>
    <n v="115922"/>
    <s v="Pasivo"/>
    <n v="-115922"/>
    <x v="78"/>
  </r>
  <r>
    <n v="2026"/>
    <n v="6"/>
    <s v="23-06-2026"/>
    <n v="10847"/>
    <s v="2116-01"/>
    <n v="207835"/>
    <n v="0"/>
    <s v="Intcomex chile quilicu cuota fija 2,75 - cuota 0506"/>
    <n v="207835"/>
    <s v="Pasivo"/>
    <n v="-207835"/>
    <x v="78"/>
  </r>
  <r>
    <n v="2026"/>
    <n v="6"/>
    <s v="23-06-2026"/>
    <n v="10847"/>
    <s v="2116-01"/>
    <n v="133330"/>
    <n v="0"/>
    <s v="Paris mall plaza vespu cuota comercio 0,00 - cuota 0303"/>
    <n v="133330"/>
    <s v="Pasivo"/>
    <n v="-133330"/>
    <x v="78"/>
  </r>
  <r>
    <n v="2026"/>
    <n v="6"/>
    <s v="23-06-2026"/>
    <n v="10847"/>
    <s v="2116-01"/>
    <n v="76000"/>
    <n v="0"/>
    <s v="Ap penaflor"/>
    <n v="76000"/>
    <s v="Pasivo"/>
    <n v="-76000"/>
    <x v="78"/>
  </r>
  <r>
    <n v="2026"/>
    <n v="6"/>
    <s v="23-06-2026"/>
    <n v="10848"/>
    <s v="2116-01"/>
    <n v="35990"/>
    <n v="0"/>
    <s v="Mercadopago almareta"/>
    <n v="35990"/>
    <s v="Pasivo"/>
    <n v="-35990"/>
    <x v="78"/>
  </r>
  <r>
    <n v="2026"/>
    <n v="6"/>
    <s v="23-06-2026"/>
    <n v="10848"/>
    <s v="2116-01"/>
    <n v="100700"/>
    <n v="0"/>
    <s v="Payu diario financi"/>
    <n v="100700"/>
    <s v="Pasivo"/>
    <n v="-100700"/>
    <x v="78"/>
  </r>
  <r>
    <n v="2026"/>
    <n v="6"/>
    <s v="23-06-2026"/>
    <n v="10848"/>
    <s v="2116-01"/>
    <n v="193232"/>
    <n v="0"/>
    <s v="Segur. falabella co compras p.a.t."/>
    <n v="193232"/>
    <s v="Pasivo"/>
    <n v="-193232"/>
    <x v="78"/>
  </r>
  <r>
    <n v="2026"/>
    <n v="6"/>
    <s v="23-06-2026"/>
    <n v="10848"/>
    <s v="2116-01"/>
    <n v="373993"/>
    <n v="0"/>
    <s v="Starlink 2 starlink compras p.a.t."/>
    <n v="373993"/>
    <s v="Pasivo"/>
    <n v="-373993"/>
    <x v="78"/>
  </r>
  <r>
    <n v="2026"/>
    <n v="6"/>
    <s v="23-06-2026"/>
    <n v="10848"/>
    <s v="2116-01"/>
    <n v="146007"/>
    <n v="0"/>
    <s v="Toku nubox payments"/>
    <n v="146007"/>
    <s v="Pasivo"/>
    <n v="-146007"/>
    <x v="78"/>
  </r>
  <r>
    <n v="2026"/>
    <n v="6"/>
    <s v="23-06-2026"/>
    <n v="10848"/>
    <s v="2116-01"/>
    <n v="136806"/>
    <n v="0"/>
    <s v="Latam.com xp otras"/>
    <n v="136806"/>
    <s v="Pasivo"/>
    <n v="-136806"/>
    <x v="78"/>
  </r>
  <r>
    <n v="2026"/>
    <n v="6"/>
    <s v="23-06-2026"/>
    <n v="10848"/>
    <s v="2116-01"/>
    <n v="111514"/>
    <n v="0"/>
    <s v="Latam.com xp otras"/>
    <n v="111514"/>
    <s v="Pasivo"/>
    <n v="-111514"/>
    <x v="78"/>
  </r>
  <r>
    <n v="2026"/>
    <n v="6"/>
    <s v="23-06-2026"/>
    <n v="10848"/>
    <s v="2116-01"/>
    <n v="248000"/>
    <n v="0"/>
    <s v="Starlink 2 starlink compras p.a.t."/>
    <n v="248000"/>
    <s v="Pasivo"/>
    <n v="-248000"/>
    <x v="78"/>
  </r>
  <r>
    <n v="2026"/>
    <n v="6"/>
    <s v="24-06-2026"/>
    <n v="7997"/>
    <s v="2116-01"/>
    <n v="1673752"/>
    <n v="0"/>
    <s v="Pago f 2675 solution box chile spa"/>
    <n v="1673752"/>
    <s v="Pasivo"/>
    <n v="-1673752"/>
    <x v="78"/>
  </r>
  <r>
    <n v="2026"/>
    <n v="6"/>
    <s v="24-06-2026"/>
    <n v="7998"/>
    <s v="2116-01"/>
    <n v="32335"/>
    <n v="0"/>
    <s v="Pago en linea servipag"/>
    <n v="32335"/>
    <s v="Pasivo"/>
    <n v="-32335"/>
    <x v="78"/>
  </r>
  <r>
    <n v="2026"/>
    <n v="6"/>
    <s v="24-06-2026"/>
    <n v="7998"/>
    <s v="2116-01"/>
    <n v="33254"/>
    <n v="0"/>
    <s v="Pago en linea servipag"/>
    <n v="33254"/>
    <s v="Pasivo"/>
    <n v="-33254"/>
    <x v="78"/>
  </r>
  <r>
    <n v="2026"/>
    <n v="6"/>
    <s v="24-06-2026"/>
    <n v="7998"/>
    <s v="2116-01"/>
    <n v="53683"/>
    <n v="0"/>
    <s v="Pago en linea servipag"/>
    <n v="53683"/>
    <s v="Pasivo"/>
    <n v="-53683"/>
    <x v="78"/>
  </r>
  <r>
    <n v="2026"/>
    <n v="6"/>
    <s v="24-06-2026"/>
    <n v="7999"/>
    <s v="2116-01"/>
    <n v="300000"/>
    <n v="0"/>
    <s v="Pago f 221 sociedad de profesionales sc limitada"/>
    <n v="300000"/>
    <s v="Pasivo"/>
    <n v="-300000"/>
    <x v="78"/>
  </r>
  <r>
    <n v="2026"/>
    <n v="6"/>
    <s v="24-06-2026"/>
    <n v="8000"/>
    <s v="2116-01"/>
    <n v="29000"/>
    <n v="0"/>
    <s v="Pago f 61106-61111 voissnet cloud services s.p.a."/>
    <n v="29000"/>
    <s v="Pasivo"/>
    <n v="-29000"/>
    <x v="78"/>
  </r>
  <r>
    <n v="2026"/>
    <n v="6"/>
    <s v="24-06-2026"/>
    <n v="8000"/>
    <s v="2116-01"/>
    <n v="6000"/>
    <n v="0"/>
    <s v="Pago f 61106-61111 voissnet cloud services s.p.a."/>
    <n v="6000"/>
    <s v="Pasivo"/>
    <n v="-6000"/>
    <x v="78"/>
  </r>
  <r>
    <n v="2026"/>
    <n v="6"/>
    <s v="24-06-2026"/>
    <n v="8001"/>
    <s v="2116-01"/>
    <n v="150000"/>
    <n v="0"/>
    <s v="Pago f 61111 voissnet cloud services s.p.a."/>
    <n v="150000"/>
    <s v="Pasivo"/>
    <n v="-150000"/>
    <x v="78"/>
  </r>
  <r>
    <n v="2026"/>
    <n v="6"/>
    <s v="24-06-2026"/>
    <n v="8002"/>
    <s v="2116-01"/>
    <n v="1000"/>
    <n v="0"/>
    <s v="Pago f 61106 61105 voissnet cloud services s.p.a."/>
    <n v="1000"/>
    <s v="Pasivo"/>
    <n v="-1000"/>
    <x v="78"/>
  </r>
  <r>
    <n v="2026"/>
    <n v="6"/>
    <s v="24-06-2026"/>
    <n v="8002"/>
    <s v="2116-01"/>
    <n v="13000"/>
    <n v="0"/>
    <s v="Pago f 61106 61105 voissnet cloud services s.p.a."/>
    <n v="13000"/>
    <s v="Pasivo"/>
    <n v="-13000"/>
    <x v="78"/>
  </r>
  <r>
    <n v="2026"/>
    <n v="6"/>
    <s v="24-06-2026"/>
    <n v="8003"/>
    <s v="2116-01"/>
    <n v="32000"/>
    <n v="0"/>
    <s v="Pago f 61104 voissnet cloud services s.p.a."/>
    <n v="32000"/>
    <s v="Pasivo"/>
    <n v="-32000"/>
    <x v="78"/>
  </r>
  <r>
    <n v="2026"/>
    <n v="6"/>
    <s v="24-06-2026"/>
    <n v="8004"/>
    <s v="2116-01"/>
    <n v="10000"/>
    <n v="0"/>
    <s v="Pago f 61104 voissnet cloud services s.p.a."/>
    <n v="10000"/>
    <s v="Pasivo"/>
    <n v="-10000"/>
    <x v="78"/>
  </r>
  <r>
    <n v="2026"/>
    <n v="6"/>
    <s v="24-06-2026"/>
    <n v="8005"/>
    <s v="2116-01"/>
    <n v="65000"/>
    <n v="0"/>
    <s v="Pago f 61102 voissnet cloud services s.p.a."/>
    <n v="65000"/>
    <s v="Pasivo"/>
    <n v="-65000"/>
    <x v="78"/>
  </r>
  <r>
    <n v="2026"/>
    <n v="6"/>
    <s v="24-06-2026"/>
    <n v="8006"/>
    <s v="2116-01"/>
    <n v="21000"/>
    <n v="0"/>
    <s v="Pago f 61105 voissnet cloud services s.p.a."/>
    <n v="21000"/>
    <s v="Pasivo"/>
    <n v="-21000"/>
    <x v="78"/>
  </r>
  <r>
    <n v="2026"/>
    <n v="6"/>
    <s v="24-06-2026"/>
    <n v="8007"/>
    <s v="2116-01"/>
    <n v="20000"/>
    <n v="0"/>
    <s v="Pago f 61105 voissnet cloud services s.p.a."/>
    <n v="20000"/>
    <s v="Pasivo"/>
    <n v="-20000"/>
    <x v="78"/>
  </r>
  <r>
    <n v="2026"/>
    <n v="6"/>
    <s v="24-06-2026"/>
    <n v="8008"/>
    <s v="2116-01"/>
    <n v="42000"/>
    <n v="0"/>
    <s v="Pago f 61109 voissnet cloud services s.p.a."/>
    <n v="42000"/>
    <s v="Pasivo"/>
    <n v="-42000"/>
    <x v="78"/>
  </r>
  <r>
    <n v="2026"/>
    <n v="6"/>
    <s v="24-06-2026"/>
    <n v="8009"/>
    <s v="2116-01"/>
    <n v="42000"/>
    <n v="0"/>
    <s v="Pago f 61099 voissnet cloud services s.p.a."/>
    <n v="42000"/>
    <s v="Pasivo"/>
    <n v="-42000"/>
    <x v="78"/>
  </r>
  <r>
    <n v="2026"/>
    <n v="6"/>
    <s v="24-06-2026"/>
    <n v="8010"/>
    <s v="2116-01"/>
    <n v="1626497"/>
    <n v="0"/>
    <s v="Pago f 580 growthpro spa"/>
    <n v="1626497"/>
    <s v="Pasivo"/>
    <n v="-1626497"/>
    <x v="78"/>
  </r>
  <r>
    <n v="2026"/>
    <n v="6"/>
    <s v="24-06-2026"/>
    <n v="8353"/>
    <s v="2116-01"/>
    <n v="14200"/>
    <n v="0"/>
    <s v="Centralización pagos junio 2026 #702 - #702"/>
    <n v="14200"/>
    <s v="Pasivo"/>
    <n v="-14200"/>
    <x v="78"/>
  </r>
  <r>
    <n v="2026"/>
    <n v="6"/>
    <s v="25-06-2026"/>
    <n v="7989"/>
    <s v="2116-01"/>
    <n v="18092"/>
    <n v="0"/>
    <s v="Pago f 56338613 15310397"/>
    <n v="18092"/>
    <s v="Pasivo"/>
    <n v="-18092"/>
    <x v="78"/>
  </r>
  <r>
    <n v="2026"/>
    <n v="6"/>
    <s v="25-06-2026"/>
    <n v="7989"/>
    <s v="2116-01"/>
    <n v="5852"/>
    <n v="0"/>
    <s v="Pago f 56338613 15310397"/>
    <n v="5852"/>
    <s v="Pasivo"/>
    <n v="-5852"/>
    <x v="78"/>
  </r>
  <r>
    <n v="2026"/>
    <n v="6"/>
    <s v="25-06-2026"/>
    <n v="7991"/>
    <s v="2116-01"/>
    <n v="4819500"/>
    <n v="0"/>
    <s v="Pago f 37988 tac communications s.a."/>
    <n v="4819500"/>
    <s v="Pasivo"/>
    <n v="-4819500"/>
    <x v="78"/>
  </r>
  <r>
    <n v="2026"/>
    <n v="6"/>
    <s v="25-06-2026"/>
    <n v="7994"/>
    <s v="2116-01"/>
    <n v="214664"/>
    <n v="0"/>
    <s v="Pago f 70 sergio antonio hoffmann contu"/>
    <n v="214664"/>
    <s v="Pasivo"/>
    <n v="-214664"/>
    <x v="78"/>
  </r>
  <r>
    <n v="2026"/>
    <n v="6"/>
    <s v="25-06-2026"/>
    <n v="7995"/>
    <s v="2116-01"/>
    <n v="1507333"/>
    <n v="0"/>
    <s v="Pago f 6676 optictimes spa"/>
    <n v="1507333"/>
    <s v="Pasivo"/>
    <n v="-1507333"/>
    <x v="78"/>
  </r>
  <r>
    <n v="2026"/>
    <n v="6"/>
    <s v="25-06-2026"/>
    <n v="7996"/>
    <s v="2116-01"/>
    <n v="173738"/>
    <n v="0"/>
    <s v="Pago f 206942 contempora compania de seguros generales s.a"/>
    <n v="173738"/>
    <s v="Pasivo"/>
    <n v="-173738"/>
    <x v="78"/>
  </r>
  <r>
    <n v="2026"/>
    <n v="6"/>
    <s v="26-06-2026"/>
    <n v="8352"/>
    <s v="2116-01"/>
    <n v="10000"/>
    <n v="0"/>
    <s v="Centralización pagos junio 2026 #701 - #701"/>
    <n v="10000"/>
    <s v="Pasivo"/>
    <n v="-10000"/>
    <x v="78"/>
  </r>
  <r>
    <n v="2026"/>
    <n v="6"/>
    <s v="27-06-2026"/>
    <n v="8359"/>
    <s v="2116-01"/>
    <n v="50000"/>
    <n v="0"/>
    <s v="Centralización pagos junio 2026 #717 - #717"/>
    <n v="50000"/>
    <s v="Pasivo"/>
    <n v="-50000"/>
    <x v="78"/>
  </r>
  <r>
    <n v="2026"/>
    <n v="6"/>
    <s v="30-06-2026"/>
    <n v="7978"/>
    <s v="2116-01"/>
    <n v="6957"/>
    <n v="0"/>
    <s v="Centralización pagos junio 2026"/>
    <n v="6957"/>
    <s v="Pasivo"/>
    <n v="-6957"/>
    <x v="78"/>
  </r>
  <r>
    <n v="2026"/>
    <n v="6"/>
    <s v="30-06-2026"/>
    <n v="7981"/>
    <s v="2116-01"/>
    <n v="4969313"/>
    <n v="0"/>
    <s v="Pago f 59659 compañia de telecomunicaciones sistek sp"/>
    <n v="4969313"/>
    <s v="Pasivo"/>
    <n v="-4969313"/>
    <x v="78"/>
  </r>
  <r>
    <n v="2026"/>
    <n v="6"/>
    <s v="30-06-2026"/>
    <n v="7982"/>
    <s v="2116-01"/>
    <n v="3848368"/>
    <n v="0"/>
    <s v="Pago f 38665 tac communications s.a."/>
    <n v="3848368"/>
    <s v="Pasivo"/>
    <n v="-3848368"/>
    <x v="78"/>
  </r>
  <r>
    <n v="2026"/>
    <n v="6"/>
    <s v="30-06-2026"/>
    <n v="7983"/>
    <s v="2116-01"/>
    <n v="1248984"/>
    <n v="0"/>
    <s v="Pago f 39259 tac communications s.a."/>
    <n v="1248984"/>
    <s v="Pasivo"/>
    <n v="-1248984"/>
    <x v="78"/>
  </r>
  <r>
    <n v="2026"/>
    <n v="6"/>
    <s v="30-06-2026"/>
    <n v="7984"/>
    <s v="2116-01"/>
    <n v="970945"/>
    <n v="0"/>
    <s v="Pago f 59678 60165 compañia de telecomunicaciones sistek sp"/>
    <n v="970945"/>
    <s v="Pasivo"/>
    <n v="-970945"/>
    <x v="78"/>
  </r>
  <r>
    <n v="2026"/>
    <n v="6"/>
    <s v="30-06-2026"/>
    <n v="7984"/>
    <s v="2116-01"/>
    <n v="485472"/>
    <n v="0"/>
    <s v="Pago f 59678 60165 compañia de telecomunicaciones sistek sp"/>
    <n v="485472"/>
    <s v="Pasivo"/>
    <n v="-485472"/>
    <x v="78"/>
  </r>
  <r>
    <n v="2026"/>
    <n v="6"/>
    <s v="30-06-2026"/>
    <n v="7985"/>
    <s v="2116-01"/>
    <n v="371280"/>
    <n v="0"/>
    <s v="Pago f 7095 optictimes spa"/>
    <n v="371280"/>
    <s v="Pasivo"/>
    <n v="-371280"/>
    <x v="78"/>
  </r>
  <r>
    <n v="2026"/>
    <n v="6"/>
    <s v="30-06-2026"/>
    <n v="7986"/>
    <s v="2116-01"/>
    <n v="154700"/>
    <n v="0"/>
    <s v="Pago f 6970 optictimes spa"/>
    <n v="154700"/>
    <s v="Pasivo"/>
    <n v="-154700"/>
    <x v="78"/>
  </r>
  <r>
    <n v="2026"/>
    <n v="6"/>
    <s v="30-06-2026"/>
    <n v="7987"/>
    <s v="2116-01"/>
    <n v="443870"/>
    <n v="0"/>
    <s v="Pago f 6991 optictimes spa"/>
    <n v="443870"/>
    <s v="Pasivo"/>
    <n v="-443870"/>
    <x v="78"/>
  </r>
  <r>
    <n v="2026"/>
    <n v="6"/>
    <s v="30-06-2026"/>
    <n v="7988"/>
    <s v="2116-01"/>
    <n v="485472"/>
    <n v="0"/>
    <s v="Pago f 59081 compañia de telecomunicaciones sistek sp"/>
    <n v="485472"/>
    <s v="Pasivo"/>
    <n v="-485472"/>
    <x v="78"/>
  </r>
  <r>
    <n v="2026"/>
    <n v="6"/>
    <s v="30-06-2026"/>
    <n v="8099"/>
    <s v="2116-01"/>
    <n v="10343508"/>
    <n v="0"/>
    <s v="Centralización pagos junio 2026"/>
    <n v="10343508"/>
    <s v="Pasivo"/>
    <n v="-10343508"/>
    <x v="78"/>
  </r>
  <r>
    <n v="2026"/>
    <n v="6"/>
    <s v="30-06-2026"/>
    <n v="8184"/>
    <s v="2116-01"/>
    <n v="138418"/>
    <n v="0"/>
    <s v="Centralización pagos junio 2026 #617 - #617"/>
    <n v="138418"/>
    <s v="Pasivo"/>
    <n v="-138418"/>
    <x v="78"/>
  </r>
  <r>
    <n v="2026"/>
    <n v="6"/>
    <s v="30-06-2026"/>
    <n v="8185"/>
    <s v="2116-01"/>
    <n v="93561"/>
    <n v="0"/>
    <s v="Centralización pagos junio 2026 #603 - #603"/>
    <n v="93561"/>
    <s v="Pasivo"/>
    <n v="-93561"/>
    <x v="78"/>
  </r>
  <r>
    <n v="2026"/>
    <n v="6"/>
    <s v="30-06-2026"/>
    <n v="8186"/>
    <s v="2116-01"/>
    <n v="20000"/>
    <n v="0"/>
    <s v="Centralización pagos junio 2026 #607 - #607"/>
    <n v="20000"/>
    <s v="Pasivo"/>
    <n v="-20000"/>
    <x v="78"/>
  </r>
  <r>
    <n v="2026"/>
    <n v="6"/>
    <s v="30-06-2026"/>
    <n v="8187"/>
    <s v="2116-01"/>
    <n v="225743"/>
    <n v="0"/>
    <s v="Centralización pagos junio 2026 #612 - #612"/>
    <n v="225743"/>
    <s v="Pasivo"/>
    <n v="-225743"/>
    <x v="78"/>
  </r>
  <r>
    <n v="2026"/>
    <n v="6"/>
    <s v="30-06-2026"/>
    <n v="8188"/>
    <s v="2116-01"/>
    <n v="63190"/>
    <n v="0"/>
    <s v="Centralización pagos junio 2026 #613 - #613"/>
    <n v="63190"/>
    <s v="Pasivo"/>
    <n v="-63190"/>
    <x v="78"/>
  </r>
  <r>
    <n v="2026"/>
    <n v="6"/>
    <s v="30-06-2026"/>
    <n v="8189"/>
    <s v="2116-01"/>
    <n v="63526"/>
    <n v="0"/>
    <s v="Centralización pagos junio 2026 #615 - #615"/>
    <n v="63526"/>
    <s v="Pasivo"/>
    <n v="-63526"/>
    <x v="78"/>
  </r>
  <r>
    <n v="2026"/>
    <n v="6"/>
    <s v="30-06-2026"/>
    <n v="8190"/>
    <s v="2116-01"/>
    <n v="60000"/>
    <n v="0"/>
    <s v="Centralización pagos junio 2026 #598 - #598"/>
    <n v="60000"/>
    <s v="Pasivo"/>
    <n v="-60000"/>
    <x v="78"/>
  </r>
  <r>
    <n v="2026"/>
    <n v="6"/>
    <s v="30-06-2026"/>
    <n v="8191"/>
    <s v="2116-01"/>
    <n v="343624"/>
    <n v="0"/>
    <s v="Centralización pagos junio 2026 #599 - #599"/>
    <n v="343624"/>
    <s v="Pasivo"/>
    <n v="-343624"/>
    <x v="78"/>
  </r>
  <r>
    <n v="2026"/>
    <n v="6"/>
    <s v="30-06-2026"/>
    <n v="8192"/>
    <s v="2116-01"/>
    <n v="59960"/>
    <n v="0"/>
    <s v="Centralización pagos junio 2026 #600 - #600"/>
    <n v="59960"/>
    <s v="Pasivo"/>
    <n v="-59960"/>
    <x v="78"/>
  </r>
  <r>
    <n v="2026"/>
    <n v="6"/>
    <s v="30-06-2026"/>
    <n v="8193"/>
    <s v="2116-01"/>
    <n v="20451"/>
    <n v="0"/>
    <s v="Centralización pagos junio 2026 #602 - #602"/>
    <n v="20451"/>
    <s v="Pasivo"/>
    <n v="-20451"/>
    <x v="78"/>
  </r>
  <r>
    <n v="2026"/>
    <n v="6"/>
    <s v="30-06-2026"/>
    <n v="8194"/>
    <s v="2116-01"/>
    <n v="3091678"/>
    <n v="0"/>
    <s v="Centralización pagos junio 2026 #604 - #604"/>
    <n v="3091678"/>
    <s v="Pasivo"/>
    <n v="-3091678"/>
    <x v="78"/>
  </r>
  <r>
    <n v="2026"/>
    <n v="6"/>
    <s v="30-06-2026"/>
    <n v="8195"/>
    <s v="2116-01"/>
    <n v="10000"/>
    <n v="0"/>
    <s v="Centralización pagos junio 2026 #605 - #605"/>
    <n v="10000"/>
    <s v="Pasivo"/>
    <n v="-10000"/>
    <x v="78"/>
  </r>
  <r>
    <n v="2026"/>
    <n v="6"/>
    <s v="30-06-2026"/>
    <n v="8196"/>
    <s v="2116-01"/>
    <n v="14300"/>
    <n v="0"/>
    <s v="Centralización pagos junio 2026 #606 - #606"/>
    <n v="14300"/>
    <s v="Pasivo"/>
    <n v="-14300"/>
    <x v="78"/>
  </r>
  <r>
    <n v="2026"/>
    <n v="6"/>
    <s v="30-06-2026"/>
    <n v="8197"/>
    <s v="2116-01"/>
    <n v="766242"/>
    <n v="0"/>
    <s v="Centralización pagos junio 2026 #608 - #608"/>
    <n v="766242"/>
    <s v="Pasivo"/>
    <n v="-766242"/>
    <x v="78"/>
  </r>
  <r>
    <n v="2026"/>
    <n v="6"/>
    <s v="30-06-2026"/>
    <n v="8198"/>
    <s v="2116-01"/>
    <n v="29670"/>
    <n v="0"/>
    <s v="Centralización pagos junio 2026 #609 - #609"/>
    <n v="29670"/>
    <s v="Pasivo"/>
    <n v="-29670"/>
    <x v="78"/>
  </r>
  <r>
    <n v="2026"/>
    <n v="6"/>
    <s v="30-06-2026"/>
    <n v="8199"/>
    <s v="2116-01"/>
    <n v="5890"/>
    <n v="0"/>
    <s v="Centralización pagos junio 2026 #610 - #610"/>
    <n v="5890"/>
    <s v="Pasivo"/>
    <n v="-5890"/>
    <x v="78"/>
  </r>
  <r>
    <n v="2026"/>
    <n v="6"/>
    <s v="30-06-2026"/>
    <n v="8200"/>
    <s v="2116-01"/>
    <n v="113490"/>
    <n v="0"/>
    <s v="Centralización pagos junio 2026 #611 - #611"/>
    <n v="113490"/>
    <s v="Pasivo"/>
    <n v="-113490"/>
    <x v="78"/>
  </r>
  <r>
    <n v="2026"/>
    <n v="6"/>
    <s v="30-06-2026"/>
    <n v="8201"/>
    <s v="2116-01"/>
    <n v="121361"/>
    <n v="0"/>
    <s v="Centralización pagos junio 2026 #614 - #614"/>
    <n v="121361"/>
    <s v="Pasivo"/>
    <n v="-121361"/>
    <x v="78"/>
  </r>
  <r>
    <n v="2026"/>
    <n v="6"/>
    <s v="30-06-2026"/>
    <n v="8204"/>
    <s v="2116-01"/>
    <n v="3150130"/>
    <n v="0"/>
    <s v="Centralización pagos junio 2026"/>
    <n v="3150130"/>
    <s v="Pasivo"/>
    <n v="-3150130"/>
    <x v="78"/>
  </r>
  <r>
    <n v="2026"/>
    <n v="6"/>
    <s v="30-06-2026"/>
    <n v="8205"/>
    <s v="2116-01"/>
    <n v="86282"/>
    <n v="0"/>
    <s v="Centralización pagos junio 2026"/>
    <n v="86282"/>
    <s v="Pasivo"/>
    <n v="-86282"/>
    <x v="78"/>
  </r>
  <r>
    <n v="2026"/>
    <n v="6"/>
    <s v="30-06-2026"/>
    <n v="10798"/>
    <s v="2116-01"/>
    <n v="4901382"/>
    <n v="0"/>
    <s v="Centralización compras junio 2026 - valor total"/>
    <n v="4901382"/>
    <s v="Pasivo"/>
    <n v="-4901382"/>
    <x v="78"/>
  </r>
  <r>
    <n v="2026"/>
    <n v="6"/>
    <s v="30-06-2026"/>
    <n v="10798"/>
    <s v="2116-01"/>
    <n v="0"/>
    <n v="108252259"/>
    <s v="Centralización compras junio 2026 - valor total"/>
    <n v="-108252259"/>
    <s v="Pasivo"/>
    <n v="108252259"/>
    <x v="78"/>
  </r>
  <r>
    <n v="2026"/>
    <n v="7"/>
    <s v="02-07-2026"/>
    <n v="8440"/>
    <s v="2116-01"/>
    <n v="2990701"/>
    <n v="0"/>
    <s v="Pago fact 2602 solution box chile spa"/>
    <n v="2990701"/>
    <s v="Pasivo"/>
    <n v="-2990701"/>
    <x v="78"/>
  </r>
  <r>
    <n v="2026"/>
    <n v="7"/>
    <s v="03-07-2026"/>
    <n v="8603"/>
    <s v="2116-01"/>
    <n v="10000"/>
    <n v="0"/>
    <s v="Pago fact 61849 voissnet cloud services s.p.a."/>
    <n v="10000"/>
    <s v="Pasivo"/>
    <n v="-10000"/>
    <x v="78"/>
  </r>
  <r>
    <n v="2026"/>
    <n v="7"/>
    <s v="03-07-2026"/>
    <n v="8658"/>
    <s v="2116-01"/>
    <n v="7757"/>
    <n v="0"/>
    <s v="Pago fact 7910316 banco itaú chile"/>
    <n v="7757"/>
    <s v="Pasivo"/>
    <n v="-7757"/>
    <x v="78"/>
  </r>
  <r>
    <n v="2026"/>
    <n v="7"/>
    <s v="03-07-2026"/>
    <n v="8659"/>
    <s v="2116-01"/>
    <n v="1474"/>
    <n v="0"/>
    <s v="Pago fact 7910316 banco itaú chile"/>
    <n v="1474"/>
    <s v="Pasivo"/>
    <n v="-1474"/>
    <x v="78"/>
  </r>
  <r>
    <n v="2026"/>
    <n v="7"/>
    <s v="03-07-2026"/>
    <n v="8666"/>
    <s v="2116-01"/>
    <n v="7757"/>
    <n v="0"/>
    <s v="Centralización pagos julio 2026 #824 - #824"/>
    <n v="7757"/>
    <s v="Pasivo"/>
    <n v="-7757"/>
    <x v="78"/>
  </r>
  <r>
    <n v="2026"/>
    <n v="7"/>
    <s v="03-07-2026"/>
    <n v="8667"/>
    <s v="2116-01"/>
    <n v="1474"/>
    <n v="0"/>
    <s v="Centralización pagos julio 2026 #825 - #825"/>
    <n v="1474"/>
    <s v="Pasivo"/>
    <n v="-1474"/>
    <x v="78"/>
  </r>
  <r>
    <n v="2026"/>
    <n v="7"/>
    <s v="06-07-2026"/>
    <n v="8641"/>
    <s v="2116-01"/>
    <n v="194712"/>
    <n v="0"/>
    <s v="Pago fact 3043663 zurich chile seguros generales s.a."/>
    <n v="194712"/>
    <s v="Pasivo"/>
    <n v="-194712"/>
    <x v="78"/>
  </r>
  <r>
    <n v="2026"/>
    <n v="7"/>
    <s v="07-07-2026"/>
    <n v="8450"/>
    <s v="2116-01"/>
    <n v="4355131"/>
    <n v="0"/>
    <s v="Pago fact 39055 grupo zgh spa"/>
    <n v="4355131"/>
    <s v="Pasivo"/>
    <n v="-4355131"/>
    <x v="78"/>
  </r>
  <r>
    <n v="2026"/>
    <n v="7"/>
    <s v="07-07-2026"/>
    <n v="8451"/>
    <s v="2116-01"/>
    <n v="3230538"/>
    <n v="0"/>
    <s v="Pago fact 12410 pit chile spa"/>
    <n v="3230538"/>
    <s v="Pasivo"/>
    <n v="-3230538"/>
    <x v="78"/>
  </r>
  <r>
    <n v="2026"/>
    <n v="7"/>
    <s v="07-07-2026"/>
    <n v="8452"/>
    <s v="2116-01"/>
    <n v="3110184"/>
    <n v="0"/>
    <s v="Pago fact 101 mileniumnet spa."/>
    <n v="3110184"/>
    <s v="Pasivo"/>
    <n v="-3110184"/>
    <x v="78"/>
  </r>
  <r>
    <n v="2026"/>
    <n v="7"/>
    <s v="07-07-2026"/>
    <n v="8453"/>
    <s v="2116-01"/>
    <n v="2317750"/>
    <n v="0"/>
    <s v="Pago fact 9389 silica networks chile s.a."/>
    <n v="2317750"/>
    <s v="Pasivo"/>
    <n v="-2317750"/>
    <x v="78"/>
  </r>
  <r>
    <n v="2026"/>
    <n v="7"/>
    <s v="07-07-2026"/>
    <n v="8454"/>
    <s v="2116-01"/>
    <n v="1551624"/>
    <n v="0"/>
    <s v="Pago fact 1642 cogent communications chile limitada"/>
    <n v="1551624"/>
    <s v="Pasivo"/>
    <n v="-1551624"/>
    <x v="78"/>
  </r>
  <r>
    <n v="2026"/>
    <n v="7"/>
    <s v="07-07-2026"/>
    <n v="8455"/>
    <s v="2116-01"/>
    <n v="1351397"/>
    <n v="0"/>
    <s v="Pago fact 325 lars spa"/>
    <n v="1351397"/>
    <s v="Pasivo"/>
    <n v="-1351397"/>
    <x v="78"/>
  </r>
  <r>
    <n v="2026"/>
    <n v="7"/>
    <s v="07-07-2026"/>
    <n v="8456"/>
    <s v="2116-01"/>
    <n v="1179885"/>
    <n v="0"/>
    <s v="Pago fact 39563 tac communications s.a."/>
    <n v="1179885"/>
    <s v="Pasivo"/>
    <n v="-1179885"/>
    <x v="78"/>
  </r>
  <r>
    <n v="2026"/>
    <n v="7"/>
    <s v="07-07-2026"/>
    <n v="8457"/>
    <s v="2116-01"/>
    <n v="986348"/>
    <n v="0"/>
    <s v="Pago fact 9272 ascenty chile spa"/>
    <n v="986348"/>
    <s v="Pasivo"/>
    <n v="-986348"/>
    <x v="78"/>
  </r>
  <r>
    <n v="2026"/>
    <n v="7"/>
    <s v="07-07-2026"/>
    <n v="8458"/>
    <s v="2116-01"/>
    <n v="979058"/>
    <n v="0"/>
    <s v="Pago fact 39056 grupo zgh spa"/>
    <n v="979058"/>
    <s v="Pasivo"/>
    <n v="-979058"/>
    <x v="78"/>
  </r>
  <r>
    <n v="2026"/>
    <n v="7"/>
    <s v="07-07-2026"/>
    <n v="8459"/>
    <s v="2116-01"/>
    <n v="800000"/>
    <n v="0"/>
    <s v="Pago fact 9 altaseo limitada"/>
    <n v="800000"/>
    <s v="Pasivo"/>
    <n v="-800000"/>
    <x v="78"/>
  </r>
  <r>
    <n v="2026"/>
    <n v="7"/>
    <s v="07-07-2026"/>
    <n v="8461"/>
    <s v="2116-01"/>
    <n v="535500"/>
    <n v="0"/>
    <s v="Pago fact 17 luxconnect spa"/>
    <n v="535500"/>
    <s v="Pasivo"/>
    <n v="-535500"/>
    <x v="78"/>
  </r>
  <r>
    <n v="2026"/>
    <n v="7"/>
    <s v="07-07-2026"/>
    <n v="8462"/>
    <s v="2116-01"/>
    <n v="535500"/>
    <n v="0"/>
    <s v="Pago fact 19 luxconnect spa"/>
    <n v="535500"/>
    <s v="Pasivo"/>
    <n v="-535500"/>
    <x v="78"/>
  </r>
  <r>
    <n v="2026"/>
    <n v="7"/>
    <s v="07-07-2026"/>
    <n v="8466"/>
    <s v="2116-01"/>
    <n v="202300"/>
    <n v="0"/>
    <s v="Pago fact 590 ingsor spa"/>
    <n v="202300"/>
    <s v="Pasivo"/>
    <n v="-202300"/>
    <x v="78"/>
  </r>
  <r>
    <n v="2026"/>
    <n v="7"/>
    <s v="07-07-2026"/>
    <n v="8468"/>
    <s v="2116-01"/>
    <n v="78822"/>
    <n v="0"/>
    <s v="Pago fact 9271 ascenty chile spa"/>
    <n v="78822"/>
    <s v="Pasivo"/>
    <n v="-78822"/>
    <x v="78"/>
  </r>
  <r>
    <n v="2026"/>
    <n v="7"/>
    <s v="07-07-2026"/>
    <n v="8469"/>
    <s v="2116-01"/>
    <n v="74930"/>
    <n v="0"/>
    <s v="Pago fact 9313 ascenty chile spa"/>
    <n v="74930"/>
    <s v="Pasivo"/>
    <n v="-74930"/>
    <x v="78"/>
  </r>
  <r>
    <n v="2026"/>
    <n v="7"/>
    <s v="07-07-2026"/>
    <n v="8470"/>
    <s v="2116-01"/>
    <n v="74191"/>
    <n v="0"/>
    <s v="Pago fact 9335 ascenty chile spa"/>
    <n v="74191"/>
    <s v="Pasivo"/>
    <n v="-74191"/>
    <x v="78"/>
  </r>
  <r>
    <n v="2026"/>
    <n v="7"/>
    <s v="07-07-2026"/>
    <n v="8471"/>
    <s v="2116-01"/>
    <n v="74191"/>
    <n v="0"/>
    <s v="Pago fact 9342 ascenty chile spa"/>
    <n v="74191"/>
    <s v="Pasivo"/>
    <n v="-74191"/>
    <x v="78"/>
  </r>
  <r>
    <n v="2026"/>
    <n v="7"/>
    <s v="07-07-2026"/>
    <n v="8472"/>
    <s v="2116-01"/>
    <n v="63279"/>
    <n v="0"/>
    <s v="Pago fact 9283 ascenty chile spa"/>
    <n v="63279"/>
    <s v="Pasivo"/>
    <n v="-63279"/>
    <x v="78"/>
  </r>
  <r>
    <n v="2026"/>
    <n v="7"/>
    <s v="07-07-2026"/>
    <n v="8473"/>
    <s v="2116-01"/>
    <n v="63279"/>
    <n v="0"/>
    <s v="Pago fact 9285 ascenty chile spa"/>
    <n v="63279"/>
    <s v="Pasivo"/>
    <n v="-63279"/>
    <x v="78"/>
  </r>
  <r>
    <n v="2026"/>
    <n v="7"/>
    <s v="07-07-2026"/>
    <n v="8474"/>
    <s v="2116-01"/>
    <n v="62532"/>
    <n v="0"/>
    <s v="Pago fact 9299 ascenty chile spa"/>
    <n v="62532"/>
    <s v="Pasivo"/>
    <n v="-62532"/>
    <x v="78"/>
  </r>
  <r>
    <n v="2026"/>
    <n v="7"/>
    <s v="07-07-2026"/>
    <n v="8475"/>
    <s v="2116-01"/>
    <n v="62345"/>
    <n v="0"/>
    <s v="Pago fact 9285 ascenty chile spa"/>
    <n v="62345"/>
    <s v="Pasivo"/>
    <n v="-62345"/>
    <x v="78"/>
  </r>
  <r>
    <n v="2026"/>
    <n v="7"/>
    <s v="08-07-2026"/>
    <n v="8435"/>
    <s v="2116-01"/>
    <n v="6994"/>
    <n v="0"/>
    <s v="Pago fact 9749655 banco del estado de chile"/>
    <n v="6994"/>
    <s v="Pasivo"/>
    <n v="-6994"/>
    <x v="78"/>
  </r>
  <r>
    <n v="2026"/>
    <n v="7"/>
    <s v="08-07-2026"/>
    <n v="8436"/>
    <s v="2116-01"/>
    <n v="64141000"/>
    <n v="0"/>
    <s v="Pago fact 8165 hyl telecom ltda."/>
    <n v="64141000"/>
    <s v="Pasivo"/>
    <n v="-64141000"/>
    <x v="78"/>
  </r>
  <r>
    <n v="2026"/>
    <n v="7"/>
    <s v="08-07-2026"/>
    <n v="8436"/>
    <s v="2116-01"/>
    <n v="0"/>
    <n v="53450834"/>
    <s v="Pago fact 8165 hyl telecom ltda."/>
    <n v="-53450834"/>
    <s v="Pasivo"/>
    <n v="53450834"/>
    <x v="78"/>
  </r>
  <r>
    <n v="2026"/>
    <n v="7"/>
    <s v="08-07-2026"/>
    <n v="8606"/>
    <s v="2116-01"/>
    <n v="27990"/>
    <n v="0"/>
    <s v="Pago fact 4166177 servicios equifax chile limitada"/>
    <n v="27990"/>
    <s v="Pasivo"/>
    <n v="-27990"/>
    <x v="78"/>
  </r>
  <r>
    <n v="2026"/>
    <n v="7"/>
    <s v="09-07-2026"/>
    <n v="8661"/>
    <s v="2116-01"/>
    <n v="1618180"/>
    <n v="0"/>
    <s v="Pago facturas varias"/>
    <n v="1618180"/>
    <s v="Pasivo"/>
    <n v="-1618180"/>
    <x v="78"/>
  </r>
  <r>
    <n v="2026"/>
    <n v="7"/>
    <s v="09-07-2026"/>
    <n v="8661"/>
    <s v="2116-01"/>
    <n v="1117894"/>
    <n v="0"/>
    <s v="Pago facturas varias"/>
    <n v="1117894"/>
    <s v="Pasivo"/>
    <n v="-1117894"/>
    <x v="78"/>
  </r>
  <r>
    <n v="2026"/>
    <n v="7"/>
    <s v="09-07-2026"/>
    <n v="8661"/>
    <s v="2116-01"/>
    <n v="501825"/>
    <n v="0"/>
    <s v="Pago facturas varias"/>
    <n v="501825"/>
    <s v="Pasivo"/>
    <n v="-501825"/>
    <x v="78"/>
  </r>
  <r>
    <n v="2026"/>
    <n v="7"/>
    <s v="09-07-2026"/>
    <n v="8661"/>
    <s v="2116-01"/>
    <n v="14617"/>
    <n v="0"/>
    <s v="Pago facturas varias"/>
    <n v="14617"/>
    <s v="Pasivo"/>
    <n v="-14617"/>
    <x v="78"/>
  </r>
  <r>
    <n v="2026"/>
    <n v="7"/>
    <s v="09-07-2026"/>
    <n v="8661"/>
    <s v="2116-01"/>
    <n v="12388"/>
    <n v="0"/>
    <s v="Pago facturas varias"/>
    <n v="12388"/>
    <s v="Pasivo"/>
    <n v="-12388"/>
    <x v="78"/>
  </r>
  <r>
    <n v="2026"/>
    <n v="7"/>
    <s v="09-07-2026"/>
    <n v="8661"/>
    <s v="2116-01"/>
    <n v="3841"/>
    <n v="0"/>
    <s v="Pago facturas varias"/>
    <n v="3841"/>
    <s v="Pasivo"/>
    <n v="-3841"/>
    <x v="78"/>
  </r>
  <r>
    <n v="2026"/>
    <n v="7"/>
    <s v="09-07-2026"/>
    <n v="8661"/>
    <s v="2116-01"/>
    <n v="174398"/>
    <n v="0"/>
    <s v="Pago facturas varias"/>
    <n v="174398"/>
    <s v="Pasivo"/>
    <n v="-174398"/>
    <x v="78"/>
  </r>
  <r>
    <n v="2026"/>
    <n v="7"/>
    <s v="09-07-2026"/>
    <n v="8661"/>
    <s v="2116-01"/>
    <n v="154786"/>
    <n v="0"/>
    <s v="Pago facturas varias"/>
    <n v="154786"/>
    <s v="Pasivo"/>
    <n v="-154786"/>
    <x v="78"/>
  </r>
  <r>
    <n v="2026"/>
    <n v="7"/>
    <s v="09-07-2026"/>
    <n v="8661"/>
    <s v="2116-01"/>
    <n v="104447"/>
    <n v="0"/>
    <s v="Pago facturas varias"/>
    <n v="104447"/>
    <s v="Pasivo"/>
    <n v="-104447"/>
    <x v="78"/>
  </r>
  <r>
    <n v="2026"/>
    <n v="7"/>
    <s v="10-07-2026"/>
    <n v="8477"/>
    <s v="2116-01"/>
    <n v="6168688"/>
    <n v="0"/>
    <s v="Pago fact 8868 inversiones y telecomunicaciones r y m spa"/>
    <n v="6168688"/>
    <s v="Pasivo"/>
    <n v="-6168688"/>
    <x v="78"/>
  </r>
  <r>
    <n v="2026"/>
    <n v="7"/>
    <s v="10-07-2026"/>
    <n v="8479"/>
    <s v="2116-01"/>
    <n v="4429956"/>
    <n v="0"/>
    <s v="Pago fact 40422 grupo zgh spa"/>
    <n v="4429956"/>
    <s v="Pasivo"/>
    <n v="-4429956"/>
    <x v="78"/>
  </r>
  <r>
    <n v="2026"/>
    <n v="7"/>
    <s v="10-07-2026"/>
    <n v="8480"/>
    <s v="2116-01"/>
    <n v="2123505"/>
    <n v="0"/>
    <s v="Pago fact 283 sociedad de inversiones straubing s.a."/>
    <n v="2123505"/>
    <s v="Pasivo"/>
    <n v="-2123505"/>
    <x v="78"/>
  </r>
  <r>
    <n v="2026"/>
    <n v="7"/>
    <s v="10-07-2026"/>
    <n v="8482"/>
    <s v="2116-01"/>
    <n v="1285214"/>
    <n v="0"/>
    <s v="Pago fact 9906 inversiones y telecomunicaciones r y m spa"/>
    <n v="1285214"/>
    <s v="Pasivo"/>
    <n v="-1285214"/>
    <x v="78"/>
  </r>
  <r>
    <n v="2026"/>
    <n v="7"/>
    <s v="10-07-2026"/>
    <n v="8484"/>
    <s v="2116-01"/>
    <n v="995879"/>
    <n v="0"/>
    <s v="Pago fact 40423 grupo zgh spa"/>
    <n v="995879"/>
    <s v="Pasivo"/>
    <n v="-995879"/>
    <x v="78"/>
  </r>
  <r>
    <n v="2026"/>
    <n v="7"/>
    <s v="10-07-2026"/>
    <n v="8485"/>
    <s v="2116-01"/>
    <n v="825795"/>
    <n v="0"/>
    <s v="Pago fact 329 alberto diaz de valdes e hija limitada"/>
    <n v="825795"/>
    <s v="Pasivo"/>
    <n v="-825795"/>
    <x v="78"/>
  </r>
  <r>
    <n v="2026"/>
    <n v="7"/>
    <s v="10-07-2026"/>
    <n v="8486"/>
    <s v="2116-01"/>
    <n v="751000"/>
    <n v="0"/>
    <s v="Pago fact 11224 globalconnect spa"/>
    <n v="751000"/>
    <s v="Pasivo"/>
    <n v="-751000"/>
    <x v="78"/>
  </r>
  <r>
    <n v="2026"/>
    <n v="7"/>
    <s v="10-07-2026"/>
    <n v="8490"/>
    <s v="2116-01"/>
    <n v="476000"/>
    <n v="0"/>
    <s v="Pago fact 5637 cia de comunicaciones coyhaique limitada"/>
    <n v="476000"/>
    <s v="Pasivo"/>
    <n v="-476000"/>
    <x v="78"/>
  </r>
  <r>
    <n v="2026"/>
    <n v="7"/>
    <s v="10-07-2026"/>
    <n v="8500"/>
    <s v="2116-01"/>
    <n v="102045"/>
    <n v="0"/>
    <s v="Pago fact 197914 regus management de chile limitada"/>
    <n v="102045"/>
    <s v="Pasivo"/>
    <n v="-102045"/>
    <x v="78"/>
  </r>
  <r>
    <n v="2026"/>
    <n v="7"/>
    <s v="10-07-2026"/>
    <n v="8505"/>
    <s v="2116-01"/>
    <n v="72892"/>
    <n v="0"/>
    <s v="Pago fact 425 mdd soluciones spa"/>
    <n v="72892"/>
    <s v="Pasivo"/>
    <n v="-72892"/>
    <x v="78"/>
  </r>
  <r>
    <n v="2026"/>
    <n v="7"/>
    <s v="10-07-2026"/>
    <n v="8506"/>
    <s v="2116-01"/>
    <n v="71400"/>
    <n v="0"/>
    <s v="Pago fact 175 zettabyte spa"/>
    <n v="71400"/>
    <s v="Pasivo"/>
    <n v="-71400"/>
    <x v="78"/>
  </r>
  <r>
    <n v="2026"/>
    <n v="7"/>
    <s v="13-07-2026"/>
    <n v="8611"/>
    <s v="2116-01"/>
    <n v="539193"/>
    <n v="0"/>
    <s v="Grupo dhl express chil"/>
    <n v="539193"/>
    <s v="Pasivo"/>
    <n v="-539193"/>
    <x v="78"/>
  </r>
  <r>
    <n v="2026"/>
    <n v="7"/>
    <s v="14-07-2026"/>
    <n v="8652"/>
    <s v="2116-01"/>
    <n v="357000"/>
    <n v="0"/>
    <s v="Pago fact 2910519 starlink chile spa"/>
    <n v="357000"/>
    <s v="Pasivo"/>
    <n v="-357000"/>
    <x v="78"/>
  </r>
  <r>
    <n v="2026"/>
    <n v="7"/>
    <s v="15-07-2026"/>
    <n v="8511"/>
    <s v="2116-01"/>
    <n v="2391858"/>
    <n v="0"/>
    <s v="Pago fact 39687 tac communications s.a."/>
    <n v="2391858"/>
    <s v="Pasivo"/>
    <n v="-2391858"/>
    <x v="78"/>
  </r>
  <r>
    <n v="2026"/>
    <n v="7"/>
    <s v="15-07-2026"/>
    <n v="8512"/>
    <s v="2116-01"/>
    <n v="1570800"/>
    <n v="0"/>
    <s v="Pago fact 105 mileniumnet spa."/>
    <n v="1570800"/>
    <s v="Pasivo"/>
    <n v="-1570800"/>
    <x v="78"/>
  </r>
  <r>
    <n v="2026"/>
    <n v="7"/>
    <s v="15-07-2026"/>
    <n v="8513"/>
    <s v="2116-01"/>
    <n v="1510351"/>
    <n v="0"/>
    <s v="Pago fact 16460 asesorias tributarias pedro gonzalez limitada"/>
    <n v="1510351"/>
    <s v="Pasivo"/>
    <n v="-1510351"/>
    <x v="78"/>
  </r>
  <r>
    <n v="2026"/>
    <n v="7"/>
    <s v="15-07-2026"/>
    <n v="8514"/>
    <s v="2116-01"/>
    <n v="724900"/>
    <n v="0"/>
    <s v="Pago fact 4061 ficom telecomunicaciones spa"/>
    <n v="724900"/>
    <s v="Pasivo"/>
    <n v="-724900"/>
    <x v="78"/>
  </r>
  <r>
    <n v="2026"/>
    <n v="7"/>
    <s v="15-07-2026"/>
    <n v="8516"/>
    <s v="2116-01"/>
    <n v="445988"/>
    <n v="0"/>
    <s v="Pago fact 81 servicio tecnico a domicilio muza spa"/>
    <n v="445988"/>
    <s v="Pasivo"/>
    <n v="-445988"/>
    <x v="78"/>
  </r>
  <r>
    <n v="2026"/>
    <n v="7"/>
    <s v="15-07-2026"/>
    <n v="8517"/>
    <s v="2116-01"/>
    <n v="429245"/>
    <n v="0"/>
    <s v="Pago fact 39157 tac communications s.a."/>
    <n v="429245"/>
    <s v="Pasivo"/>
    <n v="-429245"/>
    <x v="78"/>
  </r>
  <r>
    <n v="2026"/>
    <n v="7"/>
    <s v="15-07-2026"/>
    <n v="8518"/>
    <s v="2116-01"/>
    <n v="420962"/>
    <n v="0"/>
    <s v="Pago fact 7026 optictimes spa"/>
    <n v="420962"/>
    <s v="Pasivo"/>
    <n v="-420962"/>
    <x v="78"/>
  </r>
  <r>
    <n v="2026"/>
    <n v="7"/>
    <s v="15-07-2026"/>
    <n v="8519"/>
    <s v="2116-01"/>
    <n v="408200"/>
    <n v="0"/>
    <s v="Pago fact 5194 cg abogados limitada"/>
    <n v="408200"/>
    <s v="Pasivo"/>
    <n v="-408200"/>
    <x v="78"/>
  </r>
  <r>
    <n v="2026"/>
    <n v="7"/>
    <s v="15-07-2026"/>
    <n v="8520"/>
    <s v="2116-01"/>
    <n v="301406"/>
    <n v="0"/>
    <s v="Pago fact 39694 tac communications s.a."/>
    <n v="301406"/>
    <s v="Pasivo"/>
    <n v="-301406"/>
    <x v="78"/>
  </r>
  <r>
    <n v="2026"/>
    <n v="7"/>
    <s v="15-07-2026"/>
    <n v="8521"/>
    <s v="2116-01"/>
    <n v="250000"/>
    <n v="0"/>
    <s v="Pago fact 69 comercial bulls limitada"/>
    <n v="250000"/>
    <s v="Pasivo"/>
    <n v="-250000"/>
    <x v="78"/>
  </r>
  <r>
    <n v="2026"/>
    <n v="7"/>
    <s v="15-07-2026"/>
    <n v="8522"/>
    <s v="2116-01"/>
    <n v="238000"/>
    <n v="0"/>
    <s v="0112262318 transf a erika del carm"/>
    <n v="238000"/>
    <s v="Pasivo"/>
    <n v="-238000"/>
    <x v="78"/>
  </r>
  <r>
    <n v="2026"/>
    <n v="7"/>
    <s v="15-07-2026"/>
    <n v="8523"/>
    <s v="2116-01"/>
    <n v="237629"/>
    <n v="0"/>
    <s v="Pago fact 321026 buk spa"/>
    <n v="237629"/>
    <s v="Pasivo"/>
    <n v="-237629"/>
    <x v="78"/>
  </r>
  <r>
    <n v="2026"/>
    <n v="7"/>
    <s v="15-07-2026"/>
    <n v="8524"/>
    <s v="2116-01"/>
    <n v="122829"/>
    <n v="0"/>
    <s v="Pago fact 12245352 dimerc sa"/>
    <n v="122829"/>
    <s v="Pasivo"/>
    <n v="-122829"/>
    <x v="78"/>
  </r>
  <r>
    <n v="2026"/>
    <n v="7"/>
    <s v="15-07-2026"/>
    <n v="8626"/>
    <s v="2116-01"/>
    <n v="229850"/>
    <n v="0"/>
    <s v="Pago fact 22899789 construmart s.a."/>
    <n v="229850"/>
    <s v="Pasivo"/>
    <n v="-229850"/>
    <x v="78"/>
  </r>
  <r>
    <n v="2026"/>
    <n v="7"/>
    <s v="15-07-2026"/>
    <n v="8653"/>
    <s v="2116-01"/>
    <n v="146710"/>
    <n v="0"/>
    <s v="Pago fact 1850478 nubox"/>
    <n v="146710"/>
    <s v="Pasivo"/>
    <n v="-146710"/>
    <x v="78"/>
  </r>
  <r>
    <n v="2026"/>
    <n v="7"/>
    <s v="17-07-2026"/>
    <n v="8527"/>
    <s v="2116-01"/>
    <n v="271012"/>
    <n v="0"/>
    <s v="Pago en linea servipag"/>
    <n v="271012"/>
    <s v="Pasivo"/>
    <n v="-271012"/>
    <x v="78"/>
  </r>
  <r>
    <n v="2026"/>
    <n v="7"/>
    <s v="17-07-2026"/>
    <n v="8527"/>
    <s v="2116-01"/>
    <n v="52601"/>
    <n v="0"/>
    <s v="Pago en linea servipag"/>
    <n v="52601"/>
    <s v="Pasivo"/>
    <n v="-52601"/>
    <x v="78"/>
  </r>
  <r>
    <n v="2026"/>
    <n v="7"/>
    <s v="17-07-2026"/>
    <n v="8527"/>
    <s v="2116-01"/>
    <n v="78337"/>
    <n v="0"/>
    <s v="Pago en linea servipag"/>
    <n v="78337"/>
    <s v="Pasivo"/>
    <n v="-78337"/>
    <x v="78"/>
  </r>
  <r>
    <n v="2026"/>
    <n v="7"/>
    <s v="17-07-2026"/>
    <n v="8527"/>
    <s v="2116-01"/>
    <n v="121236"/>
    <n v="0"/>
    <s v="Pago en linea servipag"/>
    <n v="121236"/>
    <s v="Pasivo"/>
    <n v="-121236"/>
    <x v="78"/>
  </r>
  <r>
    <n v="2026"/>
    <n v="7"/>
    <s v="17-07-2026"/>
    <n v="8527"/>
    <s v="2116-01"/>
    <n v="31541"/>
    <n v="0"/>
    <s v="Pago en linea servipag"/>
    <n v="31541"/>
    <s v="Pasivo"/>
    <n v="-31541"/>
    <x v="78"/>
  </r>
  <r>
    <n v="2026"/>
    <n v="7"/>
    <s v="17-07-2026"/>
    <n v="8627"/>
    <s v="2116-01"/>
    <n v="530835"/>
    <n v="0"/>
    <s v="Pago fact 423674 tecnologia lk spa"/>
    <n v="530835"/>
    <s v="Pasivo"/>
    <n v="-530835"/>
    <x v="78"/>
  </r>
  <r>
    <n v="2026"/>
    <n v="7"/>
    <s v="17-07-2026"/>
    <n v="8628"/>
    <s v="2116-01"/>
    <n v="60930"/>
    <n v="0"/>
    <s v="Pago fact 52684 abregoaudio spa"/>
    <n v="60930"/>
    <s v="Pasivo"/>
    <n v="-60930"/>
    <x v="78"/>
  </r>
  <r>
    <n v="2026"/>
    <n v="7"/>
    <s v="20-07-2026"/>
    <n v="8529"/>
    <s v="2116-01"/>
    <n v="99332"/>
    <n v="0"/>
    <s v="Pago facturas voissnet cloud services s.p.a."/>
    <n v="99332"/>
    <s v="Pasivo"/>
    <n v="-99332"/>
    <x v="78"/>
  </r>
  <r>
    <n v="2026"/>
    <n v="7"/>
    <s v="20-07-2026"/>
    <n v="8529"/>
    <s v="2116-01"/>
    <n v="35000"/>
    <n v="0"/>
    <s v="Pago facturas voissnet cloud services s.p.a."/>
    <n v="35000"/>
    <s v="Pasivo"/>
    <n v="-35000"/>
    <x v="78"/>
  </r>
  <r>
    <n v="2026"/>
    <n v="7"/>
    <s v="20-07-2026"/>
    <n v="8529"/>
    <s v="2116-01"/>
    <n v="42000"/>
    <n v="0"/>
    <s v="Pago facturas voissnet cloud services s.p.a."/>
    <n v="42000"/>
    <s v="Pasivo"/>
    <n v="-42000"/>
    <x v="78"/>
  </r>
  <r>
    <n v="2026"/>
    <n v="7"/>
    <s v="20-07-2026"/>
    <n v="8529"/>
    <s v="2116-01"/>
    <n v="32000"/>
    <n v="0"/>
    <s v="Pago facturas voissnet cloud services s.p.a."/>
    <n v="32000"/>
    <s v="Pasivo"/>
    <n v="-32000"/>
    <x v="78"/>
  </r>
  <r>
    <n v="2026"/>
    <n v="7"/>
    <s v="20-07-2026"/>
    <n v="8529"/>
    <s v="2116-01"/>
    <n v="10000"/>
    <n v="0"/>
    <s v="Pago facturas voissnet cloud services s.p.a."/>
    <n v="10000"/>
    <s v="Pasivo"/>
    <n v="-10000"/>
    <x v="78"/>
  </r>
  <r>
    <n v="2026"/>
    <n v="7"/>
    <s v="20-07-2026"/>
    <n v="8529"/>
    <s v="2116-01"/>
    <n v="10060"/>
    <n v="0"/>
    <s v="Pago facturas voissnet cloud services s.p.a."/>
    <n v="10060"/>
    <s v="Pasivo"/>
    <n v="-10060"/>
    <x v="78"/>
  </r>
  <r>
    <n v="2026"/>
    <n v="7"/>
    <s v="20-07-2026"/>
    <n v="8531"/>
    <s v="2116-01"/>
    <n v="6207"/>
    <n v="0"/>
    <s v="Pago facturas voissnet cloud services s.p.a."/>
    <n v="6207"/>
    <s v="Pasivo"/>
    <n v="-6207"/>
    <x v="78"/>
  </r>
  <r>
    <n v="2026"/>
    <n v="7"/>
    <s v="20-07-2026"/>
    <n v="8531"/>
    <s v="2116-01"/>
    <n v="42000"/>
    <n v="0"/>
    <s v="Pago facturas voissnet cloud services s.p.a."/>
    <n v="42000"/>
    <s v="Pasivo"/>
    <n v="-42000"/>
    <x v="78"/>
  </r>
  <r>
    <n v="2026"/>
    <n v="7"/>
    <s v="20-07-2026"/>
    <n v="8531"/>
    <s v="2116-01"/>
    <n v="32067"/>
    <n v="0"/>
    <s v="Pago facturas voissnet cloud services s.p.a."/>
    <n v="32067"/>
    <s v="Pasivo"/>
    <n v="-32067"/>
    <x v="78"/>
  </r>
  <r>
    <n v="2026"/>
    <n v="7"/>
    <s v="20-07-2026"/>
    <n v="8532"/>
    <s v="2116-01"/>
    <n v="11933"/>
    <n v="0"/>
    <s v="Pago facturas voissnet cloud services s.p.a."/>
    <n v="11933"/>
    <s v="Pasivo"/>
    <n v="-11933"/>
    <x v="78"/>
  </r>
  <r>
    <n v="2026"/>
    <n v="7"/>
    <s v="20-07-2026"/>
    <n v="8532"/>
    <s v="2116-01"/>
    <n v="46153"/>
    <n v="0"/>
    <s v="Pago facturas voissnet cloud services s.p.a."/>
    <n v="46153"/>
    <s v="Pasivo"/>
    <n v="-46153"/>
    <x v="78"/>
  </r>
  <r>
    <n v="2026"/>
    <n v="7"/>
    <s v="20-07-2026"/>
    <n v="8534"/>
    <s v="2116-01"/>
    <n v="42000"/>
    <n v="0"/>
    <s v="Pago fact 61100 voissnet cloud services s.p.a."/>
    <n v="42000"/>
    <s v="Pasivo"/>
    <n v="-42000"/>
    <x v="78"/>
  </r>
  <r>
    <n v="2026"/>
    <n v="7"/>
    <s v="20-07-2026"/>
    <n v="8535"/>
    <s v="2116-01"/>
    <n v="42000"/>
    <n v="0"/>
    <s v="Pago fact 61098 voissnet cloud services s.p.a."/>
    <n v="42000"/>
    <s v="Pasivo"/>
    <n v="-42000"/>
    <x v="78"/>
  </r>
  <r>
    <n v="2026"/>
    <n v="7"/>
    <s v="20-07-2026"/>
    <n v="8536"/>
    <s v="2116-01"/>
    <n v="42000"/>
    <n v="0"/>
    <s v="Pago fact 61110 voissnet cloud services s.p.a."/>
    <n v="42000"/>
    <s v="Pasivo"/>
    <n v="-42000"/>
    <x v="78"/>
  </r>
  <r>
    <n v="2026"/>
    <n v="7"/>
    <s v="20-07-2026"/>
    <n v="8537"/>
    <s v="2116-01"/>
    <n v="5721"/>
    <n v="0"/>
    <s v="Pago facturas voissnet cloud servi"/>
    <n v="5721"/>
    <s v="Pasivo"/>
    <n v="-5721"/>
    <x v="78"/>
  </r>
  <r>
    <n v="2026"/>
    <n v="7"/>
    <s v="20-07-2026"/>
    <n v="8537"/>
    <s v="2116-01"/>
    <n v="34552"/>
    <n v="0"/>
    <s v="Pago facturas voissnet cloud servi"/>
    <n v="34552"/>
    <s v="Pasivo"/>
    <n v="-34552"/>
    <x v="78"/>
  </r>
  <r>
    <n v="2026"/>
    <n v="7"/>
    <s v="20-07-2026"/>
    <n v="8538"/>
    <s v="2116-01"/>
    <n v="39793"/>
    <n v="0"/>
    <s v="Pago fact 61111 voissnet cloud services s.p.a."/>
    <n v="39793"/>
    <s v="Pasivo"/>
    <n v="-39793"/>
    <x v="78"/>
  </r>
  <r>
    <n v="2026"/>
    <n v="7"/>
    <s v="20-07-2026"/>
    <n v="8539"/>
    <s v="2116-01"/>
    <n v="30448"/>
    <n v="0"/>
    <s v="Pago facturas voissnet cloud servi"/>
    <n v="30448"/>
    <s v="Pasivo"/>
    <n v="-30448"/>
    <x v="78"/>
  </r>
  <r>
    <n v="2026"/>
    <n v="7"/>
    <s v="20-07-2026"/>
    <n v="8539"/>
    <s v="2116-01"/>
    <n v="9100"/>
    <n v="0"/>
    <s v="Pago facturas voissnet cloud servi"/>
    <n v="9100"/>
    <s v="Pasivo"/>
    <n v="-9100"/>
    <x v="78"/>
  </r>
  <r>
    <n v="2026"/>
    <n v="7"/>
    <s v="20-07-2026"/>
    <n v="8540"/>
    <s v="2116-01"/>
    <n v="38848"/>
    <n v="0"/>
    <s v="Pago facturas voissnet cloud servi"/>
    <n v="38848"/>
    <s v="Pasivo"/>
    <n v="-38848"/>
    <x v="78"/>
  </r>
  <r>
    <n v="2026"/>
    <n v="7"/>
    <s v="20-07-2026"/>
    <n v="8540"/>
    <s v="2116-01"/>
    <n v="668"/>
    <n v="0"/>
    <s v="Pago facturas voissnet cloud servi"/>
    <n v="668"/>
    <s v="Pasivo"/>
    <n v="-668"/>
    <x v="78"/>
  </r>
  <r>
    <n v="2026"/>
    <n v="7"/>
    <s v="20-07-2026"/>
    <n v="8541"/>
    <s v="2116-01"/>
    <n v="3940"/>
    <n v="0"/>
    <s v="Pago facturas voissnet cloud servi"/>
    <n v="3940"/>
    <s v="Pasivo"/>
    <n v="-3940"/>
    <x v="78"/>
  </r>
  <r>
    <n v="2026"/>
    <n v="7"/>
    <s v="20-07-2026"/>
    <n v="8541"/>
    <s v="2116-01"/>
    <n v="20000"/>
    <n v="0"/>
    <s v="Pago facturas voissnet cloud servi"/>
    <n v="20000"/>
    <s v="Pasivo"/>
    <n v="-20000"/>
    <x v="78"/>
  </r>
  <r>
    <n v="2026"/>
    <n v="7"/>
    <s v="20-07-2026"/>
    <n v="8541"/>
    <s v="2116-01"/>
    <n v="15279"/>
    <n v="0"/>
    <s v="Pago facturas voissnet cloud servi"/>
    <n v="15279"/>
    <s v="Pasivo"/>
    <n v="-15279"/>
    <x v="78"/>
  </r>
  <r>
    <n v="2026"/>
    <n v="7"/>
    <s v="20-07-2026"/>
    <n v="8542"/>
    <s v="2116-01"/>
    <n v="16590"/>
    <n v="0"/>
    <s v="Pago fact 61844 voissnet cloud services s.p.a."/>
    <n v="16590"/>
    <s v="Pasivo"/>
    <n v="-16590"/>
    <x v="78"/>
  </r>
  <r>
    <n v="2026"/>
    <n v="7"/>
    <s v="21-07-2026"/>
    <n v="8656"/>
    <s v="2116-01"/>
    <n v="248000"/>
    <n v="0"/>
    <s v="Pago fact 2939759 starlink chile spa"/>
    <n v="248000"/>
    <s v="Pasivo"/>
    <n v="-248000"/>
    <x v="78"/>
  </r>
  <r>
    <n v="2026"/>
    <n v="7"/>
    <s v="22-07-2026"/>
    <n v="8547"/>
    <s v="2116-01"/>
    <n v="152778"/>
    <n v="0"/>
    <s v="Pago fact 3219409 operadora de sistemas electrónicos spa"/>
    <n v="152778"/>
    <s v="Pasivo"/>
    <n v="-152778"/>
    <x v="78"/>
  </r>
  <r>
    <n v="2026"/>
    <n v="7"/>
    <s v="23-07-2026"/>
    <n v="8548"/>
    <s v="2116-01"/>
    <n v="3839655"/>
    <n v="0"/>
    <s v="Pago fact 299 asociacion gremial de pequenos proveedores de internet y television"/>
    <n v="3839655"/>
    <s v="Pasivo"/>
    <n v="-3839655"/>
    <x v="78"/>
  </r>
  <r>
    <n v="2026"/>
    <n v="7"/>
    <s v="23-07-2026"/>
    <n v="8549"/>
    <s v="2116-01"/>
    <n v="2290906"/>
    <n v="0"/>
    <s v="Pago fact 9236 silica networks chile s.a."/>
    <n v="2290906"/>
    <s v="Pasivo"/>
    <n v="-2290906"/>
    <x v="78"/>
  </r>
  <r>
    <n v="2026"/>
    <n v="7"/>
    <s v="23-07-2026"/>
    <n v="8550"/>
    <s v="2116-01"/>
    <n v="2082500"/>
    <n v="0"/>
    <s v="Pago fact 39128 tac communications s.a."/>
    <n v="2082500"/>
    <s v="Pasivo"/>
    <n v="-2082500"/>
    <x v="78"/>
  </r>
  <r>
    <n v="2026"/>
    <n v="7"/>
    <s v="23-07-2026"/>
    <n v="8551"/>
    <s v="2116-01"/>
    <n v="1257528"/>
    <n v="0"/>
    <s v="Pago fact 2762 solution box chile spa"/>
    <n v="1257528"/>
    <s v="Pasivo"/>
    <n v="-1257528"/>
    <x v="78"/>
  </r>
  <r>
    <n v="2026"/>
    <n v="7"/>
    <s v="23-07-2026"/>
    <n v="8552"/>
    <s v="2116-01"/>
    <n v="1000000"/>
    <n v="0"/>
    <s v="Pago fact 124592 cirion technologies chile s.a."/>
    <n v="1000000"/>
    <s v="Pasivo"/>
    <n v="-1000000"/>
    <x v="78"/>
  </r>
  <r>
    <n v="2026"/>
    <n v="7"/>
    <s v="23-07-2026"/>
    <n v="8554"/>
    <s v="2116-01"/>
    <n v="546924"/>
    <n v="0"/>
    <s v="Pago fact 8137 hyl telecom ltda."/>
    <n v="546924"/>
    <s v="Pasivo"/>
    <n v="-546924"/>
    <x v="78"/>
  </r>
  <r>
    <n v="2026"/>
    <n v="7"/>
    <s v="23-07-2026"/>
    <n v="8555"/>
    <s v="2116-01"/>
    <n v="441509"/>
    <n v="0"/>
    <s v="Pago fact 39508 tac communications s.a."/>
    <n v="441509"/>
    <s v="Pasivo"/>
    <n v="-441509"/>
    <x v="78"/>
  </r>
  <r>
    <n v="2026"/>
    <n v="7"/>
    <s v="23-07-2026"/>
    <n v="8556"/>
    <s v="2116-01"/>
    <n v="437325"/>
    <n v="0"/>
    <s v="Pago fact 6931 optictimes spa"/>
    <n v="437325"/>
    <s v="Pasivo"/>
    <n v="-437325"/>
    <x v="78"/>
  </r>
  <r>
    <n v="2026"/>
    <n v="7"/>
    <s v="23-07-2026"/>
    <n v="8557"/>
    <s v="2116-01"/>
    <n v="422688"/>
    <n v="0"/>
    <s v="Pago fact 39507 tac communications s.a."/>
    <n v="422688"/>
    <s v="Pasivo"/>
    <n v="-422688"/>
    <x v="78"/>
  </r>
  <r>
    <n v="2026"/>
    <n v="7"/>
    <s v="23-07-2026"/>
    <n v="8558"/>
    <s v="2116-01"/>
    <n v="349772"/>
    <n v="0"/>
    <s v="Pago fact 78591 powerhost telecom spa"/>
    <n v="349772"/>
    <s v="Pasivo"/>
    <n v="-349772"/>
    <x v="78"/>
  </r>
  <r>
    <n v="2026"/>
    <n v="7"/>
    <s v="23-07-2026"/>
    <n v="8559"/>
    <s v="2116-01"/>
    <n v="267223"/>
    <n v="0"/>
    <s v="Pago fact 10897 central sistemas spa"/>
    <n v="267223"/>
    <s v="Pasivo"/>
    <n v="-267223"/>
    <x v="78"/>
  </r>
  <r>
    <n v="2026"/>
    <n v="7"/>
    <s v="23-07-2026"/>
    <n v="8561"/>
    <s v="2116-01"/>
    <n v="175109"/>
    <n v="0"/>
    <s v="Pago fact 39509 tac communications s.a."/>
    <n v="175109"/>
    <s v="Pasivo"/>
    <n v="-175109"/>
    <x v="78"/>
  </r>
  <r>
    <n v="2026"/>
    <n v="7"/>
    <s v="23-07-2026"/>
    <n v="8563"/>
    <s v="2116-01"/>
    <n v="96653"/>
    <n v="0"/>
    <s v="Pago fact 2727 sociedad emisora de tarjetas los héroes s.a"/>
    <n v="96653"/>
    <s v="Pasivo"/>
    <n v="-96653"/>
    <x v="78"/>
  </r>
  <r>
    <n v="2026"/>
    <n v="7"/>
    <s v="23-07-2026"/>
    <n v="8564"/>
    <s v="2116-01"/>
    <n v="41650"/>
    <n v="0"/>
    <s v="Pago fact 402 productora energeek limitada"/>
    <n v="41650"/>
    <s v="Pasivo"/>
    <n v="-41650"/>
    <x v="78"/>
  </r>
  <r>
    <n v="2026"/>
    <n v="7"/>
    <s v="23-07-2026"/>
    <n v="8586"/>
    <s v="2116-01"/>
    <n v="157016"/>
    <n v="0"/>
    <s v="Pago fact 58061 chipax spa"/>
    <n v="157016"/>
    <s v="Pasivo"/>
    <n v="-157016"/>
    <x v="78"/>
  </r>
  <r>
    <n v="2026"/>
    <n v="7"/>
    <s v="23-07-2026"/>
    <n v="8590"/>
    <s v="2116-01"/>
    <n v="98678"/>
    <n v="0"/>
    <s v="Pago fact 184457 comercial larrain vergara spa"/>
    <n v="98678"/>
    <s v="Pasivo"/>
    <n v="-98678"/>
    <x v="78"/>
  </r>
  <r>
    <n v="2026"/>
    <n v="7"/>
    <s v="23-07-2026"/>
    <n v="8593"/>
    <s v="2116-01"/>
    <n v="29494"/>
    <n v="0"/>
    <s v="Pago fact 184660 comercial larrain vergara spa"/>
    <n v="29494"/>
    <s v="Pasivo"/>
    <n v="-29494"/>
    <x v="78"/>
  </r>
  <r>
    <n v="2026"/>
    <n v="7"/>
    <s v="23-07-2026"/>
    <n v="8596"/>
    <s v="2116-01"/>
    <n v="1001332"/>
    <n v="0"/>
    <s v="Grupo dhl express chil"/>
    <n v="1001332"/>
    <s v="Pasivo"/>
    <n v="-1001332"/>
    <x v="78"/>
  </r>
  <r>
    <n v="2026"/>
    <n v="7"/>
    <s v="23-07-2026"/>
    <n v="8599"/>
    <s v="2116-01"/>
    <n v="27990"/>
    <n v="0"/>
    <s v="Pago fact 4166177 servicios equifax chile limitada"/>
    <n v="27990"/>
    <s v="Pasivo"/>
    <n v="-27990"/>
    <x v="78"/>
  </r>
  <r>
    <n v="2026"/>
    <n v="7"/>
    <s v="23-07-2026"/>
    <n v="8600"/>
    <s v="2116-01"/>
    <n v="99469"/>
    <n v="0"/>
    <s v="Pago fact 174182 finfast s.a.g.r."/>
    <n v="99469"/>
    <s v="Pasivo"/>
    <n v="-99469"/>
    <x v="78"/>
  </r>
  <r>
    <n v="2026"/>
    <n v="7"/>
    <s v="23-07-2026"/>
    <n v="8617"/>
    <s v="2116-01"/>
    <n v="115922"/>
    <n v="0"/>
    <s v="Pago fact 25488009 cencosud retail s.a."/>
    <n v="115922"/>
    <s v="Pasivo"/>
    <n v="-115922"/>
    <x v="78"/>
  </r>
  <r>
    <n v="2026"/>
    <n v="7"/>
    <s v="23-07-2026"/>
    <n v="8618"/>
    <s v="2116-01"/>
    <n v="207837"/>
    <n v="0"/>
    <s v="Pago fact 3632145 intcomex s.a."/>
    <n v="207837"/>
    <s v="Pasivo"/>
    <n v="-207837"/>
    <x v="78"/>
  </r>
  <r>
    <n v="2026"/>
    <n v="7"/>
    <s v="23-07-2026"/>
    <n v="8620"/>
    <s v="2116-01"/>
    <n v="41800"/>
    <n v="0"/>
    <s v="Pago fact 3743475 soc. comerc. de repuestos s.p.a."/>
    <n v="41800"/>
    <s v="Pasivo"/>
    <n v="-41800"/>
    <x v="78"/>
  </r>
  <r>
    <n v="2026"/>
    <n v="7"/>
    <s v="23-07-2026"/>
    <n v="8621"/>
    <s v="2116-01"/>
    <n v="87000"/>
    <n v="0"/>
    <s v="Pago fact 704935 automotora inalco s.a."/>
    <n v="87000"/>
    <s v="Pasivo"/>
    <n v="-87000"/>
    <x v="78"/>
  </r>
  <r>
    <n v="2026"/>
    <n v="7"/>
    <s v="23-07-2026"/>
    <n v="8632"/>
    <s v="2116-01"/>
    <n v="91292"/>
    <n v="0"/>
    <s v="Pago fact 5178952 latam airlines group sa"/>
    <n v="91292"/>
    <s v="Pasivo"/>
    <n v="-91292"/>
    <x v="78"/>
  </r>
  <r>
    <n v="2026"/>
    <n v="7"/>
    <s v="24-07-2026"/>
    <n v="8433"/>
    <s v="2116-01"/>
    <n v="1465503"/>
    <n v="0"/>
    <s v="Pago fact 2675 2684 solution box chile spa"/>
    <n v="1465503"/>
    <s v="Pasivo"/>
    <n v="-1465503"/>
    <x v="78"/>
  </r>
  <r>
    <n v="2026"/>
    <n v="7"/>
    <s v="24-07-2026"/>
    <n v="8433"/>
    <s v="2116-01"/>
    <n v="208249"/>
    <n v="0"/>
    <s v="Pago fact 2675 2684 solution box chile spa"/>
    <n v="208249"/>
    <s v="Pasivo"/>
    <n v="-208249"/>
    <x v="78"/>
  </r>
  <r>
    <n v="2026"/>
    <n v="7"/>
    <s v="29-07-2026"/>
    <n v="8568"/>
    <s v="2116-01"/>
    <n v="32840"/>
    <n v="0"/>
    <s v="Pago fact 80309098 admin. de supermercados hiper limitada"/>
    <n v="32840"/>
    <s v="Pasivo"/>
    <n v="-32840"/>
    <x v="78"/>
  </r>
  <r>
    <n v="2026"/>
    <n v="7"/>
    <s v="29-07-2026"/>
    <n v="8569"/>
    <s v="2116-01"/>
    <n v="18200"/>
    <n v="0"/>
    <s v="Pago facturas santander"/>
    <n v="18200"/>
    <s v="Pasivo"/>
    <n v="-18200"/>
    <x v="78"/>
  </r>
  <r>
    <n v="2026"/>
    <n v="7"/>
    <s v="29-07-2026"/>
    <n v="8569"/>
    <s v="2116-01"/>
    <n v="5888"/>
    <n v="0"/>
    <s v="Pago facturas santander"/>
    <n v="5888"/>
    <s v="Pasivo"/>
    <n v="-5888"/>
    <x v="78"/>
  </r>
  <r>
    <n v="2026"/>
    <n v="7"/>
    <s v="30-07-2026"/>
    <n v="8570"/>
    <s v="2116-01"/>
    <n v="3848368"/>
    <n v="0"/>
    <s v="Pago fact 38665 tac communications s.a."/>
    <n v="3848368"/>
    <s v="Pasivo"/>
    <n v="-3848368"/>
    <x v="78"/>
  </r>
  <r>
    <n v="2026"/>
    <n v="7"/>
    <s v="30-07-2026"/>
    <n v="8572"/>
    <s v="2116-01"/>
    <n v="894571"/>
    <n v="0"/>
    <s v="Pago fact 124592 cirion technologies chile s.a."/>
    <n v="894571"/>
    <s v="Pasivo"/>
    <n v="-894571"/>
    <x v="78"/>
  </r>
  <r>
    <n v="2026"/>
    <n v="7"/>
    <s v="30-07-2026"/>
    <n v="8573"/>
    <s v="2116-01"/>
    <n v="443870"/>
    <n v="0"/>
    <s v="Pago fact 6991 optictimes spa"/>
    <n v="443870"/>
    <s v="Pasivo"/>
    <n v="-443870"/>
    <x v="78"/>
  </r>
  <r>
    <n v="2026"/>
    <n v="7"/>
    <s v="30-07-2026"/>
    <n v="8574"/>
    <s v="2116-01"/>
    <n v="371280"/>
    <n v="0"/>
    <s v="Pago fact 7026 optictimes spa"/>
    <n v="371280"/>
    <s v="Pasivo"/>
    <n v="-371280"/>
    <x v="78"/>
  </r>
  <r>
    <n v="2026"/>
    <n v="7"/>
    <s v="30-07-2026"/>
    <n v="8575"/>
    <s v="2116-01"/>
    <n v="174051"/>
    <n v="0"/>
    <s v="Pago fact 208274 contempora compania de seguros generales s.a"/>
    <n v="174051"/>
    <s v="Pasivo"/>
    <n v="-174051"/>
    <x v="78"/>
  </r>
  <r>
    <n v="2026"/>
    <n v="7"/>
    <s v="30-07-2026"/>
    <n v="8577"/>
    <s v="2116-01"/>
    <n v="37382"/>
    <n v="0"/>
    <s v="Pago fact 2762 solution box chile spa"/>
    <n v="37382"/>
    <s v="Pasivo"/>
    <n v="-37382"/>
    <x v="78"/>
  </r>
  <r>
    <n v="2026"/>
    <n v="7"/>
    <s v="31-07-2026"/>
    <n v="8665"/>
    <s v="2116-01"/>
    <n v="7075740"/>
    <n v="0"/>
    <s v="Pago fact 59531 virec spa"/>
    <n v="7075740"/>
    <s v="Pasivo"/>
    <n v="-7075740"/>
    <x v="78"/>
  </r>
  <r>
    <n v="2026"/>
    <n v="7"/>
    <s v="31-07-2026"/>
    <n v="10852"/>
    <s v="2116-01"/>
    <n v="5540984"/>
    <n v="0"/>
    <s v="Centralización compras julio 2026 - valor total"/>
    <n v="5540984"/>
    <s v="Pasivo"/>
    <n v="-5540984"/>
    <x v="78"/>
  </r>
  <r>
    <n v="2026"/>
    <n v="7"/>
    <s v="31-07-2026"/>
    <n v="10852"/>
    <s v="2116-01"/>
    <n v="0"/>
    <n v="97179221"/>
    <s v="Centralización compras julio 2026 - valor total"/>
    <n v="-97179221"/>
    <s v="Pasivo"/>
    <n v="97179221"/>
    <x v="78"/>
  </r>
  <r>
    <n v="2026"/>
    <n v="1"/>
    <s v="01-01-2026"/>
    <n v="9827"/>
    <s v="2116-02"/>
    <n v="3076347"/>
    <n v="0"/>
    <s v="Movimientos auxiliares"/>
    <n v="3076347"/>
    <s v="Pasivo"/>
    <n v="-3076347"/>
    <x v="79"/>
  </r>
  <r>
    <n v="2026"/>
    <n v="1"/>
    <s v="01-01-2026"/>
    <n v="9827"/>
    <s v="2116-02"/>
    <n v="0"/>
    <n v="4337594"/>
    <s v="Movimientos auxiliares"/>
    <n v="-4337594"/>
    <s v="Pasivo"/>
    <n v="4337594"/>
    <x v="79"/>
  </r>
  <r>
    <n v="2026"/>
    <n v="6"/>
    <s v="30-06-2026"/>
    <n v="8099"/>
    <s v="2116-02"/>
    <n v="1261247"/>
    <n v="0"/>
    <s v="Centralización pagos junio 2026"/>
    <n v="1261247"/>
    <s v="Pasivo"/>
    <n v="-1261247"/>
    <x v="79"/>
  </r>
  <r>
    <n v="2026"/>
    <n v="1"/>
    <s v="01-01-2026"/>
    <n v="9827"/>
    <s v="2301-01"/>
    <n v="0"/>
    <n v="200000000"/>
    <s v=""/>
    <n v="-200000000"/>
    <s v="Pasivo"/>
    <n v="200000000"/>
    <x v="80"/>
  </r>
  <r>
    <n v="2026"/>
    <n v="1"/>
    <s v="01-01-2026"/>
    <n v="9827"/>
    <s v="2302-02"/>
    <n v="0"/>
    <n v="12326979"/>
    <s v=""/>
    <n v="-12326979"/>
    <s v="Pasivo"/>
    <n v="12326979"/>
    <x v="81"/>
  </r>
  <r>
    <n v="2026"/>
    <n v="1"/>
    <s v="01-01-2026"/>
    <n v="8670"/>
    <s v="2305-06"/>
    <n v="142870740"/>
    <n v="0"/>
    <s v="Reversa retiros 2025"/>
    <n v="142870740"/>
    <s v="Pasivo"/>
    <n v="-142870740"/>
    <x v="82"/>
  </r>
  <r>
    <n v="2026"/>
    <n v="1"/>
    <s v="01-01-2026"/>
    <n v="9827"/>
    <s v="2305-06"/>
    <n v="0"/>
    <n v="690612363"/>
    <s v=""/>
    <n v="-690612363"/>
    <s v="Pasivo"/>
    <n v="690612363"/>
    <x v="82"/>
  </r>
  <r>
    <n v="2026"/>
    <n v="1"/>
    <s v="01-01-2026"/>
    <n v="9827"/>
    <s v="2305-06"/>
    <n v="0"/>
    <n v="251284188"/>
    <s v="Ganancia"/>
    <n v="-251284188"/>
    <s v="Pasivo"/>
    <n v="251284188"/>
    <x v="82"/>
  </r>
  <r>
    <n v="2026"/>
    <n v="1"/>
    <s v="03-01-2026"/>
    <n v="8218"/>
    <s v="4101-03"/>
    <n v="20000"/>
    <n v="0"/>
    <s v="Compras nacionales copec asistido"/>
    <n v="20000"/>
    <s v="EERR"/>
    <n v="-20000"/>
    <x v="83"/>
  </r>
  <r>
    <n v="2026"/>
    <n v="1"/>
    <s v="21-01-2026"/>
    <n v="8230"/>
    <s v="4101-03"/>
    <n v="30500"/>
    <n v="0"/>
    <s v="Compras nacionales copec arcoprime"/>
    <n v="30500"/>
    <s v="EERR"/>
    <n v="-30500"/>
    <x v="83"/>
  </r>
  <r>
    <n v="2026"/>
    <n v="1"/>
    <s v="31-01-2026"/>
    <n v="9814"/>
    <s v="4101-03"/>
    <n v="2434340"/>
    <n v="0"/>
    <s v="Centralización compras enero 2026 - valor neto"/>
    <n v="2434340"/>
    <s v="EERR"/>
    <n v="-2434340"/>
    <x v="83"/>
  </r>
  <r>
    <n v="2026"/>
    <n v="1"/>
    <s v="31-01-2026"/>
    <n v="9823"/>
    <s v="4101-03"/>
    <n v="64650"/>
    <n v="0"/>
    <s v="30277-bk copec san m"/>
    <n v="64650"/>
    <s v="EERR"/>
    <n v="-64650"/>
    <x v="83"/>
  </r>
  <r>
    <n v="2026"/>
    <n v="1"/>
    <s v="31-01-2026"/>
    <n v="9823"/>
    <s v="4101-03"/>
    <n v="40000"/>
    <n v="0"/>
    <s v="Copec 60517"/>
    <n v="40000"/>
    <s v="EERR"/>
    <n v="-40000"/>
    <x v="83"/>
  </r>
  <r>
    <n v="2026"/>
    <n v="1"/>
    <s v="31-01-2026"/>
    <n v="9823"/>
    <s v="4101-03"/>
    <n v="40000"/>
    <n v="0"/>
    <s v="Shell.ep200."/>
    <n v="40000"/>
    <s v="EERR"/>
    <n v="-40000"/>
    <x v="83"/>
  </r>
  <r>
    <n v="2026"/>
    <n v="1"/>
    <s v="31-01-2026"/>
    <n v="9824"/>
    <s v="4101-03"/>
    <n v="30000"/>
    <n v="0"/>
    <s v="Aramco penaflor balmac"/>
    <n v="30000"/>
    <s v="EERR"/>
    <n v="-30000"/>
    <x v="83"/>
  </r>
  <r>
    <n v="2026"/>
    <n v="1"/>
    <s v="31-01-2026"/>
    <n v="9824"/>
    <s v="4101-03"/>
    <n v="60005"/>
    <n v="0"/>
    <s v="Comercial marcoleta fr"/>
    <n v="60005"/>
    <s v="EERR"/>
    <n v="-60005"/>
    <x v="83"/>
  </r>
  <r>
    <n v="2026"/>
    <n v="2"/>
    <s v="02-02-2026"/>
    <n v="8236"/>
    <s v="4101-03"/>
    <n v="15900"/>
    <n v="0"/>
    <s v="Compras nacionales copec asistido"/>
    <n v="15900"/>
    <s v="EERR"/>
    <n v="-15900"/>
    <x v="83"/>
  </r>
  <r>
    <n v="2026"/>
    <n v="2"/>
    <s v="06-02-2026"/>
    <n v="7167"/>
    <s v="4101-03"/>
    <n v="10000"/>
    <n v="0"/>
    <s v="Compra ravanal y kuncar"/>
    <n v="10000"/>
    <s v="EERR"/>
    <n v="-10000"/>
    <x v="83"/>
  </r>
  <r>
    <n v="2026"/>
    <n v="2"/>
    <s v="13-02-2026"/>
    <n v="8244"/>
    <s v="4101-03"/>
    <n v="94800"/>
    <n v="0"/>
    <s v="Compras nacionales k164 penaflor"/>
    <n v="94800"/>
    <s v="EERR"/>
    <n v="-94800"/>
    <x v="83"/>
  </r>
  <r>
    <n v="2026"/>
    <n v="2"/>
    <s v="24-02-2026"/>
    <n v="8248"/>
    <s v="4101-03"/>
    <n v="60000"/>
    <n v="0"/>
    <s v="Atm nacional rbc banco del estado santiago"/>
    <n v="60000"/>
    <s v="EERR"/>
    <n v="-60000"/>
    <x v="83"/>
  </r>
  <r>
    <n v="2026"/>
    <n v="2"/>
    <s v="26-02-2026"/>
    <n v="8250"/>
    <s v="4101-03"/>
    <n v="22800"/>
    <n v="0"/>
    <s v="Compras nacionales aramco penaflor malloc"/>
    <n v="22800"/>
    <s v="EERR"/>
    <n v="-22800"/>
    <x v="83"/>
  </r>
  <r>
    <n v="2026"/>
    <n v="2"/>
    <s v="28-02-2026"/>
    <n v="9815"/>
    <s v="4101-03"/>
    <n v="2342668"/>
    <n v="0"/>
    <s v="Centralización compras febrero 2026 - valor neto"/>
    <n v="2342668"/>
    <s v="EERR"/>
    <n v="-2342668"/>
    <x v="83"/>
  </r>
  <r>
    <n v="2026"/>
    <n v="2"/>
    <s v="28-02-2026"/>
    <n v="10599"/>
    <s v="4101-03"/>
    <n v="25000"/>
    <n v="0"/>
    <s v="Shell f200 vesp1501"/>
    <n v="25000"/>
    <s v="EERR"/>
    <n v="-25000"/>
    <x v="83"/>
  </r>
  <r>
    <n v="2026"/>
    <n v="2"/>
    <s v="28-02-2026"/>
    <n v="10599"/>
    <s v="4101-03"/>
    <n v="30000"/>
    <n v="0"/>
    <s v="Shell f200 vesp1501"/>
    <n v="30000"/>
    <s v="EERR"/>
    <n v="-30000"/>
    <x v="83"/>
  </r>
  <r>
    <n v="2026"/>
    <n v="2"/>
    <s v="28-02-2026"/>
    <n v="10599"/>
    <s v="4101-03"/>
    <n v="30000"/>
    <n v="0"/>
    <s v="Shell matucana 30 f621"/>
    <n v="30000"/>
    <s v="EERR"/>
    <n v="-30000"/>
    <x v="83"/>
  </r>
  <r>
    <n v="2026"/>
    <n v="2"/>
    <s v="28-02-2026"/>
    <n v="10599"/>
    <s v="4101-03"/>
    <n v="40000"/>
    <n v="0"/>
    <s v="Shell f200 vesp1501"/>
    <n v="40000"/>
    <s v="EERR"/>
    <n v="-40000"/>
    <x v="83"/>
  </r>
  <r>
    <n v="2026"/>
    <n v="2"/>
    <s v="28-02-2026"/>
    <n v="10600"/>
    <s v="4101-03"/>
    <n v="40500"/>
    <n v="0"/>
    <s v="Luis alberto raymond c"/>
    <n v="40500"/>
    <s v="EERR"/>
    <n v="-40500"/>
    <x v="83"/>
  </r>
  <r>
    <n v="2026"/>
    <n v="3"/>
    <s v="10-03-2026"/>
    <n v="8257"/>
    <s v="4101-03"/>
    <n v="14990"/>
    <n v="0"/>
    <s v="Compras nacionales estacion de servicios"/>
    <n v="14990"/>
    <s v="EERR"/>
    <n v="-14990"/>
    <x v="83"/>
  </r>
  <r>
    <n v="2026"/>
    <n v="3"/>
    <s v="11-03-2026"/>
    <n v="8259"/>
    <s v="4101-03"/>
    <n v="15900"/>
    <n v="0"/>
    <s v="Compras nacionales copec asistido"/>
    <n v="15900"/>
    <s v="EERR"/>
    <n v="-15900"/>
    <x v="83"/>
  </r>
  <r>
    <n v="2026"/>
    <n v="3"/>
    <s v="12-03-2026"/>
    <n v="8260"/>
    <s v="4101-03"/>
    <n v="10000"/>
    <n v="0"/>
    <s v="Giro cajero automatico banco del estado algarrob"/>
    <n v="10000"/>
    <s v="EERR"/>
    <n v="-10000"/>
    <x v="83"/>
  </r>
  <r>
    <n v="2026"/>
    <n v="3"/>
    <s v="18-03-2026"/>
    <n v="8262"/>
    <s v="4101-03"/>
    <n v="45000"/>
    <n v="0"/>
    <s v="Giro cajero automatico ruta 78 km 31 co talagant"/>
    <n v="45000"/>
    <s v="EERR"/>
    <n v="-45000"/>
    <x v="83"/>
  </r>
  <r>
    <n v="2026"/>
    <n v="3"/>
    <s v="21-03-2026"/>
    <n v="8263"/>
    <s v="4101-03"/>
    <n v="15000"/>
    <n v="0"/>
    <s v="Compras nacionales aramco"/>
    <n v="15000"/>
    <s v="EERR"/>
    <n v="-15000"/>
    <x v="83"/>
  </r>
  <r>
    <n v="2026"/>
    <n v="3"/>
    <s v="31-03-2026"/>
    <n v="10748"/>
    <s v="4101-03"/>
    <n v="40000"/>
    <n v="0"/>
    <s v="Shell san bernardo"/>
    <n v="40000"/>
    <s v="EERR"/>
    <n v="-40000"/>
    <x v="83"/>
  </r>
  <r>
    <n v="2026"/>
    <n v="3"/>
    <s v="31-03-2026"/>
    <n v="10748"/>
    <s v="4101-03"/>
    <n v="40000"/>
    <n v="0"/>
    <s v="Aramco"/>
    <n v="40000"/>
    <s v="EERR"/>
    <n v="-40000"/>
    <x v="83"/>
  </r>
  <r>
    <n v="2026"/>
    <n v="3"/>
    <s v="31-03-2026"/>
    <n v="10748"/>
    <s v="4101-03"/>
    <n v="40000"/>
    <n v="0"/>
    <s v="Aramco"/>
    <n v="40000"/>
    <s v="EERR"/>
    <n v="-40000"/>
    <x v="83"/>
  </r>
  <r>
    <n v="2026"/>
    <n v="3"/>
    <s v="31-03-2026"/>
    <n v="10749"/>
    <s v="4101-03"/>
    <n v="30000"/>
    <n v="0"/>
    <s v="Copec zervo"/>
    <n v="30000"/>
    <s v="EERR"/>
    <n v="-30000"/>
    <x v="83"/>
  </r>
  <r>
    <n v="2026"/>
    <n v="3"/>
    <s v="31-03-2026"/>
    <n v="10749"/>
    <s v="4101-03"/>
    <n v="40000"/>
    <n v="0"/>
    <s v="Comercial marcoleta fr"/>
    <n v="40000"/>
    <s v="EERR"/>
    <n v="-40000"/>
    <x v="83"/>
  </r>
  <r>
    <n v="2026"/>
    <n v="3"/>
    <s v="31-03-2026"/>
    <n v="10750"/>
    <s v="4101-03"/>
    <n v="226310"/>
    <n v="0"/>
    <s v="Mp mercado libre"/>
    <n v="226310"/>
    <s v="EERR"/>
    <n v="-226310"/>
    <x v="83"/>
  </r>
  <r>
    <n v="2026"/>
    <n v="3"/>
    <s v="31-03-2026"/>
    <n v="10750"/>
    <s v="4101-03"/>
    <n v="15216"/>
    <n v="0"/>
    <s v="Ebn hotmart"/>
    <n v="15216"/>
    <s v="EERR"/>
    <n v="-15216"/>
    <x v="83"/>
  </r>
  <r>
    <n v="2026"/>
    <n v="3"/>
    <s v="31-03-2026"/>
    <n v="10750"/>
    <s v="4101-03"/>
    <n v="3562"/>
    <n v="0"/>
    <s v="Ebn hotmart"/>
    <n v="3562"/>
    <s v="EERR"/>
    <n v="-3562"/>
    <x v="83"/>
  </r>
  <r>
    <n v="2026"/>
    <n v="3"/>
    <s v="31-03-2026"/>
    <n v="10750"/>
    <s v="4101-03"/>
    <n v="8220"/>
    <n v="0"/>
    <s v="Ebn hotmart"/>
    <n v="8220"/>
    <s v="EERR"/>
    <n v="-8220"/>
    <x v="83"/>
  </r>
  <r>
    <n v="2026"/>
    <n v="3"/>
    <s v="31-03-2026"/>
    <n v="10753"/>
    <s v="4101-03"/>
    <n v="2389122"/>
    <n v="0"/>
    <s v="Centralización compras marzo 2026 - valor neto"/>
    <n v="2389122"/>
    <s v="EERR"/>
    <n v="-2389122"/>
    <x v="83"/>
  </r>
  <r>
    <n v="2026"/>
    <n v="4"/>
    <s v="08-04-2026"/>
    <n v="8267"/>
    <s v="4101-03"/>
    <n v="15900"/>
    <n v="0"/>
    <s v="Compras nacionales copec asistido"/>
    <n v="15900"/>
    <s v="EERR"/>
    <n v="-15900"/>
    <x v="83"/>
  </r>
  <r>
    <n v="2026"/>
    <n v="4"/>
    <s v="15-04-2026"/>
    <n v="8273"/>
    <s v="4101-03"/>
    <n v="15900"/>
    <n v="0"/>
    <s v="Compras nacionales copec asistido"/>
    <n v="15900"/>
    <s v="EERR"/>
    <n v="-15900"/>
    <x v="83"/>
  </r>
  <r>
    <n v="2026"/>
    <n v="4"/>
    <s v="22-04-2026"/>
    <n v="8274"/>
    <s v="4101-03"/>
    <n v="50000"/>
    <n v="0"/>
    <s v="Giro cajero automatico banco del estado peqaflor"/>
    <n v="50000"/>
    <s v="EERR"/>
    <n v="-50000"/>
    <x v="83"/>
  </r>
  <r>
    <n v="2026"/>
    <n v="4"/>
    <s v="22-04-2026"/>
    <n v="10773"/>
    <s v="4101-03"/>
    <n v="40000"/>
    <n v="0"/>
    <s v="Aramco"/>
    <n v="40000"/>
    <s v="EERR"/>
    <n v="-40000"/>
    <x v="83"/>
  </r>
  <r>
    <n v="2026"/>
    <n v="4"/>
    <s v="22-04-2026"/>
    <n v="10773"/>
    <s v="4101-03"/>
    <n v="51856"/>
    <n v="0"/>
    <s v="Aramco"/>
    <n v="51856"/>
    <s v="EERR"/>
    <n v="-51856"/>
    <x v="83"/>
  </r>
  <r>
    <n v="2026"/>
    <n v="4"/>
    <s v="22-04-2026"/>
    <n v="10773"/>
    <s v="4101-03"/>
    <n v="25000"/>
    <n v="0"/>
    <s v="Copec zervo"/>
    <n v="25000"/>
    <s v="EERR"/>
    <n v="-25000"/>
    <x v="83"/>
  </r>
  <r>
    <n v="2026"/>
    <n v="4"/>
    <s v="22-04-2026"/>
    <n v="10774"/>
    <s v="4101-03"/>
    <n v="10000"/>
    <n v="0"/>
    <s v="Ap penaflor"/>
    <n v="10000"/>
    <s v="EERR"/>
    <n v="-10000"/>
    <x v="83"/>
  </r>
  <r>
    <n v="2026"/>
    <n v="4"/>
    <s v="30-04-2026"/>
    <n v="10758"/>
    <s v="4101-03"/>
    <n v="2858691"/>
    <n v="0"/>
    <s v="Centralización compras abril 2026 - valor neto"/>
    <n v="2858691"/>
    <s v="EERR"/>
    <n v="-2858691"/>
    <x v="83"/>
  </r>
  <r>
    <n v="2026"/>
    <n v="5"/>
    <s v="07-05-2026"/>
    <n v="7755"/>
    <s v="4101-03"/>
    <n v="10000"/>
    <n v="0"/>
    <s v="Compra aramco"/>
    <n v="10000"/>
    <s v="EERR"/>
    <n v="-10000"/>
    <x v="83"/>
  </r>
  <r>
    <n v="2026"/>
    <n v="5"/>
    <s v="07-05-2026"/>
    <n v="8278"/>
    <s v="4101-03"/>
    <n v="22800"/>
    <n v="0"/>
    <s v="Compras nacionales aramco penaflor malloc"/>
    <n v="22800"/>
    <s v="EERR"/>
    <n v="-22800"/>
    <x v="83"/>
  </r>
  <r>
    <n v="2026"/>
    <n v="5"/>
    <s v="13-05-2026"/>
    <n v="8281"/>
    <s v="4101-03"/>
    <n v="15000"/>
    <n v="0"/>
    <s v="Compras nacionales copec arcoprime"/>
    <n v="15000"/>
    <s v="EERR"/>
    <n v="-15000"/>
    <x v="83"/>
  </r>
  <r>
    <n v="2026"/>
    <n v="5"/>
    <s v="25-05-2026"/>
    <n v="10786"/>
    <s v="4101-03"/>
    <n v="40000"/>
    <n v="0"/>
    <s v="Copec zervo"/>
    <n v="40000"/>
    <s v="EERR"/>
    <n v="-40000"/>
    <x v="83"/>
  </r>
  <r>
    <n v="2026"/>
    <n v="5"/>
    <s v="25-05-2026"/>
    <n v="10786"/>
    <s v="4101-03"/>
    <n v="40000"/>
    <n v="0"/>
    <s v="Shell panamerica sur f"/>
    <n v="40000"/>
    <s v="EERR"/>
    <n v="-40000"/>
    <x v="83"/>
  </r>
  <r>
    <n v="2026"/>
    <n v="5"/>
    <s v="25-05-2026"/>
    <n v="10786"/>
    <s v="4101-03"/>
    <n v="40000"/>
    <n v="0"/>
    <s v="Copec arcoprime"/>
    <n v="40000"/>
    <s v="EERR"/>
    <n v="-40000"/>
    <x v="83"/>
  </r>
  <r>
    <n v="2026"/>
    <n v="5"/>
    <s v="25-05-2026"/>
    <n v="10786"/>
    <s v="4101-03"/>
    <n v="40000"/>
    <n v="0"/>
    <s v="Copec zervo"/>
    <n v="40000"/>
    <s v="EERR"/>
    <n v="-40000"/>
    <x v="83"/>
  </r>
  <r>
    <n v="2026"/>
    <n v="5"/>
    <s v="31-05-2026"/>
    <n v="10790"/>
    <s v="4101-03"/>
    <n v="4351997"/>
    <n v="0"/>
    <s v="Centralización compras mayo 2026 - valor neto"/>
    <n v="4351997"/>
    <s v="EERR"/>
    <n v="-4351997"/>
    <x v="83"/>
  </r>
  <r>
    <n v="2026"/>
    <n v="6"/>
    <s v="09-06-2026"/>
    <n v="8287"/>
    <s v="4101-03"/>
    <n v="47700"/>
    <n v="0"/>
    <s v="Compras nacionales copec asistido"/>
    <n v="47700"/>
    <s v="EERR"/>
    <n v="-47700"/>
    <x v="83"/>
  </r>
  <r>
    <n v="2026"/>
    <n v="6"/>
    <s v="17-06-2026"/>
    <n v="7932"/>
    <s v="4101-03"/>
    <n v="70000"/>
    <n v="0"/>
    <s v="Compra copec asistido"/>
    <n v="70000"/>
    <s v="EERR"/>
    <n v="-70000"/>
    <x v="83"/>
  </r>
  <r>
    <n v="2026"/>
    <n v="6"/>
    <s v="23-06-2026"/>
    <n v="10804"/>
    <s v="4101-03"/>
    <n v="30000"/>
    <n v="0"/>
    <s v="Copec zervo"/>
    <n v="30000"/>
    <s v="EERR"/>
    <n v="-30000"/>
    <x v="83"/>
  </r>
  <r>
    <n v="2026"/>
    <n v="6"/>
    <s v="23-06-2026"/>
    <n v="10804"/>
    <s v="4101-03"/>
    <n v="30000"/>
    <n v="0"/>
    <s v="Copec arcoprime"/>
    <n v="30000"/>
    <s v="EERR"/>
    <n v="-30000"/>
    <x v="83"/>
  </r>
  <r>
    <n v="2026"/>
    <n v="6"/>
    <s v="30-06-2026"/>
    <n v="10798"/>
    <s v="4101-03"/>
    <n v="4850700"/>
    <n v="0"/>
    <s v="Centralización compras junio 2026 - valor neto"/>
    <n v="4850700"/>
    <s v="EERR"/>
    <n v="-4850700"/>
    <x v="83"/>
  </r>
  <r>
    <n v="2026"/>
    <n v="7"/>
    <s v="14-07-2026"/>
    <n v="8510"/>
    <s v="4101-03"/>
    <n v="20000"/>
    <n v="0"/>
    <s v="Compra copec"/>
    <n v="20000"/>
    <s v="EERR"/>
    <n v="-20000"/>
    <x v="83"/>
  </r>
  <r>
    <n v="2026"/>
    <n v="7"/>
    <s v="14-07-2026"/>
    <n v="8625"/>
    <s v="4101-03"/>
    <n v="15300"/>
    <n v="0"/>
    <s v="Pago combustible"/>
    <n v="15300"/>
    <s v="EERR"/>
    <n v="-15300"/>
    <x v="83"/>
  </r>
  <r>
    <n v="2026"/>
    <n v="7"/>
    <s v="15-07-2026"/>
    <n v="8612"/>
    <s v="4101-03"/>
    <n v="40000"/>
    <n v="0"/>
    <s v="Compra combustible"/>
    <n v="40000"/>
    <s v="EERR"/>
    <n v="-40000"/>
    <x v="83"/>
  </r>
  <r>
    <n v="2026"/>
    <n v="7"/>
    <s v="20-07-2026"/>
    <n v="8533"/>
    <s v="4101-03"/>
    <n v="50000"/>
    <n v="0"/>
    <s v="Compra combustible"/>
    <n v="50000"/>
    <s v="EERR"/>
    <n v="-50000"/>
    <x v="83"/>
  </r>
  <r>
    <n v="2026"/>
    <n v="7"/>
    <s v="23-07-2026"/>
    <n v="8592"/>
    <s v="4101-03"/>
    <n v="60969"/>
    <n v="0"/>
    <s v="Compra combustible"/>
    <n v="60969"/>
    <s v="EERR"/>
    <n v="-60969"/>
    <x v="83"/>
  </r>
  <r>
    <n v="2026"/>
    <n v="7"/>
    <s v="23-07-2026"/>
    <n v="8598"/>
    <s v="4101-03"/>
    <n v="23868"/>
    <n v="0"/>
    <s v="Compra combustible"/>
    <n v="23868"/>
    <s v="EERR"/>
    <n v="-23868"/>
    <x v="83"/>
  </r>
  <r>
    <n v="2026"/>
    <n v="7"/>
    <s v="31-07-2026"/>
    <n v="8669"/>
    <s v="4101-03"/>
    <n v="18582"/>
    <n v="0"/>
    <s v="Compra combustible"/>
    <n v="18582"/>
    <s v="EERR"/>
    <n v="-18582"/>
    <x v="83"/>
  </r>
  <r>
    <n v="2026"/>
    <n v="7"/>
    <s v="31-07-2026"/>
    <n v="8669"/>
    <s v="4101-03"/>
    <n v="28808"/>
    <n v="0"/>
    <s v="Compra combustible"/>
    <n v="28808"/>
    <s v="EERR"/>
    <n v="-28808"/>
    <x v="83"/>
  </r>
  <r>
    <n v="2026"/>
    <n v="7"/>
    <s v="31-07-2026"/>
    <n v="8669"/>
    <s v="4101-03"/>
    <n v="30000"/>
    <n v="0"/>
    <s v="Compra combustible"/>
    <n v="30000"/>
    <s v="EERR"/>
    <n v="-30000"/>
    <x v="83"/>
  </r>
  <r>
    <n v="2026"/>
    <n v="7"/>
    <s v="31-07-2026"/>
    <n v="8669"/>
    <s v="4101-03"/>
    <n v="10000"/>
    <n v="0"/>
    <s v="Compra combustible"/>
    <n v="10000"/>
    <s v="EERR"/>
    <n v="-10000"/>
    <x v="83"/>
  </r>
  <r>
    <n v="2026"/>
    <n v="7"/>
    <s v="31-07-2026"/>
    <n v="8669"/>
    <s v="4101-03"/>
    <n v="15900"/>
    <n v="0"/>
    <s v="Compra copec"/>
    <n v="15900"/>
    <s v="EERR"/>
    <n v="-15900"/>
    <x v="83"/>
  </r>
  <r>
    <n v="2026"/>
    <n v="7"/>
    <s v="31-07-2026"/>
    <n v="8669"/>
    <s v="4101-03"/>
    <n v="15900"/>
    <n v="0"/>
    <s v="Compra copec"/>
    <n v="15900"/>
    <s v="EERR"/>
    <n v="-15900"/>
    <x v="83"/>
  </r>
  <r>
    <n v="2026"/>
    <n v="7"/>
    <s v="31-07-2026"/>
    <n v="8669"/>
    <s v="4101-03"/>
    <n v="16180"/>
    <n v="0"/>
    <s v="Compra combustible"/>
    <n v="16180"/>
    <s v="EERR"/>
    <n v="-16180"/>
    <x v="83"/>
  </r>
  <r>
    <n v="2026"/>
    <n v="7"/>
    <s v="31-07-2026"/>
    <n v="8669"/>
    <s v="4101-03"/>
    <n v="19125"/>
    <n v="0"/>
    <s v="Compra copec"/>
    <n v="19125"/>
    <s v="EERR"/>
    <n v="-19125"/>
    <x v="83"/>
  </r>
  <r>
    <n v="2026"/>
    <n v="7"/>
    <s v="31-07-2026"/>
    <n v="8669"/>
    <s v="4101-03"/>
    <n v="25496"/>
    <n v="0"/>
    <s v="Compra copec"/>
    <n v="25496"/>
    <s v="EERR"/>
    <n v="-25496"/>
    <x v="83"/>
  </r>
  <r>
    <n v="2026"/>
    <n v="7"/>
    <s v="31-07-2026"/>
    <n v="8669"/>
    <s v="4101-03"/>
    <n v="14500"/>
    <n v="0"/>
    <s v="Compra insumos"/>
    <n v="14500"/>
    <s v="EERR"/>
    <n v="-14500"/>
    <x v="83"/>
  </r>
  <r>
    <n v="2026"/>
    <n v="7"/>
    <s v="31-07-2026"/>
    <n v="8669"/>
    <s v="4101-03"/>
    <n v="15900"/>
    <n v="0"/>
    <s v="Compra copec"/>
    <n v="15900"/>
    <s v="EERR"/>
    <n v="-15900"/>
    <x v="83"/>
  </r>
  <r>
    <n v="2026"/>
    <n v="7"/>
    <s v="31-07-2026"/>
    <n v="8669"/>
    <s v="4101-03"/>
    <n v="14000"/>
    <n v="0"/>
    <s v="Compra copec"/>
    <n v="14000"/>
    <s v="EERR"/>
    <n v="-14000"/>
    <x v="83"/>
  </r>
  <r>
    <n v="2026"/>
    <n v="7"/>
    <s v="31-07-2026"/>
    <n v="8669"/>
    <s v="4101-03"/>
    <n v="15900"/>
    <n v="0"/>
    <s v="Compra copec"/>
    <n v="15900"/>
    <s v="EERR"/>
    <n v="-15900"/>
    <x v="83"/>
  </r>
  <r>
    <n v="2026"/>
    <n v="7"/>
    <s v="31-07-2026"/>
    <n v="10852"/>
    <s v="4101-03"/>
    <n v="5031200"/>
    <n v="0"/>
    <s v="Centralización compras julio 2026 - valor neto"/>
    <n v="5031200"/>
    <s v="EERR"/>
    <n v="-5031200"/>
    <x v="83"/>
  </r>
  <r>
    <n v="2026"/>
    <n v="1"/>
    <s v="31-01-2026"/>
    <n v="9814"/>
    <s v="4101-06"/>
    <n v="18395596"/>
    <n v="0"/>
    <s v="Centralización compras enero 2026 - valor neto"/>
    <n v="18395596"/>
    <s v="EERR"/>
    <n v="-18395596"/>
    <x v="84"/>
  </r>
  <r>
    <n v="2026"/>
    <n v="1"/>
    <s v="31-01-2026"/>
    <n v="9814"/>
    <s v="4101-06"/>
    <n v="0"/>
    <n v="4706"/>
    <s v="Centralización compras enero 2026 - valor neto"/>
    <n v="-4706"/>
    <s v="EERR"/>
    <n v="4706"/>
    <x v="84"/>
  </r>
  <r>
    <n v="2026"/>
    <n v="2"/>
    <s v="28-02-2026"/>
    <n v="9815"/>
    <s v="4101-06"/>
    <n v="18178746"/>
    <n v="0"/>
    <s v="Centralización compras febrero 2026 - valor neto"/>
    <n v="18178746"/>
    <s v="EERR"/>
    <n v="-18178746"/>
    <x v="84"/>
  </r>
  <r>
    <n v="2026"/>
    <n v="3"/>
    <s v="31-03-2026"/>
    <n v="10753"/>
    <s v="4101-06"/>
    <n v="18325001"/>
    <n v="0"/>
    <s v="Centralización compras marzo 2026 - valor neto"/>
    <n v="18325001"/>
    <s v="EERR"/>
    <n v="-18325001"/>
    <x v="84"/>
  </r>
  <r>
    <n v="2026"/>
    <n v="4"/>
    <s v="30-04-2026"/>
    <n v="10758"/>
    <s v="4101-06"/>
    <n v="18343301"/>
    <n v="0"/>
    <s v="Centralización compras abril 2026 - valor neto"/>
    <n v="18343301"/>
    <s v="EERR"/>
    <n v="-18343301"/>
    <x v="84"/>
  </r>
  <r>
    <n v="2026"/>
    <n v="5"/>
    <s v="31-05-2026"/>
    <n v="10790"/>
    <s v="4101-06"/>
    <n v="16879291"/>
    <n v="0"/>
    <s v="Centralización compras mayo 2026 - valor neto"/>
    <n v="16879291"/>
    <s v="EERR"/>
    <n v="-16879291"/>
    <x v="84"/>
  </r>
  <r>
    <n v="2026"/>
    <n v="6"/>
    <s v="30-06-2026"/>
    <n v="10798"/>
    <s v="4101-06"/>
    <n v="22471764"/>
    <n v="0"/>
    <s v="Centralización compras junio 2026 - valor neto"/>
    <n v="22471764"/>
    <s v="EERR"/>
    <n v="-22471764"/>
    <x v="84"/>
  </r>
  <r>
    <n v="2026"/>
    <n v="7"/>
    <s v="31-07-2026"/>
    <n v="10852"/>
    <s v="4101-06"/>
    <n v="18456668"/>
    <n v="0"/>
    <s v="Centralización compras julio 2026 - valor neto"/>
    <n v="18456668"/>
    <s v="EERR"/>
    <n v="-18456668"/>
    <x v="84"/>
  </r>
  <r>
    <n v="2026"/>
    <n v="1"/>
    <s v="02-01-2026"/>
    <n v="8215"/>
    <s v="4101-07"/>
    <n v="18990"/>
    <n v="0"/>
    <s v="Compras nacionales ferreteria calera de t"/>
    <n v="18990"/>
    <s v="EERR"/>
    <n v="-18990"/>
    <x v="85"/>
  </r>
  <r>
    <n v="2026"/>
    <n v="1"/>
    <s v="02-01-2026"/>
    <n v="8217"/>
    <s v="4101-07"/>
    <n v="65940"/>
    <n v="0"/>
    <s v="Compras nacionales ferreteria san francis"/>
    <n v="65940"/>
    <s v="EERR"/>
    <n v="-65940"/>
    <x v="85"/>
  </r>
  <r>
    <n v="2026"/>
    <n v="1"/>
    <s v="06-01-2026"/>
    <n v="8219"/>
    <s v="4101-07"/>
    <n v="15100"/>
    <n v="0"/>
    <s v="Compras nacionales construmart penaflor"/>
    <n v="15100"/>
    <s v="EERR"/>
    <n v="-15100"/>
    <x v="85"/>
  </r>
  <r>
    <n v="2026"/>
    <n v="1"/>
    <s v="12-01-2026"/>
    <n v="8229"/>
    <s v="4101-07"/>
    <n v="3000"/>
    <n v="0"/>
    <s v="Compras nacionales cortez e hijos spa"/>
    <n v="3000"/>
    <s v="EERR"/>
    <n v="-3000"/>
    <x v="85"/>
  </r>
  <r>
    <n v="2026"/>
    <n v="1"/>
    <s v="30-01-2026"/>
    <n v="8234"/>
    <s v="4101-07"/>
    <n v="10000"/>
    <n v="0"/>
    <s v="Compras nacionales luis alberto raymond c"/>
    <n v="10000"/>
    <s v="EERR"/>
    <n v="-10000"/>
    <x v="85"/>
  </r>
  <r>
    <n v="2026"/>
    <n v="1"/>
    <s v="31-01-2026"/>
    <n v="9814"/>
    <s v="4101-07"/>
    <n v="9828549"/>
    <n v="0"/>
    <s v="Centralización compras enero 2026 - valor neto"/>
    <n v="9828549"/>
    <s v="EERR"/>
    <n v="-9828549"/>
    <x v="85"/>
  </r>
  <r>
    <n v="2026"/>
    <n v="1"/>
    <s v="31-01-2026"/>
    <n v="9814"/>
    <s v="4101-07"/>
    <n v="0"/>
    <n v="29412"/>
    <s v="Centralización compras enero 2026 - valor neto"/>
    <n v="-29412"/>
    <s v="EERR"/>
    <n v="29412"/>
    <x v="85"/>
  </r>
  <r>
    <n v="2026"/>
    <n v="2"/>
    <s v="02-02-2026"/>
    <n v="8235"/>
    <s v="4101-07"/>
    <n v="14200"/>
    <n v="0"/>
    <s v="Compras nacionales redglobaferreteria el"/>
    <n v="14200"/>
    <s v="EERR"/>
    <n v="-14200"/>
    <x v="85"/>
  </r>
  <r>
    <n v="2026"/>
    <n v="2"/>
    <s v="09-02-2026"/>
    <n v="8241"/>
    <s v="4101-07"/>
    <n v="75980"/>
    <n v="0"/>
    <s v="Compras nacionales construmart penaflor"/>
    <n v="75980"/>
    <s v="EERR"/>
    <n v="-75980"/>
    <x v="85"/>
  </r>
  <r>
    <n v="2026"/>
    <n v="2"/>
    <s v="17-02-2026"/>
    <n v="8247"/>
    <s v="4101-07"/>
    <n v="1240"/>
    <n v="0"/>
    <s v="Compras nacionales redglobaferreteria el"/>
    <n v="1240"/>
    <s v="EERR"/>
    <n v="-1240"/>
    <x v="85"/>
  </r>
  <r>
    <n v="2026"/>
    <n v="2"/>
    <s v="28-02-2026"/>
    <n v="9815"/>
    <s v="4101-07"/>
    <n v="9980840"/>
    <n v="0"/>
    <s v="Centralización compras febrero 2026 - valor neto"/>
    <n v="9980840"/>
    <s v="EERR"/>
    <n v="-9980840"/>
    <x v="85"/>
  </r>
  <r>
    <n v="2026"/>
    <n v="2"/>
    <s v="28-02-2026"/>
    <n v="9815"/>
    <s v="4101-07"/>
    <n v="0"/>
    <n v="515040"/>
    <s v="Centralización compras febrero 2026 - valor neto"/>
    <n v="-515040"/>
    <s v="EERR"/>
    <n v="515040"/>
    <x v="85"/>
  </r>
  <r>
    <n v="2026"/>
    <n v="3"/>
    <s v="14-03-2026"/>
    <n v="8261"/>
    <s v="4101-07"/>
    <n v="120000"/>
    <n v="0"/>
    <s v="Compras nacionales punto ferreteria"/>
    <n v="120000"/>
    <s v="EERR"/>
    <n v="-120000"/>
    <x v="85"/>
  </r>
  <r>
    <n v="2026"/>
    <n v="3"/>
    <s v="31-03-2026"/>
    <n v="10753"/>
    <s v="4101-07"/>
    <n v="16791761"/>
    <n v="0"/>
    <s v="Centralización compras marzo 2026 - valor neto"/>
    <n v="16791761"/>
    <s v="EERR"/>
    <n v="-16791761"/>
    <x v="85"/>
  </r>
  <r>
    <n v="2026"/>
    <n v="3"/>
    <s v="31-03-2026"/>
    <n v="10753"/>
    <s v="4101-07"/>
    <n v="0"/>
    <n v="101639"/>
    <s v="Centralización compras marzo 2026 - valor neto"/>
    <n v="-101639"/>
    <s v="EERR"/>
    <n v="101639"/>
    <x v="85"/>
  </r>
  <r>
    <n v="2026"/>
    <n v="4"/>
    <s v="10-04-2026"/>
    <n v="8270"/>
    <s v="4101-07"/>
    <n v="9190"/>
    <n v="0"/>
    <s v="Compras nacionales construmart llo lleo"/>
    <n v="9190"/>
    <s v="EERR"/>
    <n v="-9190"/>
    <x v="85"/>
  </r>
  <r>
    <n v="2026"/>
    <n v="4"/>
    <s v="13-04-2026"/>
    <n v="8272"/>
    <s v="4101-07"/>
    <n v="42470"/>
    <n v="0"/>
    <s v="Compras nacionales sodimac la cisterna"/>
    <n v="42470"/>
    <s v="EERR"/>
    <n v="-42470"/>
    <x v="85"/>
  </r>
  <r>
    <n v="2026"/>
    <n v="4"/>
    <s v="30-04-2026"/>
    <n v="10758"/>
    <s v="4101-07"/>
    <n v="24384484"/>
    <n v="0"/>
    <s v="Centralización compras abril 2026 - valor neto"/>
    <n v="24384484"/>
    <s v="EERR"/>
    <n v="-24384484"/>
    <x v="85"/>
  </r>
  <r>
    <n v="2026"/>
    <n v="4"/>
    <s v="30-04-2026"/>
    <n v="10758"/>
    <s v="4101-07"/>
    <n v="0"/>
    <n v="1896344"/>
    <s v="Centralización compras abril 2026 - valor neto"/>
    <n v="-1896344"/>
    <s v="EERR"/>
    <n v="1896344"/>
    <x v="85"/>
  </r>
  <r>
    <n v="2026"/>
    <n v="5"/>
    <s v="11-05-2026"/>
    <n v="8279"/>
    <s v="4101-07"/>
    <n v="11290"/>
    <n v="0"/>
    <s v="Compras nacionales construmart penaflor"/>
    <n v="11290"/>
    <s v="EERR"/>
    <n v="-11290"/>
    <x v="85"/>
  </r>
  <r>
    <n v="2026"/>
    <n v="5"/>
    <s v="13-05-2026"/>
    <n v="8280"/>
    <s v="4101-07"/>
    <n v="9740"/>
    <n v="0"/>
    <s v="Compras nacionales sumup ferreteria lo"/>
    <n v="9740"/>
    <s v="EERR"/>
    <n v="-9740"/>
    <x v="85"/>
  </r>
  <r>
    <n v="2026"/>
    <n v="5"/>
    <s v="14-05-2026"/>
    <n v="8282"/>
    <s v="4101-07"/>
    <n v="14004"/>
    <n v="0"/>
    <s v="Compras nacionales maderas lotito"/>
    <n v="14004"/>
    <s v="EERR"/>
    <n v="-14004"/>
    <x v="85"/>
  </r>
  <r>
    <n v="2026"/>
    <n v="5"/>
    <s v="19-05-2026"/>
    <n v="8283"/>
    <s v="4101-07"/>
    <n v="1600"/>
    <n v="0"/>
    <s v="Compras nacionales hidro jardin"/>
    <n v="1600"/>
    <s v="EERR"/>
    <n v="-1600"/>
    <x v="85"/>
  </r>
  <r>
    <n v="2026"/>
    <n v="5"/>
    <s v="31-05-2026"/>
    <n v="10790"/>
    <s v="4101-07"/>
    <n v="13465830"/>
    <n v="0"/>
    <s v="Centralización compras mayo 2026 - valor neto"/>
    <n v="13465830"/>
    <s v="EERR"/>
    <n v="-13465830"/>
    <x v="85"/>
  </r>
  <r>
    <n v="2026"/>
    <n v="6"/>
    <s v="23-06-2026"/>
    <n v="10804"/>
    <s v="4101-07"/>
    <n v="3500"/>
    <n v="0"/>
    <s v="Lloza ltda conchali - cuota 0612"/>
    <n v="3500"/>
    <s v="EERR"/>
    <n v="-3500"/>
    <x v="85"/>
  </r>
  <r>
    <n v="2026"/>
    <n v="6"/>
    <s v="23-06-2026"/>
    <n v="10805"/>
    <s v="4101-07"/>
    <n v="61970"/>
    <n v="0"/>
    <s v="Mercadopago alexis"/>
    <n v="61970"/>
    <s v="EERR"/>
    <n v="-61970"/>
    <x v="85"/>
  </r>
  <r>
    <n v="2026"/>
    <n v="6"/>
    <s v="23-06-2026"/>
    <n v="10806"/>
    <s v="4101-07"/>
    <n v="66643"/>
    <n v="0"/>
    <s v="Mp mercado libre tres cuotas prec 0,00 - cuota 0103"/>
    <n v="66643"/>
    <s v="EERR"/>
    <n v="-66643"/>
    <x v="85"/>
  </r>
  <r>
    <n v="2026"/>
    <n v="6"/>
    <s v="30-06-2026"/>
    <n v="10798"/>
    <s v="4101-07"/>
    <n v="17854417"/>
    <n v="0"/>
    <s v="Centralización compras junio 2026 - valor neto"/>
    <n v="17854417"/>
    <s v="EERR"/>
    <n v="-17854417"/>
    <x v="85"/>
  </r>
  <r>
    <n v="2026"/>
    <n v="6"/>
    <s v="30-06-2026"/>
    <n v="10798"/>
    <s v="4101-07"/>
    <n v="0"/>
    <n v="4118808"/>
    <s v="Centralización compras junio 2026 - valor neto"/>
    <n v="-4118808"/>
    <s v="EERR"/>
    <n v="4118808"/>
    <x v="85"/>
  </r>
  <r>
    <n v="2026"/>
    <n v="7"/>
    <s v="08-07-2026"/>
    <n v="8605"/>
    <s v="4101-07"/>
    <n v="108691"/>
    <n v="0"/>
    <s v="Lloza ltda conchali"/>
    <n v="108691"/>
    <s v="EERR"/>
    <n v="-108691"/>
    <x v="85"/>
  </r>
  <r>
    <n v="2026"/>
    <n v="7"/>
    <s v="20-07-2026"/>
    <n v="8654"/>
    <s v="4101-07"/>
    <n v="13980"/>
    <n v="0"/>
    <s v="Compra mercado libre"/>
    <n v="13980"/>
    <s v="EERR"/>
    <n v="-13980"/>
    <x v="85"/>
  </r>
  <r>
    <n v="2026"/>
    <n v="7"/>
    <s v="20-07-2026"/>
    <n v="8655"/>
    <s v="4101-07"/>
    <n v="56663"/>
    <n v="0"/>
    <s v="Compra mercado libre"/>
    <n v="56663"/>
    <s v="EERR"/>
    <n v="-56663"/>
    <x v="85"/>
  </r>
  <r>
    <n v="2026"/>
    <n v="7"/>
    <s v="23-07-2026"/>
    <n v="8631"/>
    <s v="4101-07"/>
    <n v="66643"/>
    <n v="0"/>
    <s v="Insumos"/>
    <n v="66643"/>
    <s v="EERR"/>
    <n v="-66643"/>
    <x v="85"/>
  </r>
  <r>
    <n v="2026"/>
    <n v="7"/>
    <s v="31-07-2026"/>
    <n v="8669"/>
    <s v="4101-07"/>
    <n v="21420"/>
    <n v="0"/>
    <s v="Compra insumos"/>
    <n v="21420"/>
    <s v="EERR"/>
    <n v="-21420"/>
    <x v="85"/>
  </r>
  <r>
    <n v="2026"/>
    <n v="7"/>
    <s v="31-07-2026"/>
    <n v="8669"/>
    <s v="4101-07"/>
    <n v="10740"/>
    <n v="0"/>
    <s v="Compra insumos"/>
    <n v="10740"/>
    <s v="EERR"/>
    <n v="-10740"/>
    <x v="85"/>
  </r>
  <r>
    <n v="2026"/>
    <n v="7"/>
    <s v="31-07-2026"/>
    <n v="8669"/>
    <s v="4101-07"/>
    <n v="23870"/>
    <n v="0"/>
    <s v="Compra insumos"/>
    <n v="23870"/>
    <s v="EERR"/>
    <n v="-23870"/>
    <x v="85"/>
  </r>
  <r>
    <n v="2026"/>
    <n v="7"/>
    <s v="31-07-2026"/>
    <n v="8669"/>
    <s v="4101-07"/>
    <n v="70580"/>
    <n v="0"/>
    <s v="Compra insumos"/>
    <n v="70580"/>
    <s v="EERR"/>
    <n v="-70580"/>
    <x v="85"/>
  </r>
  <r>
    <n v="2026"/>
    <n v="7"/>
    <s v="31-07-2026"/>
    <n v="10852"/>
    <s v="4101-07"/>
    <n v="17515327"/>
    <n v="0"/>
    <s v="Centralización compras julio 2026 - valor neto"/>
    <n v="17515327"/>
    <s v="EERR"/>
    <n v="-17515327"/>
    <x v="85"/>
  </r>
  <r>
    <n v="2026"/>
    <n v="7"/>
    <s v="31-07-2026"/>
    <n v="10852"/>
    <s v="4101-07"/>
    <n v="0"/>
    <n v="4618060"/>
    <s v="Centralización compras julio 2026 - valor neto"/>
    <n v="-4618060"/>
    <s v="EERR"/>
    <n v="4618060"/>
    <x v="85"/>
  </r>
  <r>
    <n v="2026"/>
    <n v="1"/>
    <s v="08-01-2026"/>
    <n v="6987"/>
    <s v="4101-08"/>
    <n v="2550"/>
    <n v="0"/>
    <s v="Pago - carolina diaz"/>
    <n v="2550"/>
    <s v="EERR"/>
    <n v="-2550"/>
    <x v="86"/>
  </r>
  <r>
    <n v="2026"/>
    <n v="4"/>
    <s v="22-04-2026"/>
    <n v="10773"/>
    <s v="4101-08"/>
    <n v="628204"/>
    <n v="0"/>
    <s v="Grupo dhl express chil"/>
    <n v="628204"/>
    <s v="EERR"/>
    <n v="-628204"/>
    <x v="86"/>
  </r>
  <r>
    <n v="2026"/>
    <n v="4"/>
    <s v="30-04-2026"/>
    <n v="10758"/>
    <s v="4101-08"/>
    <n v="193569"/>
    <n v="0"/>
    <s v="Centralización compras abril 2026 - valor neto"/>
    <n v="193569"/>
    <s v="EERR"/>
    <n v="-193569"/>
    <x v="86"/>
  </r>
  <r>
    <n v="2026"/>
    <n v="5"/>
    <s v="31-05-2026"/>
    <n v="10790"/>
    <s v="4101-08"/>
    <n v="86915"/>
    <n v="0"/>
    <s v="Centralización compras mayo 2026 - valor neto"/>
    <n v="86915"/>
    <s v="EERR"/>
    <n v="-86915"/>
    <x v="86"/>
  </r>
  <r>
    <n v="2026"/>
    <n v="6"/>
    <s v="01-06-2026"/>
    <n v="8284"/>
    <s v="4101-08"/>
    <n v="55500"/>
    <n v="0"/>
    <s v="Compras nacionales starken 1760 penaflor"/>
    <n v="55500"/>
    <s v="EERR"/>
    <n v="-55500"/>
    <x v="86"/>
  </r>
  <r>
    <n v="2026"/>
    <n v="6"/>
    <s v="30-06-2026"/>
    <n v="10798"/>
    <s v="4101-08"/>
    <n v="411713"/>
    <n v="0"/>
    <s v="Centralización compras junio 2026 - valor neto"/>
    <n v="411713"/>
    <s v="EERR"/>
    <n v="-411713"/>
    <x v="86"/>
  </r>
  <r>
    <n v="2026"/>
    <n v="7"/>
    <s v="31-07-2026"/>
    <n v="8669"/>
    <s v="4101-08"/>
    <n v="10000"/>
    <n v="0"/>
    <s v="Traslado"/>
    <n v="10000"/>
    <s v="EERR"/>
    <n v="-10000"/>
    <x v="86"/>
  </r>
  <r>
    <n v="2026"/>
    <n v="7"/>
    <s v="31-07-2026"/>
    <n v="8669"/>
    <s v="4101-08"/>
    <n v="10000"/>
    <n v="0"/>
    <s v="Traslado"/>
    <n v="10000"/>
    <s v="EERR"/>
    <n v="-10000"/>
    <x v="86"/>
  </r>
  <r>
    <n v="2026"/>
    <n v="7"/>
    <s v="31-07-2026"/>
    <n v="8669"/>
    <s v="4101-08"/>
    <n v="10000"/>
    <n v="0"/>
    <s v="Traslado"/>
    <n v="10000"/>
    <s v="EERR"/>
    <n v="-10000"/>
    <x v="86"/>
  </r>
  <r>
    <n v="2026"/>
    <n v="7"/>
    <s v="31-07-2026"/>
    <n v="8669"/>
    <s v="4101-08"/>
    <n v="40000"/>
    <n v="0"/>
    <s v="Traslado"/>
    <n v="40000"/>
    <s v="EERR"/>
    <n v="-40000"/>
    <x v="86"/>
  </r>
  <r>
    <n v="2026"/>
    <n v="7"/>
    <s v="31-07-2026"/>
    <n v="8669"/>
    <s v="4101-08"/>
    <n v="30000"/>
    <n v="0"/>
    <s v="Traslado"/>
    <n v="30000"/>
    <s v="EERR"/>
    <n v="-30000"/>
    <x v="86"/>
  </r>
  <r>
    <n v="2026"/>
    <n v="7"/>
    <s v="31-07-2026"/>
    <n v="8669"/>
    <s v="4101-08"/>
    <n v="10000"/>
    <n v="0"/>
    <s v="Traslado"/>
    <n v="10000"/>
    <s v="EERR"/>
    <n v="-10000"/>
    <x v="86"/>
  </r>
  <r>
    <n v="2026"/>
    <n v="7"/>
    <s v="31-07-2026"/>
    <n v="8669"/>
    <s v="4101-08"/>
    <n v="10000"/>
    <n v="0"/>
    <s v="Traspado"/>
    <n v="10000"/>
    <s v="EERR"/>
    <n v="-10000"/>
    <x v="86"/>
  </r>
  <r>
    <n v="2026"/>
    <n v="7"/>
    <s v="31-07-2026"/>
    <n v="10852"/>
    <s v="4101-08"/>
    <n v="190029"/>
    <n v="0"/>
    <s v="Centralización compras julio 2026 - valor neto"/>
    <n v="190029"/>
    <s v="EERR"/>
    <n v="-190029"/>
    <x v="86"/>
  </r>
  <r>
    <n v="2026"/>
    <n v="1"/>
    <s v="16-01-2026"/>
    <n v="7048"/>
    <s v="4101-09"/>
    <n v="0"/>
    <n v="1"/>
    <s v="Pago f 55846 voissnet cloud services s.p.a."/>
    <n v="-1"/>
    <s v="EERR"/>
    <n v="1"/>
    <x v="87"/>
  </r>
  <r>
    <n v="2026"/>
    <n v="1"/>
    <s v="31-01-2026"/>
    <n v="9814"/>
    <s v="4101-09"/>
    <n v="11782127"/>
    <n v="0"/>
    <s v="Centralización compras enero 2026 - valor neto"/>
    <n v="11782127"/>
    <s v="EERR"/>
    <n v="-11782127"/>
    <x v="87"/>
  </r>
  <r>
    <n v="2026"/>
    <n v="1"/>
    <s v="31-01-2026"/>
    <n v="9814"/>
    <s v="4101-09"/>
    <n v="0"/>
    <n v="10050240"/>
    <s v="Centralización compras enero 2026 - valor neto"/>
    <n v="-10050240"/>
    <s v="EERR"/>
    <n v="10050240"/>
    <x v="87"/>
  </r>
  <r>
    <n v="2026"/>
    <n v="2"/>
    <s v="25-02-2026"/>
    <n v="10593"/>
    <s v="4101-09"/>
    <n v="11696"/>
    <n v="0"/>
    <s v="Dif comision corfo"/>
    <n v="11696"/>
    <s v="EERR"/>
    <n v="-11696"/>
    <x v="87"/>
  </r>
  <r>
    <n v="2026"/>
    <n v="2"/>
    <s v="28-02-2026"/>
    <n v="9815"/>
    <s v="4101-09"/>
    <n v="1433886"/>
    <n v="0"/>
    <s v="Centralización compras febrero 2026 - valor neto"/>
    <n v="1433886"/>
    <s v="EERR"/>
    <n v="-1433886"/>
    <x v="87"/>
  </r>
  <r>
    <n v="2026"/>
    <n v="3"/>
    <s v="31-03-2026"/>
    <n v="10753"/>
    <s v="4101-09"/>
    <n v="2696772"/>
    <n v="0"/>
    <s v="Centralización compras marzo 2026 - valor neto"/>
    <n v="2696772"/>
    <s v="EERR"/>
    <n v="-2696772"/>
    <x v="87"/>
  </r>
  <r>
    <n v="2026"/>
    <n v="4"/>
    <s v="30-04-2026"/>
    <n v="10758"/>
    <s v="4101-09"/>
    <n v="2869939"/>
    <n v="0"/>
    <s v="Centralización compras abril 2026 - valor neto"/>
    <n v="2869939"/>
    <s v="EERR"/>
    <n v="-2869939"/>
    <x v="87"/>
  </r>
  <r>
    <n v="2026"/>
    <n v="5"/>
    <s v="31-05-2026"/>
    <n v="10790"/>
    <s v="4101-09"/>
    <n v="2582672"/>
    <n v="0"/>
    <s v="Centralización compras mayo 2026 - valor neto"/>
    <n v="2582672"/>
    <s v="EERR"/>
    <n v="-2582672"/>
    <x v="87"/>
  </r>
  <r>
    <n v="2026"/>
    <n v="6"/>
    <s v="30-06-2026"/>
    <n v="10798"/>
    <s v="4101-09"/>
    <n v="465843"/>
    <n v="0"/>
    <s v="Centralización compras junio 2026 - valor neto"/>
    <n v="465843"/>
    <s v="EERR"/>
    <n v="-465843"/>
    <x v="87"/>
  </r>
  <r>
    <n v="2026"/>
    <n v="1"/>
    <s v="31-01-2026"/>
    <n v="9814"/>
    <s v="4101-11"/>
    <n v="828300"/>
    <n v="0"/>
    <s v="Centralización compras enero 2026 - valor neto"/>
    <n v="828300"/>
    <s v="EERR"/>
    <n v="-828300"/>
    <x v="88"/>
  </r>
  <r>
    <n v="2026"/>
    <n v="2"/>
    <s v="28-02-2026"/>
    <n v="9815"/>
    <s v="4101-11"/>
    <n v="966900"/>
    <n v="0"/>
    <s v="Centralización compras febrero 2026 - valor neto"/>
    <n v="966900"/>
    <s v="EERR"/>
    <n v="-966900"/>
    <x v="88"/>
  </r>
  <r>
    <n v="2026"/>
    <n v="4"/>
    <s v="30-04-2026"/>
    <n v="10758"/>
    <s v="4101-11"/>
    <n v="5000000"/>
    <n v="0"/>
    <s v="Centralización compras abril 2026 - valor neto"/>
    <n v="5000000"/>
    <s v="EERR"/>
    <n v="-5000000"/>
    <x v="88"/>
  </r>
  <r>
    <n v="2026"/>
    <n v="3"/>
    <s v="31-03-2026"/>
    <n v="10743"/>
    <s v="4101-18"/>
    <n v="145892"/>
    <n v="0"/>
    <s v="Centralización compras marzo 2026 - valor neto"/>
    <n v="145892"/>
    <s v="EERR"/>
    <n v="-145892"/>
    <x v="89"/>
  </r>
  <r>
    <n v="2026"/>
    <n v="4"/>
    <s v="30-04-2026"/>
    <n v="10758"/>
    <s v="4101-18"/>
    <n v="92376"/>
    <n v="0"/>
    <s v="Centralización compras abril 2026 - valor neto"/>
    <n v="92376"/>
    <s v="EERR"/>
    <n v="-92376"/>
    <x v="89"/>
  </r>
  <r>
    <n v="2026"/>
    <n v="1"/>
    <s v="31-01-2026"/>
    <n v="9812"/>
    <s v="4201-01"/>
    <n v="59396832"/>
    <n v="0"/>
    <s v="Centralizacion remuneraciones enero "/>
    <n v="59396832"/>
    <s v="EERR"/>
    <n v="-59396832"/>
    <x v="90"/>
  </r>
  <r>
    <n v="2026"/>
    <n v="2"/>
    <s v="28-02-2026"/>
    <n v="9813"/>
    <s v="4201-01"/>
    <n v="65851487"/>
    <n v="0"/>
    <s v="Centralizacion remuneraciones febrero"/>
    <n v="65851487"/>
    <s v="EERR"/>
    <n v="-65851487"/>
    <x v="90"/>
  </r>
  <r>
    <n v="2026"/>
    <n v="3"/>
    <s v="31-03-2026"/>
    <n v="10744"/>
    <s v="4201-01"/>
    <n v="65273673"/>
    <n v="0"/>
    <s v="Centralizacion remuneraciones marzo"/>
    <n v="65273673"/>
    <s v="EERR"/>
    <n v="-65273673"/>
    <x v="90"/>
  </r>
  <r>
    <n v="2026"/>
    <n v="4"/>
    <s v="30-04-2026"/>
    <n v="10757"/>
    <s v="4201-01"/>
    <n v="62256517"/>
    <n v="0"/>
    <s v="Centralizacion remuneraciones abril"/>
    <n v="62256517"/>
    <s v="EERR"/>
    <n v="-62256517"/>
    <x v="90"/>
  </r>
  <r>
    <n v="2026"/>
    <n v="5"/>
    <s v="31-05-2026"/>
    <n v="10782"/>
    <s v="4201-01"/>
    <n v="58980187"/>
    <n v="0"/>
    <s v="Centralizacion remuneraciones mayo"/>
    <n v="58980187"/>
    <s v="EERR"/>
    <n v="-58980187"/>
    <x v="90"/>
  </r>
  <r>
    <n v="2026"/>
    <n v="6"/>
    <s v="30-06-2026"/>
    <n v="10802"/>
    <s v="4201-01"/>
    <n v="61519801"/>
    <n v="0"/>
    <s v="Centralizacion remuneraciones junio"/>
    <n v="61519801"/>
    <s v="EERR"/>
    <n v="-61519801"/>
    <x v="90"/>
  </r>
  <r>
    <n v="2026"/>
    <n v="7"/>
    <s v="31-07-2026"/>
    <n v="12633"/>
    <s v="4201-01"/>
    <n v="63876835"/>
    <n v="0"/>
    <s v="Centralizacion remuneraciones julio"/>
    <n v="63876835"/>
    <s v="EERR"/>
    <n v="-63876835"/>
    <x v="90"/>
  </r>
  <r>
    <n v="2026"/>
    <n v="1"/>
    <s v="31-01-2026"/>
    <n v="9757"/>
    <s v="4201-02"/>
    <n v="5813569"/>
    <n v="0"/>
    <s v="Centralización honorarios enero 2026 - monto bruto"/>
    <n v="5813569"/>
    <s v="EERR"/>
    <n v="-5813569"/>
    <x v="91"/>
  </r>
  <r>
    <n v="2026"/>
    <n v="2"/>
    <s v="28-02-2026"/>
    <n v="9811"/>
    <s v="4201-02"/>
    <n v="4164307"/>
    <n v="0"/>
    <s v="Centralización honorarios febrero 2026 - monto bruto"/>
    <n v="4164307"/>
    <s v="EERR"/>
    <n v="-4164307"/>
    <x v="91"/>
  </r>
  <r>
    <n v="2026"/>
    <n v="3"/>
    <s v="31-03-2026"/>
    <n v="10742"/>
    <s v="4201-02"/>
    <n v="4420195"/>
    <n v="0"/>
    <s v="Centralización honorarios marzo 2026 - monto bruto"/>
    <n v="4420195"/>
    <s v="EERR"/>
    <n v="-4420195"/>
    <x v="91"/>
  </r>
  <r>
    <n v="2026"/>
    <n v="4"/>
    <s v="30-04-2026"/>
    <n v="10756"/>
    <s v="4201-02"/>
    <n v="3527139"/>
    <n v="0"/>
    <s v="Centralización honorarios abril 2026 - monto bruto"/>
    <n v="3527139"/>
    <s v="EERR"/>
    <n v="-3527139"/>
    <x v="91"/>
  </r>
  <r>
    <n v="2026"/>
    <n v="5"/>
    <s v="31-05-2026"/>
    <n v="10780"/>
    <s v="4201-02"/>
    <n v="4391815"/>
    <n v="0"/>
    <s v="Centralización honorarios mayo 2026 - monto bruto"/>
    <n v="4391815"/>
    <s v="EERR"/>
    <n v="-4391815"/>
    <x v="91"/>
  </r>
  <r>
    <n v="2026"/>
    <n v="6"/>
    <s v="30-06-2026"/>
    <n v="10796"/>
    <s v="4201-02"/>
    <n v="3112860"/>
    <n v="0"/>
    <s v="Centralización honorarios junio 2026 - monto bruto"/>
    <n v="3112860"/>
    <s v="EERR"/>
    <n v="-3112860"/>
    <x v="91"/>
  </r>
  <r>
    <n v="2026"/>
    <n v="6"/>
    <s v="30-06-2026"/>
    <n v="10845"/>
    <s v="4201-02"/>
    <n v="1179941"/>
    <n v="0"/>
    <s v="Centralización honorarios junio 2026 - monto bruto"/>
    <n v="1179941"/>
    <s v="EERR"/>
    <n v="-1179941"/>
    <x v="91"/>
  </r>
  <r>
    <n v="2026"/>
    <n v="7"/>
    <s v="31-07-2026"/>
    <n v="10850"/>
    <s v="4201-02"/>
    <n v="4830044"/>
    <n v="0"/>
    <s v="Centralización honorarios julio 2026 - monto bruto"/>
    <n v="4830044"/>
    <s v="EERR"/>
    <n v="-4830044"/>
    <x v="91"/>
  </r>
  <r>
    <n v="2026"/>
    <n v="1"/>
    <s v="31-01-2026"/>
    <n v="9812"/>
    <s v="4201-03"/>
    <n v="3470526"/>
    <n v="0"/>
    <s v="Centralizacion remuneraciones enero "/>
    <n v="3470526"/>
    <s v="EERR"/>
    <n v="-3470526"/>
    <x v="92"/>
  </r>
  <r>
    <n v="2026"/>
    <n v="2"/>
    <s v="28-02-2026"/>
    <n v="9813"/>
    <s v="4201-03"/>
    <n v="3888396"/>
    <n v="0"/>
    <s v="Centralizacion remuneraciones febrero"/>
    <n v="3888396"/>
    <s v="EERR"/>
    <n v="-3888396"/>
    <x v="92"/>
  </r>
  <r>
    <n v="2026"/>
    <n v="3"/>
    <s v="31-03-2026"/>
    <n v="10744"/>
    <s v="4201-03"/>
    <n v="3865994"/>
    <n v="0"/>
    <s v="Centralizacion remuneraciones marzo"/>
    <n v="3865994"/>
    <s v="EERR"/>
    <n v="-3865994"/>
    <x v="92"/>
  </r>
  <r>
    <n v="2026"/>
    <n v="4"/>
    <s v="30-04-2026"/>
    <n v="10757"/>
    <s v="4201-03"/>
    <n v="3509763"/>
    <n v="0"/>
    <s v="Centralizacion remuneraciones abril"/>
    <n v="3509763"/>
    <s v="EERR"/>
    <n v="-3509763"/>
    <x v="92"/>
  </r>
  <r>
    <n v="2026"/>
    <n v="5"/>
    <s v="31-05-2026"/>
    <n v="10782"/>
    <s v="4201-03"/>
    <n v="3539447"/>
    <n v="0"/>
    <s v="Centralizacion remuneraciones mayo"/>
    <n v="3539447"/>
    <s v="EERR"/>
    <n v="-3539447"/>
    <x v="92"/>
  </r>
  <r>
    <n v="2026"/>
    <n v="6"/>
    <s v="30-06-2026"/>
    <n v="10802"/>
    <s v="4201-03"/>
    <n v="3756791"/>
    <n v="0"/>
    <s v="Centralizacion remuneraciones junio"/>
    <n v="3756791"/>
    <s v="EERR"/>
    <n v="-3756791"/>
    <x v="92"/>
  </r>
  <r>
    <n v="2026"/>
    <n v="7"/>
    <s v="31-07-2026"/>
    <n v="12633"/>
    <s v="4201-03"/>
    <n v="3840805"/>
    <n v="0"/>
    <s v="Centralizacion remuneraciones julio"/>
    <n v="3840805"/>
    <s v="EERR"/>
    <n v="-3840805"/>
    <x v="92"/>
  </r>
  <r>
    <n v="2026"/>
    <n v="1"/>
    <s v="09-01-2026"/>
    <n v="7005"/>
    <s v="4201-04"/>
    <n v="60000"/>
    <n v="0"/>
    <s v="Retiro basura - carolina diaz"/>
    <n v="60000"/>
    <s v="EERR"/>
    <n v="-60000"/>
    <x v="93"/>
  </r>
  <r>
    <n v="2026"/>
    <n v="1"/>
    <s v="13-01-2026"/>
    <n v="7027"/>
    <s v="4201-04"/>
    <n v="9208"/>
    <n v="0"/>
    <s v="0770915228 transf a comercializado"/>
    <n v="9208"/>
    <s v="EERR"/>
    <n v="-9208"/>
    <x v="93"/>
  </r>
  <r>
    <n v="2026"/>
    <n v="1"/>
    <s v="31-01-2026"/>
    <n v="9823"/>
    <s v="4201-04"/>
    <n v="38531"/>
    <n v="0"/>
    <s v="9282 malloco balmaceda"/>
    <n v="38531"/>
    <s v="EERR"/>
    <n v="-38531"/>
    <x v="93"/>
  </r>
  <r>
    <n v="2026"/>
    <n v="1"/>
    <s v="31-01-2026"/>
    <n v="9823"/>
    <s v="4201-04"/>
    <n v="35200"/>
    <n v="0"/>
    <s v="Mercadopago mariaang"/>
    <n v="35200"/>
    <s v="EERR"/>
    <n v="-35200"/>
    <x v="93"/>
  </r>
  <r>
    <n v="2026"/>
    <n v="1"/>
    <s v="31-01-2026"/>
    <n v="9823"/>
    <s v="4201-04"/>
    <n v="10000"/>
    <n v="0"/>
    <s v="Tuuoh wow"/>
    <n v="10000"/>
    <s v="EERR"/>
    <n v="-10000"/>
    <x v="93"/>
  </r>
  <r>
    <n v="2026"/>
    <n v="1"/>
    <s v="31-01-2026"/>
    <n v="9823"/>
    <s v="4201-04"/>
    <n v="26000"/>
    <n v="0"/>
    <s v="Qiang hong peng cuilan"/>
    <n v="26000"/>
    <s v="EERR"/>
    <n v="-26000"/>
    <x v="93"/>
  </r>
  <r>
    <n v="2026"/>
    <n v="1"/>
    <s v="31-01-2026"/>
    <n v="9823"/>
    <s v="4201-04"/>
    <n v="6700"/>
    <n v="0"/>
    <s v="Qiang hong peng cuilan"/>
    <n v="6700"/>
    <s v="EERR"/>
    <n v="-6700"/>
    <x v="93"/>
  </r>
  <r>
    <n v="2026"/>
    <n v="1"/>
    <s v="31-01-2026"/>
    <n v="9824"/>
    <s v="4201-04"/>
    <n v="30800"/>
    <n v="0"/>
    <s v="Munich"/>
    <n v="30800"/>
    <s v="EERR"/>
    <n v="-30800"/>
    <x v="93"/>
  </r>
  <r>
    <n v="2026"/>
    <n v="1"/>
    <s v="31-01-2026"/>
    <n v="9824"/>
    <s v="4201-04"/>
    <n v="55270"/>
    <n v="0"/>
    <s v="Paypal wondersd268"/>
    <n v="55270"/>
    <s v="EERR"/>
    <n v="-55270"/>
    <x v="93"/>
  </r>
  <r>
    <n v="2026"/>
    <n v="1"/>
    <s v="31-01-2026"/>
    <n v="9825"/>
    <s v="4201-04"/>
    <n v="102904"/>
    <n v="0"/>
    <s v="Payprogloba"/>
    <n v="102904"/>
    <s v="EERR"/>
    <n v="-102904"/>
    <x v="93"/>
  </r>
  <r>
    <n v="2026"/>
    <n v="2"/>
    <s v="02-02-2026"/>
    <n v="7112"/>
    <s v="4201-04"/>
    <n v="72948"/>
    <n v="0"/>
    <s v="Compra hiper penaflor ba"/>
    <n v="72948"/>
    <s v="EERR"/>
    <n v="-72948"/>
    <x v="93"/>
  </r>
  <r>
    <n v="2026"/>
    <n v="2"/>
    <s v="05-02-2026"/>
    <n v="7118"/>
    <s v="4201-04"/>
    <n v="20000"/>
    <n v="0"/>
    <s v="Compra jardin anita"/>
    <n v="20000"/>
    <s v="EERR"/>
    <n v="-20000"/>
    <x v="93"/>
  </r>
  <r>
    <n v="2026"/>
    <n v="2"/>
    <s v="12-02-2026"/>
    <n v="7200"/>
    <s v="4201-04"/>
    <n v="60000"/>
    <n v="0"/>
    <s v="Retiro basura basura"/>
    <n v="60000"/>
    <s v="EERR"/>
    <n v="-60000"/>
    <x v="93"/>
  </r>
  <r>
    <n v="2026"/>
    <n v="2"/>
    <s v="26-02-2026"/>
    <n v="7282"/>
    <s v="4201-04"/>
    <n v="120000"/>
    <n v="0"/>
    <s v="Retiro basura retiro basura"/>
    <n v="120000"/>
    <s v="EERR"/>
    <n v="-120000"/>
    <x v="93"/>
  </r>
  <r>
    <n v="2026"/>
    <n v="2"/>
    <s v="28-02-2026"/>
    <n v="9815"/>
    <s v="4201-04"/>
    <n v="72415"/>
    <n v="0"/>
    <s v="Centralización compras febrero 2026 - valor neto"/>
    <n v="72415"/>
    <s v="EERR"/>
    <n v="-72415"/>
    <x v="93"/>
  </r>
  <r>
    <n v="2026"/>
    <n v="2"/>
    <s v="28-02-2026"/>
    <n v="10601"/>
    <s v="4201-04"/>
    <n v="360"/>
    <n v="0"/>
    <s v="Segur. falabella co"/>
    <n v="360"/>
    <s v="EERR"/>
    <n v="-360"/>
    <x v="93"/>
  </r>
  <r>
    <n v="2026"/>
    <n v="3"/>
    <s v="05-03-2026"/>
    <n v="7322"/>
    <s v="4201-04"/>
    <n v="18000"/>
    <n v="0"/>
    <s v="0145666406 transf a nelson andres"/>
    <n v="18000"/>
    <s v="EERR"/>
    <n v="-18000"/>
    <x v="93"/>
  </r>
  <r>
    <n v="2026"/>
    <n v="3"/>
    <s v="31-03-2026"/>
    <n v="10748"/>
    <s v="4201-04"/>
    <n v="90321"/>
    <n v="0"/>
    <s v="Lloza ltda conchali"/>
    <n v="90321"/>
    <s v="EERR"/>
    <n v="-90321"/>
    <x v="93"/>
  </r>
  <r>
    <n v="2026"/>
    <n v="3"/>
    <s v="31-03-2026"/>
    <n v="10748"/>
    <s v="4201-04"/>
    <n v="34480"/>
    <n v="0"/>
    <s v="Hiper penaflor balmace"/>
    <n v="34480"/>
    <s v="EERR"/>
    <n v="-34480"/>
    <x v="93"/>
  </r>
  <r>
    <n v="2026"/>
    <n v="3"/>
    <s v="31-03-2026"/>
    <n v="10753"/>
    <s v="4201-04"/>
    <n v="45428"/>
    <n v="0"/>
    <s v="Centralización compras marzo 2026 - valor neto"/>
    <n v="45428"/>
    <s v="EERR"/>
    <n v="-45428"/>
    <x v="93"/>
  </r>
  <r>
    <n v="2026"/>
    <n v="4"/>
    <s v="10-04-2026"/>
    <n v="7583"/>
    <s v="4201-04"/>
    <n v="141622"/>
    <n v="0"/>
    <s v="Pago cuotas caja compensacion patricio diaz"/>
    <n v="141622"/>
    <s v="EERR"/>
    <n v="-141622"/>
    <x v="93"/>
  </r>
  <r>
    <n v="2026"/>
    <n v="4"/>
    <s v="22-04-2026"/>
    <n v="10775"/>
    <s v="4201-04"/>
    <n v="134800"/>
    <n v="0"/>
    <s v="Mercadopago mercadol"/>
    <n v="134800"/>
    <s v="EERR"/>
    <n v="-134800"/>
    <x v="93"/>
  </r>
  <r>
    <n v="2026"/>
    <n v="4"/>
    <s v="22-04-2026"/>
    <n v="10775"/>
    <s v="4201-04"/>
    <n v="312"/>
    <n v="0"/>
    <s v="Segur. falabella co"/>
    <n v="312"/>
    <s v="EERR"/>
    <n v="-312"/>
    <x v="93"/>
  </r>
  <r>
    <n v="2026"/>
    <n v="4"/>
    <s v="22-04-2026"/>
    <n v="10775"/>
    <s v="4201-04"/>
    <n v="226310"/>
    <n v="0"/>
    <s v="Mp mercado libre"/>
    <n v="226310"/>
    <s v="EERR"/>
    <n v="-226310"/>
    <x v="93"/>
  </r>
  <r>
    <n v="2026"/>
    <n v="4"/>
    <s v="30-04-2026"/>
    <n v="10758"/>
    <s v="4201-04"/>
    <n v="47042"/>
    <n v="0"/>
    <s v="Centralización compras abril 2026 - valor neto"/>
    <n v="47042"/>
    <s v="EERR"/>
    <n v="-47042"/>
    <x v="93"/>
  </r>
  <r>
    <n v="2026"/>
    <n v="5"/>
    <s v="04-05-2026"/>
    <n v="11871"/>
    <s v="4201-04"/>
    <n v="0"/>
    <n v="1"/>
    <s v="Transferencia de carrillo re"/>
    <n v="-1"/>
    <s v="EERR"/>
    <n v="1"/>
    <x v="93"/>
  </r>
  <r>
    <n v="2026"/>
    <n v="5"/>
    <s v="25-05-2026"/>
    <n v="10788"/>
    <s v="4201-04"/>
    <n v="226310"/>
    <n v="0"/>
    <s v="Mp mercado libre"/>
    <n v="226310"/>
    <s v="EERR"/>
    <n v="-226310"/>
    <x v="93"/>
  </r>
  <r>
    <n v="2026"/>
    <n v="5"/>
    <s v="25-05-2026"/>
    <n v="10788"/>
    <s v="4201-04"/>
    <n v="98180"/>
    <n v="0"/>
    <s v="Mercadopago alipaysi"/>
    <n v="98180"/>
    <s v="EERR"/>
    <n v="-98180"/>
    <x v="93"/>
  </r>
  <r>
    <n v="2026"/>
    <n v="5"/>
    <s v="25-05-2026"/>
    <n v="10788"/>
    <s v="4201-04"/>
    <n v="1793"/>
    <n v="0"/>
    <s v="Segur. falabella co"/>
    <n v="1793"/>
    <s v="EERR"/>
    <n v="-1793"/>
    <x v="93"/>
  </r>
  <r>
    <n v="2026"/>
    <n v="5"/>
    <s v="27-05-2026"/>
    <n v="7850"/>
    <s v="4201-04"/>
    <n v="29990"/>
    <n v="0"/>
    <s v="Compra mayorista 10 san"/>
    <n v="29990"/>
    <s v="EERR"/>
    <n v="-29990"/>
    <x v="93"/>
  </r>
  <r>
    <n v="2026"/>
    <n v="6"/>
    <s v="23-06-2026"/>
    <n v="10848"/>
    <s v="4201-04"/>
    <n v="4510"/>
    <n v="0"/>
    <s v="Segur. falabella co compras p.a.t."/>
    <n v="4510"/>
    <s v="EERR"/>
    <n v="-4510"/>
    <x v="93"/>
  </r>
  <r>
    <n v="2026"/>
    <n v="6"/>
    <s v="24-06-2026"/>
    <n v="7917"/>
    <s v="4201-04"/>
    <n v="300000"/>
    <n v="0"/>
    <s v="0122365484 transf a braulio lopez"/>
    <n v="300000"/>
    <s v="EERR"/>
    <n v="-300000"/>
    <x v="93"/>
  </r>
  <r>
    <n v="2026"/>
    <n v="6"/>
    <s v="30-06-2026"/>
    <n v="10798"/>
    <s v="4201-04"/>
    <n v="88177"/>
    <n v="0"/>
    <s v="Centralización compras junio 2026 - valor neto"/>
    <n v="88177"/>
    <s v="EERR"/>
    <n v="-88177"/>
    <x v="93"/>
  </r>
  <r>
    <n v="2026"/>
    <n v="7"/>
    <s v="23-07-2026"/>
    <n v="8589"/>
    <s v="4201-04"/>
    <n v="9990"/>
    <n v="0"/>
    <s v="Planeta movil"/>
    <n v="9990"/>
    <s v="EERR"/>
    <n v="-9990"/>
    <x v="93"/>
  </r>
  <r>
    <n v="2026"/>
    <n v="7"/>
    <s v="31-07-2026"/>
    <n v="10852"/>
    <s v="4201-04"/>
    <n v="112348"/>
    <n v="0"/>
    <s v="Centralización compras julio 2026 - valor neto"/>
    <n v="112348"/>
    <s v="EERR"/>
    <n v="-112348"/>
    <x v="93"/>
  </r>
  <r>
    <n v="2026"/>
    <n v="1"/>
    <s v="31-01-2026"/>
    <n v="9814"/>
    <s v="4201-06"/>
    <n v="245080"/>
    <n v="0"/>
    <s v="Centralización compras enero 2026 - valor neto"/>
    <n v="245080"/>
    <s v="EERR"/>
    <n v="-245080"/>
    <x v="94"/>
  </r>
  <r>
    <n v="2026"/>
    <n v="2"/>
    <s v="28-02-2026"/>
    <n v="9815"/>
    <s v="4201-06"/>
    <n v="338355"/>
    <n v="0"/>
    <s v="Centralización compras febrero 2026 - valor neto"/>
    <n v="338355"/>
    <s v="EERR"/>
    <n v="-338355"/>
    <x v="94"/>
  </r>
  <r>
    <n v="2026"/>
    <n v="3"/>
    <s v="31-03-2026"/>
    <n v="10753"/>
    <s v="4201-06"/>
    <n v="790376"/>
    <n v="0"/>
    <s v="Centralización compras marzo 2026 - valor neto"/>
    <n v="790376"/>
    <s v="EERR"/>
    <n v="-790376"/>
    <x v="94"/>
  </r>
  <r>
    <n v="2026"/>
    <n v="4"/>
    <s v="22-04-2026"/>
    <n v="10773"/>
    <s v="4201-06"/>
    <n v="257589"/>
    <n v="0"/>
    <s v="Muni de penaflor penaf permiso de circulacion"/>
    <n v="257589"/>
    <s v="EERR"/>
    <n v="-257589"/>
    <x v="94"/>
  </r>
  <r>
    <n v="2026"/>
    <n v="4"/>
    <s v="22-04-2026"/>
    <n v="10773"/>
    <s v="4201-06"/>
    <n v="183687"/>
    <n v="0"/>
    <s v="Municip calera de tang"/>
    <n v="183687"/>
    <s v="EERR"/>
    <n v="-183687"/>
    <x v="94"/>
  </r>
  <r>
    <n v="2026"/>
    <n v="4"/>
    <s v="30-04-2026"/>
    <n v="10758"/>
    <s v="4201-06"/>
    <n v="329129"/>
    <n v="0"/>
    <s v="Centralización compras abril 2026 - valor neto"/>
    <n v="329129"/>
    <s v="EERR"/>
    <n v="-329129"/>
    <x v="94"/>
  </r>
  <r>
    <n v="2026"/>
    <n v="5"/>
    <s v="31-05-2026"/>
    <n v="10790"/>
    <s v="4201-06"/>
    <n v="221027"/>
    <n v="0"/>
    <s v="Centralización compras mayo 2026 - valor neto"/>
    <n v="221027"/>
    <s v="EERR"/>
    <n v="-221027"/>
    <x v="94"/>
  </r>
  <r>
    <n v="2026"/>
    <n v="6"/>
    <s v="08-06-2026"/>
    <n v="7953"/>
    <s v="4201-06"/>
    <n v="25000"/>
    <n v="0"/>
    <s v="Pago vulcanizacion"/>
    <n v="25000"/>
    <s v="EERR"/>
    <n v="-25000"/>
    <x v="94"/>
  </r>
  <r>
    <n v="2026"/>
    <n v="6"/>
    <s v="30-06-2026"/>
    <n v="10798"/>
    <s v="4201-06"/>
    <n v="664893"/>
    <n v="0"/>
    <s v="Centralización compras junio 2026 - valor neto"/>
    <n v="664893"/>
    <s v="EERR"/>
    <n v="-664893"/>
    <x v="94"/>
  </r>
  <r>
    <n v="2026"/>
    <n v="7"/>
    <s v="31-07-2026"/>
    <n v="10852"/>
    <s v="4201-06"/>
    <n v="869253"/>
    <n v="0"/>
    <s v="Centralización compras julio 2026 - valor neto"/>
    <n v="869253"/>
    <s v="EERR"/>
    <n v="-869253"/>
    <x v="94"/>
  </r>
  <r>
    <n v="2026"/>
    <n v="1"/>
    <s v="31-01-2026"/>
    <n v="9814"/>
    <s v="4201-07"/>
    <n v="183959"/>
    <n v="0"/>
    <s v="Centralización compras enero 2026 - valor neto"/>
    <n v="183959"/>
    <s v="EERR"/>
    <n v="-183959"/>
    <x v="95"/>
  </r>
  <r>
    <n v="2026"/>
    <n v="2"/>
    <s v="28-02-2026"/>
    <n v="9815"/>
    <s v="4201-07"/>
    <n v="538000"/>
    <n v="0"/>
    <s v="Centralización compras febrero 2026 - valor neto"/>
    <n v="538000"/>
    <s v="EERR"/>
    <n v="-538000"/>
    <x v="95"/>
  </r>
  <r>
    <n v="2026"/>
    <n v="3"/>
    <s v="31-03-2026"/>
    <n v="10753"/>
    <s v="4201-07"/>
    <n v="114250"/>
    <n v="0"/>
    <s v="Centralización compras marzo 2026 - valor neto"/>
    <n v="114250"/>
    <s v="EERR"/>
    <n v="-114250"/>
    <x v="95"/>
  </r>
  <r>
    <n v="2026"/>
    <n v="4"/>
    <s v="30-04-2026"/>
    <n v="10758"/>
    <s v="4201-07"/>
    <n v="137050"/>
    <n v="0"/>
    <s v="Centralización compras abril 2026 - valor neto"/>
    <n v="137050"/>
    <s v="EERR"/>
    <n v="-137050"/>
    <x v="95"/>
  </r>
  <r>
    <n v="2026"/>
    <n v="5"/>
    <s v="31-05-2026"/>
    <n v="10790"/>
    <s v="4201-07"/>
    <n v="480000"/>
    <n v="0"/>
    <s v="Centralización compras mayo 2026 - valor neto"/>
    <n v="480000"/>
    <s v="EERR"/>
    <n v="-480000"/>
    <x v="95"/>
  </r>
  <r>
    <n v="2026"/>
    <n v="6"/>
    <s v="30-06-2026"/>
    <n v="10798"/>
    <s v="4201-07"/>
    <n v="103218"/>
    <n v="0"/>
    <s v="Centralización compras junio 2026 - valor neto"/>
    <n v="103218"/>
    <s v="EERR"/>
    <n v="-103218"/>
    <x v="95"/>
  </r>
  <r>
    <n v="2026"/>
    <n v="7"/>
    <s v="31-07-2026"/>
    <n v="10852"/>
    <s v="4201-07"/>
    <n v="205051"/>
    <n v="0"/>
    <s v="Centralización compras julio 2026 - valor neto"/>
    <n v="205051"/>
    <s v="EERR"/>
    <n v="-205051"/>
    <x v="95"/>
  </r>
  <r>
    <n v="2026"/>
    <n v="1"/>
    <s v="02-01-2026"/>
    <n v="8216"/>
    <s v="4201-09"/>
    <n v="43360"/>
    <n v="0"/>
    <s v="Compras nacionales arcos dorados restaura"/>
    <n v="43360"/>
    <s v="EERR"/>
    <n v="-43360"/>
    <x v="96"/>
  </r>
  <r>
    <n v="2026"/>
    <n v="1"/>
    <s v="09-01-2026"/>
    <n v="6999"/>
    <s v="4201-09"/>
    <n v="130305"/>
    <n v="0"/>
    <s v="Compra - carolina diaz"/>
    <n v="130305"/>
    <s v="EERR"/>
    <n v="-130305"/>
    <x v="96"/>
  </r>
  <r>
    <n v="2026"/>
    <n v="1"/>
    <s v="09-01-2026"/>
    <n v="7008"/>
    <s v="4201-09"/>
    <n v="27560"/>
    <n v="0"/>
    <s v="Cumpleaños mes dic"/>
    <n v="27560"/>
    <s v="EERR"/>
    <n v="-27560"/>
    <x v="96"/>
  </r>
  <r>
    <n v="2026"/>
    <n v="1"/>
    <s v="10-01-2026"/>
    <n v="8220"/>
    <s v="4201-09"/>
    <n v="24970"/>
    <n v="0"/>
    <s v="Compras nacionales munich"/>
    <n v="24970"/>
    <s v="EERR"/>
    <n v="-24970"/>
    <x v="96"/>
  </r>
  <r>
    <n v="2026"/>
    <n v="1"/>
    <s v="10-01-2026"/>
    <n v="8221"/>
    <s v="4201-09"/>
    <n v="4000"/>
    <n v="0"/>
    <s v="Compras nacionales fratelliberti spa."/>
    <n v="4000"/>
    <s v="EERR"/>
    <n v="-4000"/>
    <x v="96"/>
  </r>
  <r>
    <n v="2026"/>
    <n v="1"/>
    <s v="10-01-2026"/>
    <n v="8222"/>
    <s v="4201-09"/>
    <n v="1000"/>
    <n v="0"/>
    <s v="Compras nacionales fratelliberti spa."/>
    <n v="1000"/>
    <s v="EERR"/>
    <n v="-1000"/>
    <x v="96"/>
  </r>
  <r>
    <n v="2026"/>
    <n v="1"/>
    <s v="10-01-2026"/>
    <n v="8223"/>
    <s v="4201-09"/>
    <n v="25080"/>
    <n v="0"/>
    <s v="Compras nacionales munich"/>
    <n v="25080"/>
    <s v="EERR"/>
    <n v="-25080"/>
    <x v="96"/>
  </r>
  <r>
    <n v="2026"/>
    <n v="1"/>
    <s v="11-01-2026"/>
    <n v="8224"/>
    <s v="4201-09"/>
    <n v="1500"/>
    <n v="0"/>
    <s v="Compras nacionales fratelliberti spa."/>
    <n v="1500"/>
    <s v="EERR"/>
    <n v="-1500"/>
    <x v="96"/>
  </r>
  <r>
    <n v="2026"/>
    <n v="1"/>
    <s v="11-01-2026"/>
    <n v="8225"/>
    <s v="4201-09"/>
    <n v="3700"/>
    <n v="0"/>
    <s v="Compras nacionales merpagocooklies"/>
    <n v="3700"/>
    <s v="EERR"/>
    <n v="-3700"/>
    <x v="96"/>
  </r>
  <r>
    <n v="2026"/>
    <n v="1"/>
    <s v="11-01-2026"/>
    <n v="8226"/>
    <s v="4201-09"/>
    <n v="1500"/>
    <n v="0"/>
    <s v="Compras nacionales fratelliberti spa."/>
    <n v="1500"/>
    <s v="EERR"/>
    <n v="-1500"/>
    <x v="96"/>
  </r>
  <r>
    <n v="2026"/>
    <n v="1"/>
    <s v="11-01-2026"/>
    <n v="8227"/>
    <s v="4201-09"/>
    <n v="4000"/>
    <n v="0"/>
    <s v="Compras nacionales fratelliberti spa."/>
    <n v="4000"/>
    <s v="EERR"/>
    <n v="-4000"/>
    <x v="96"/>
  </r>
  <r>
    <n v="2026"/>
    <n v="1"/>
    <s v="12-01-2026"/>
    <n v="8228"/>
    <s v="4201-09"/>
    <n v="19840"/>
    <n v="0"/>
    <s v="Compras nacionales el tamano si importa 2"/>
    <n v="19840"/>
    <s v="EERR"/>
    <n v="-19840"/>
    <x v="96"/>
  </r>
  <r>
    <n v="2026"/>
    <n v="1"/>
    <s v="21-01-2026"/>
    <n v="8231"/>
    <s v="4201-09"/>
    <n v="68200"/>
    <n v="0"/>
    <s v="Compras nacionales comercial el cordove"/>
    <n v="68200"/>
    <s v="EERR"/>
    <n v="-68200"/>
    <x v="96"/>
  </r>
  <r>
    <n v="2026"/>
    <n v="1"/>
    <s v="23-01-2026"/>
    <n v="8232"/>
    <s v="4201-09"/>
    <n v="10000"/>
    <n v="0"/>
    <s v="Compras nacionales basualdo misto jaime p"/>
    <n v="10000"/>
    <s v="EERR"/>
    <n v="-10000"/>
    <x v="96"/>
  </r>
  <r>
    <n v="2026"/>
    <n v="1"/>
    <s v="23-01-2026"/>
    <n v="8233"/>
    <s v="4201-09"/>
    <n v="13200"/>
    <n v="0"/>
    <s v="Compras nacionales redglobael regreso"/>
    <n v="13200"/>
    <s v="EERR"/>
    <n v="-13200"/>
    <x v="96"/>
  </r>
  <r>
    <n v="2026"/>
    <n v="1"/>
    <s v="31-01-2026"/>
    <n v="9823"/>
    <s v="4201-09"/>
    <n v="23960"/>
    <n v="0"/>
    <s v="Jumbo bilbao"/>
    <n v="23960"/>
    <s v="EERR"/>
    <n v="-23960"/>
    <x v="96"/>
  </r>
  <r>
    <n v="2026"/>
    <n v="1"/>
    <s v="31-01-2026"/>
    <n v="9823"/>
    <s v="4201-09"/>
    <n v="17980"/>
    <n v="0"/>
    <s v="Mercadopago dunkin"/>
    <n v="17980"/>
    <s v="EERR"/>
    <n v="-17980"/>
    <x v="96"/>
  </r>
  <r>
    <n v="2026"/>
    <n v="1"/>
    <s v="31-01-2026"/>
    <n v="9823"/>
    <s v="4201-09"/>
    <n v="6000"/>
    <n v="0"/>
    <s v="Fratelliberti spa."/>
    <n v="6000"/>
    <s v="EERR"/>
    <n v="-6000"/>
    <x v="96"/>
  </r>
  <r>
    <n v="2026"/>
    <n v="1"/>
    <s v="31-01-2026"/>
    <n v="9823"/>
    <s v="4201-09"/>
    <n v="5000"/>
    <n v="0"/>
    <s v="Fratelliberti spa."/>
    <n v="5000"/>
    <s v="EERR"/>
    <n v="-5000"/>
    <x v="96"/>
  </r>
  <r>
    <n v="2026"/>
    <n v="1"/>
    <s v="31-01-2026"/>
    <n v="9823"/>
    <s v="4201-09"/>
    <n v="42620"/>
    <n v="0"/>
    <s v="Pedidosyananku sushi"/>
    <n v="42620"/>
    <s v="EERR"/>
    <n v="-42620"/>
    <x v="96"/>
  </r>
  <r>
    <n v="2026"/>
    <n v="2"/>
    <s v="03-02-2026"/>
    <n v="8237"/>
    <s v="4201-09"/>
    <n v="8790"/>
    <n v="0"/>
    <s v="Compras nacionales merpagocomercialtarr"/>
    <n v="8790"/>
    <s v="EERR"/>
    <n v="-8790"/>
    <x v="96"/>
  </r>
  <r>
    <n v="2026"/>
    <n v="2"/>
    <s v="03-02-2026"/>
    <n v="8238"/>
    <s v="4201-09"/>
    <n v="10200"/>
    <n v="0"/>
    <s v="Compras nacionales 31866-bk arauco chil"/>
    <n v="10200"/>
    <s v="EERR"/>
    <n v="-10200"/>
    <x v="96"/>
  </r>
  <r>
    <n v="2026"/>
    <n v="2"/>
    <s v="05-02-2026"/>
    <n v="8239"/>
    <s v="4201-09"/>
    <n v="9390"/>
    <n v="0"/>
    <s v="Compras nacionales ebenezer"/>
    <n v="9390"/>
    <s v="EERR"/>
    <n v="-9390"/>
    <x v="96"/>
  </r>
  <r>
    <n v="2026"/>
    <n v="2"/>
    <s v="05-02-2026"/>
    <n v="8240"/>
    <s v="4201-09"/>
    <n v="9390"/>
    <n v="0"/>
    <s v="Compras nacionales arcos dorados restaura"/>
    <n v="9390"/>
    <s v="EERR"/>
    <n v="-9390"/>
    <x v="96"/>
  </r>
  <r>
    <n v="2026"/>
    <n v="2"/>
    <s v="11-02-2026"/>
    <n v="8242"/>
    <s v="4201-09"/>
    <n v="50000"/>
    <n v="0"/>
    <s v="Atm nacional rbc g.a.j.m.c. 8765 la ciste"/>
    <n v="50000"/>
    <s v="EERR"/>
    <n v="-50000"/>
    <x v="96"/>
  </r>
  <r>
    <n v="2026"/>
    <n v="2"/>
    <s v="11-02-2026"/>
    <n v="8243"/>
    <s v="4201-09"/>
    <n v="145000"/>
    <n v="0"/>
    <s v="Atm nacional rbc g.a.jose m.c. 900la ciste"/>
    <n v="145000"/>
    <s v="EERR"/>
    <n v="-145000"/>
    <x v="96"/>
  </r>
  <r>
    <n v="2026"/>
    <n v="2"/>
    <s v="12-02-2026"/>
    <n v="7199"/>
    <s v="4201-09"/>
    <n v="87790"/>
    <n v="0"/>
    <s v="Compra colacion"/>
    <n v="87790"/>
    <s v="EERR"/>
    <n v="-87790"/>
    <x v="96"/>
  </r>
  <r>
    <n v="2026"/>
    <n v="2"/>
    <s v="12-02-2026"/>
    <n v="7201"/>
    <s v="4201-09"/>
    <n v="17750"/>
    <n v="0"/>
    <s v="Compra colacion"/>
    <n v="17750"/>
    <s v="EERR"/>
    <n v="-17750"/>
    <x v="96"/>
  </r>
  <r>
    <n v="2026"/>
    <n v="2"/>
    <s v="13-02-2026"/>
    <n v="8245"/>
    <s v="4201-09"/>
    <n v="9000"/>
    <n v="0"/>
    <s v="Compras nacionales ebenezer"/>
    <n v="9000"/>
    <s v="EERR"/>
    <n v="-9000"/>
    <x v="96"/>
  </r>
  <r>
    <n v="2026"/>
    <n v="2"/>
    <s v="16-02-2026"/>
    <n v="8246"/>
    <s v="4201-09"/>
    <n v="71162"/>
    <n v="0"/>
    <s v="Compras nacionales comercial lagos"/>
    <n v="71162"/>
    <s v="EERR"/>
    <n v="-71162"/>
    <x v="96"/>
  </r>
  <r>
    <n v="2026"/>
    <n v="2"/>
    <s v="24-02-2026"/>
    <n v="8249"/>
    <s v="4201-09"/>
    <n v="5250"/>
    <n v="0"/>
    <s v="Compras nacionales hiper penaflor balmace"/>
    <n v="5250"/>
    <s v="EERR"/>
    <n v="-5250"/>
    <x v="96"/>
  </r>
  <r>
    <n v="2026"/>
    <n v="2"/>
    <s v="27-02-2026"/>
    <n v="7303"/>
    <s v="4201-09"/>
    <n v="9240"/>
    <n v="0"/>
    <s v="Compra colacion"/>
    <n v="9240"/>
    <s v="EERR"/>
    <n v="-9240"/>
    <x v="96"/>
  </r>
  <r>
    <n v="2026"/>
    <n v="2"/>
    <s v="28-02-2026"/>
    <n v="10599"/>
    <s v="4201-09"/>
    <n v="15840"/>
    <n v="0"/>
    <s v="Establecimientos ali"/>
    <n v="15840"/>
    <s v="EERR"/>
    <n v="-15840"/>
    <x v="96"/>
  </r>
  <r>
    <n v="2026"/>
    <n v="2"/>
    <s v="28-02-2026"/>
    <n v="10601"/>
    <s v="4201-09"/>
    <n v="46720"/>
    <n v="0"/>
    <s v="Airbnb hmwt2mrcmj"/>
    <n v="46720"/>
    <s v="EERR"/>
    <n v="-46720"/>
    <x v="96"/>
  </r>
  <r>
    <n v="2026"/>
    <n v="2"/>
    <s v="28-02-2026"/>
    <n v="10601"/>
    <s v="4201-09"/>
    <n v="135307"/>
    <n v="0"/>
    <s v="Airbnb hma28sajxd"/>
    <n v="135307"/>
    <s v="EERR"/>
    <n v="-135307"/>
    <x v="96"/>
  </r>
  <r>
    <n v="2026"/>
    <n v="3"/>
    <s v="02-03-2026"/>
    <n v="7311"/>
    <s v="4201-09"/>
    <n v="53967"/>
    <n v="0"/>
    <s v="Compra hiper penaflor ba"/>
    <n v="53967"/>
    <s v="EERR"/>
    <n v="-53967"/>
    <x v="96"/>
  </r>
  <r>
    <n v="2026"/>
    <n v="3"/>
    <s v="03-03-2026"/>
    <n v="7314"/>
    <s v="4201-09"/>
    <n v="112492"/>
    <n v="0"/>
    <s v="Compra mercadopago papa"/>
    <n v="112492"/>
    <s v="EERR"/>
    <n v="-112492"/>
    <x v="96"/>
  </r>
  <r>
    <n v="2026"/>
    <n v="3"/>
    <s v="03-03-2026"/>
    <n v="7315"/>
    <s v="4201-09"/>
    <n v="26570"/>
    <n v="0"/>
    <s v="Compra hiper penaflor ba"/>
    <n v="26570"/>
    <s v="EERR"/>
    <n v="-26570"/>
    <x v="96"/>
  </r>
  <r>
    <n v="2026"/>
    <n v="3"/>
    <s v="04-03-2026"/>
    <n v="8251"/>
    <s v="4201-09"/>
    <n v="11980"/>
    <n v="0"/>
    <s v="Compras nacionales cugat chillan"/>
    <n v="11980"/>
    <s v="EERR"/>
    <n v="-11980"/>
    <x v="96"/>
  </r>
  <r>
    <n v="2026"/>
    <n v="3"/>
    <s v="04-03-2026"/>
    <n v="8252"/>
    <s v="4201-09"/>
    <n v="9230"/>
    <n v="0"/>
    <s v="Compras nacionales 20431 talca"/>
    <n v="9230"/>
    <s v="EERR"/>
    <n v="-9230"/>
    <x v="96"/>
  </r>
  <r>
    <n v="2026"/>
    <n v="3"/>
    <s v="05-03-2026"/>
    <n v="8253"/>
    <s v="4201-09"/>
    <n v="7070"/>
    <n v="0"/>
    <s v="Compras nacionales merpagopanentrepanes"/>
    <n v="7070"/>
    <s v="EERR"/>
    <n v="-7070"/>
    <x v="96"/>
  </r>
  <r>
    <n v="2026"/>
    <n v="3"/>
    <s v="05-03-2026"/>
    <n v="8254"/>
    <s v="4201-09"/>
    <n v="50000"/>
    <n v="0"/>
    <s v="Compras nacionales fuego divino"/>
    <n v="50000"/>
    <s v="EERR"/>
    <n v="-50000"/>
    <x v="96"/>
  </r>
  <r>
    <n v="2026"/>
    <n v="3"/>
    <s v="06-03-2026"/>
    <n v="8255"/>
    <s v="4201-09"/>
    <n v="30770"/>
    <n v="0"/>
    <s v="Compras nacionales pronto barra sn raf 20"/>
    <n v="30770"/>
    <s v="EERR"/>
    <n v="-30770"/>
    <x v="96"/>
  </r>
  <r>
    <n v="2026"/>
    <n v="3"/>
    <s v="06-03-2026"/>
    <n v="8256"/>
    <s v="4201-09"/>
    <n v="9290"/>
    <n v="0"/>
    <s v="Compras nacionales pronto barra sn raf 20"/>
    <n v="9290"/>
    <s v="EERR"/>
    <n v="-9290"/>
    <x v="96"/>
  </r>
  <r>
    <n v="2026"/>
    <n v="3"/>
    <s v="11-03-2026"/>
    <n v="8258"/>
    <s v="4201-09"/>
    <n v="14875"/>
    <n v="0"/>
    <s v="Compras nacionales comercial lagos"/>
    <n v="14875"/>
    <s v="EERR"/>
    <n v="-14875"/>
    <x v="96"/>
  </r>
  <r>
    <n v="2026"/>
    <n v="3"/>
    <s v="17-03-2026"/>
    <n v="7406"/>
    <s v="4201-09"/>
    <n v="26082"/>
    <n v="0"/>
    <s v="Compra calera de tango"/>
    <n v="26082"/>
    <s v="EERR"/>
    <n v="-26082"/>
    <x v="96"/>
  </r>
  <r>
    <n v="2026"/>
    <n v="3"/>
    <s v="24-03-2026"/>
    <n v="8264"/>
    <s v="4201-09"/>
    <n v="124000"/>
    <n v="0"/>
    <s v="Giro cajero automatico banco del estado peqaflor"/>
    <n v="124000"/>
    <s v="EERR"/>
    <n v="-124000"/>
    <x v="96"/>
  </r>
  <r>
    <n v="2026"/>
    <n v="3"/>
    <s v="25-03-2026"/>
    <n v="8265"/>
    <s v="4201-09"/>
    <n v="73000"/>
    <n v="0"/>
    <s v="Compras nacionales merpagojuanguillermo"/>
    <n v="73000"/>
    <s v="EERR"/>
    <n v="-73000"/>
    <x v="96"/>
  </r>
  <r>
    <n v="2026"/>
    <n v="3"/>
    <s v="31-03-2026"/>
    <n v="7464"/>
    <s v="4201-09"/>
    <n v="4000"/>
    <n v="0"/>
    <s v="Compra santa isabel tala"/>
    <n v="4000"/>
    <s v="EERR"/>
    <n v="-4000"/>
    <x v="96"/>
  </r>
  <r>
    <n v="2026"/>
    <n v="3"/>
    <s v="31-03-2026"/>
    <n v="10749"/>
    <s v="4201-09"/>
    <n v="94952"/>
    <n v="0"/>
    <s v="Restaurante talacanta"/>
    <n v="94952"/>
    <s v="EERR"/>
    <n v="-94952"/>
    <x v="96"/>
  </r>
  <r>
    <n v="2026"/>
    <n v="3"/>
    <s v="31-03-2026"/>
    <n v="10750"/>
    <s v="4201-09"/>
    <n v="123808"/>
    <n v="0"/>
    <s v="Airbnb hm3jxysx4k"/>
    <n v="123808"/>
    <s v="EERR"/>
    <n v="-123808"/>
    <x v="96"/>
  </r>
  <r>
    <n v="2026"/>
    <n v="3"/>
    <s v="31-03-2026"/>
    <n v="10750"/>
    <s v="4201-09"/>
    <n v="102785"/>
    <n v="0"/>
    <s v="Airbnb hmnh5wsat9"/>
    <n v="102785"/>
    <s v="EERR"/>
    <n v="-102785"/>
    <x v="96"/>
  </r>
  <r>
    <n v="2026"/>
    <n v="3"/>
    <s v="31-03-2026"/>
    <n v="10750"/>
    <s v="4201-09"/>
    <n v="102783"/>
    <n v="0"/>
    <s v="Airbnb hmnh5wsat9"/>
    <n v="102783"/>
    <s v="EERR"/>
    <n v="-102783"/>
    <x v="96"/>
  </r>
  <r>
    <n v="2026"/>
    <n v="3"/>
    <s v="31-03-2026"/>
    <n v="10750"/>
    <s v="4201-09"/>
    <n v="290832"/>
    <n v="0"/>
    <s v="Airbnb hmfxnszt55"/>
    <n v="290832"/>
    <s v="EERR"/>
    <n v="-290832"/>
    <x v="96"/>
  </r>
  <r>
    <n v="2026"/>
    <n v="4"/>
    <s v="01-04-2026"/>
    <n v="7485"/>
    <s v="4201-09"/>
    <n v="63721"/>
    <n v="0"/>
    <s v="Compra hiper penaflor ba"/>
    <n v="63721"/>
    <s v="EERR"/>
    <n v="-63721"/>
    <x v="96"/>
  </r>
  <r>
    <n v="2026"/>
    <n v="4"/>
    <s v="01-04-2026"/>
    <n v="7486"/>
    <s v="4201-09"/>
    <n v="5300"/>
    <n v="0"/>
    <s v="Compra mall chino"/>
    <n v="5300"/>
    <s v="EERR"/>
    <n v="-5300"/>
    <x v="96"/>
  </r>
  <r>
    <n v="2026"/>
    <n v="4"/>
    <s v="01-04-2026"/>
    <n v="8266"/>
    <s v="4201-09"/>
    <n v="10000"/>
    <n v="0"/>
    <s v="Giro cajero automatico banco del estado melipill"/>
    <n v="10000"/>
    <s v="EERR"/>
    <n v="-10000"/>
    <x v="96"/>
  </r>
  <r>
    <n v="2026"/>
    <n v="4"/>
    <s v="06-04-2026"/>
    <n v="7505"/>
    <s v="4201-09"/>
    <n v="14170"/>
    <n v="0"/>
    <s v="Compra hip lider gran av"/>
    <n v="14170"/>
    <s v="EERR"/>
    <n v="-14170"/>
    <x v="96"/>
  </r>
  <r>
    <n v="2026"/>
    <n v="4"/>
    <s v="06-04-2026"/>
    <n v="7506"/>
    <s v="4201-09"/>
    <n v="2400"/>
    <n v="0"/>
    <s v="Compra tuuopas kaffee"/>
    <n v="2400"/>
    <s v="EERR"/>
    <n v="-2400"/>
    <x v="96"/>
  </r>
  <r>
    <n v="2026"/>
    <n v="4"/>
    <s v="08-04-2026"/>
    <n v="7527"/>
    <s v="4201-09"/>
    <n v="122257"/>
    <n v="0"/>
    <s v="Compra hiper penaflor ba"/>
    <n v="122257"/>
    <s v="EERR"/>
    <n v="-122257"/>
    <x v="96"/>
  </r>
  <r>
    <n v="2026"/>
    <n v="4"/>
    <s v="09-04-2026"/>
    <n v="8268"/>
    <s v="4201-09"/>
    <n v="47416"/>
    <n v="0"/>
    <s v="Compras nacionales hc san antonio"/>
    <n v="47416"/>
    <s v="EERR"/>
    <n v="-47416"/>
    <x v="96"/>
  </r>
  <r>
    <n v="2026"/>
    <n v="4"/>
    <s v="09-04-2026"/>
    <n v="8269"/>
    <s v="4201-09"/>
    <n v="15000"/>
    <n v="0"/>
    <s v="Compras nacionales inversiones 4b spa"/>
    <n v="15000"/>
    <s v="EERR"/>
    <n v="-15000"/>
    <x v="96"/>
  </r>
  <r>
    <n v="2026"/>
    <n v="4"/>
    <s v="10-04-2026"/>
    <n v="8271"/>
    <s v="4201-09"/>
    <n v="16580"/>
    <n v="0"/>
    <s v="Compras nacionales arcos dorados res chi"/>
    <n v="16580"/>
    <s v="EERR"/>
    <n v="-16580"/>
    <x v="96"/>
  </r>
  <r>
    <n v="2026"/>
    <n v="4"/>
    <s v="22-04-2026"/>
    <n v="10773"/>
    <s v="4201-09"/>
    <n v="49280"/>
    <n v="0"/>
    <s v="Del beto restorant pro"/>
    <n v="49280"/>
    <s v="EERR"/>
    <n v="-49280"/>
    <x v="96"/>
  </r>
  <r>
    <n v="2026"/>
    <n v="4"/>
    <s v="22-04-2026"/>
    <n v="10774"/>
    <s v="4201-09"/>
    <n v="91630"/>
    <n v="0"/>
    <s v="Restaurante talacanta"/>
    <n v="91630"/>
    <s v="EERR"/>
    <n v="-91630"/>
    <x v="96"/>
  </r>
  <r>
    <n v="2026"/>
    <n v="4"/>
    <s v="22-04-2026"/>
    <n v="10774"/>
    <s v="4201-09"/>
    <n v="21912"/>
    <n v="0"/>
    <s v="Hiper penaflor balmace"/>
    <n v="21912"/>
    <s v="EERR"/>
    <n v="-21912"/>
    <x v="96"/>
  </r>
  <r>
    <n v="2026"/>
    <n v="4"/>
    <s v="22-04-2026"/>
    <n v="10775"/>
    <s v="4201-09"/>
    <n v="73351"/>
    <n v="0"/>
    <s v="Airbnb hmynsdkhnc"/>
    <n v="73351"/>
    <s v="EERR"/>
    <n v="-73351"/>
    <x v="96"/>
  </r>
  <r>
    <n v="2026"/>
    <n v="4"/>
    <s v="22-04-2026"/>
    <n v="10775"/>
    <s v="4201-09"/>
    <n v="67744"/>
    <n v="0"/>
    <s v="Airbnb hmn4h9cwp4"/>
    <n v="67744"/>
    <s v="EERR"/>
    <n v="-67744"/>
    <x v="96"/>
  </r>
  <r>
    <n v="2026"/>
    <n v="4"/>
    <s v="23-04-2026"/>
    <n v="8275"/>
    <s v="4201-09"/>
    <n v="90310"/>
    <n v="0"/>
    <s v="Compras nacionales il delicious ser. ga"/>
    <n v="90310"/>
    <s v="EERR"/>
    <n v="-90310"/>
    <x v="96"/>
  </r>
  <r>
    <n v="2026"/>
    <n v="4"/>
    <s v="24-04-2026"/>
    <n v="7645"/>
    <s v="4201-09"/>
    <n v="51072"/>
    <n v="0"/>
    <s v="Compra hiper penaflor ba"/>
    <n v="51072"/>
    <s v="EERR"/>
    <n v="-51072"/>
    <x v="96"/>
  </r>
  <r>
    <n v="2026"/>
    <n v="4"/>
    <s v="26-04-2026"/>
    <n v="8276"/>
    <s v="4201-09"/>
    <n v="11480"/>
    <n v="0"/>
    <s v="Compras nacionales k164 penaflor"/>
    <n v="11480"/>
    <s v="EERR"/>
    <n v="-11480"/>
    <x v="96"/>
  </r>
  <r>
    <n v="2026"/>
    <n v="4"/>
    <s v="27-04-2026"/>
    <n v="7658"/>
    <s v="4201-09"/>
    <n v="100924"/>
    <n v="0"/>
    <s v="Compra hiper penaflor ba"/>
    <n v="100924"/>
    <s v="EERR"/>
    <n v="-100924"/>
    <x v="96"/>
  </r>
  <r>
    <n v="2026"/>
    <n v="4"/>
    <s v="27-04-2026"/>
    <n v="8277"/>
    <s v="4201-09"/>
    <n v="130900"/>
    <n v="0"/>
    <s v="Compras nacionales master glass limitada"/>
    <n v="130900"/>
    <s v="EERR"/>
    <n v="-130900"/>
    <x v="96"/>
  </r>
  <r>
    <n v="2026"/>
    <n v="4"/>
    <s v="30-04-2026"/>
    <n v="7674"/>
    <s v="4201-09"/>
    <n v="110458"/>
    <n v="0"/>
    <s v="Compra hiper penaflor ba"/>
    <n v="110458"/>
    <s v="EERR"/>
    <n v="-110458"/>
    <x v="96"/>
  </r>
  <r>
    <n v="2026"/>
    <n v="4"/>
    <s v="30-04-2026"/>
    <n v="7675"/>
    <s v="4201-09"/>
    <n v="36050"/>
    <n v="0"/>
    <s v="Compra hiper penaflor ba"/>
    <n v="36050"/>
    <s v="EERR"/>
    <n v="-36050"/>
    <x v="96"/>
  </r>
  <r>
    <n v="2026"/>
    <n v="4"/>
    <s v="30-04-2026"/>
    <n v="7676"/>
    <s v="4201-09"/>
    <n v="19050"/>
    <n v="0"/>
    <s v="Compra hiper penaflor ba"/>
    <n v="19050"/>
    <s v="EERR"/>
    <n v="-19050"/>
    <x v="96"/>
  </r>
  <r>
    <n v="2026"/>
    <n v="5"/>
    <s v="08-05-2026"/>
    <n v="7769"/>
    <s v="4201-09"/>
    <n v="109107"/>
    <n v="0"/>
    <s v="Compra hiper penaflor ba"/>
    <n v="109107"/>
    <s v="EERR"/>
    <n v="-109107"/>
    <x v="96"/>
  </r>
  <r>
    <n v="2026"/>
    <n v="5"/>
    <s v="20-05-2026"/>
    <n v="7832"/>
    <s v="4201-09"/>
    <n v="86131"/>
    <n v="0"/>
    <s v="Compra hiper penaflor ba"/>
    <n v="86131"/>
    <s v="EERR"/>
    <n v="-86131"/>
    <x v="96"/>
  </r>
  <r>
    <n v="2026"/>
    <n v="5"/>
    <s v="25-05-2026"/>
    <n v="10786"/>
    <s v="4201-09"/>
    <n v="112420"/>
    <n v="0"/>
    <s v="Tanta parque"/>
    <n v="112420"/>
    <s v="EERR"/>
    <n v="-112420"/>
    <x v="96"/>
  </r>
  <r>
    <n v="2026"/>
    <n v="5"/>
    <s v="25-05-2026"/>
    <n v="10786"/>
    <s v="4201-09"/>
    <n v="4550"/>
    <n v="0"/>
    <s v="Saba arauco kennedy"/>
    <n v="4550"/>
    <s v="EERR"/>
    <n v="-4550"/>
    <x v="96"/>
  </r>
  <r>
    <n v="2026"/>
    <n v="5"/>
    <s v="25-05-2026"/>
    <n v="10786"/>
    <s v="4201-09"/>
    <n v="82940"/>
    <n v="0"/>
    <s v="Munich"/>
    <n v="82940"/>
    <s v="EERR"/>
    <n v="-82940"/>
    <x v="96"/>
  </r>
  <r>
    <n v="2026"/>
    <n v="5"/>
    <s v="25-05-2026"/>
    <n v="10786"/>
    <s v="4201-09"/>
    <n v="12089"/>
    <n v="0"/>
    <s v="Redglobael buen cafe"/>
    <n v="12089"/>
    <s v="EERR"/>
    <n v="-12089"/>
    <x v="96"/>
  </r>
  <r>
    <n v="2026"/>
    <n v="5"/>
    <s v="25-05-2026"/>
    <n v="10786"/>
    <s v="4201-09"/>
    <n v="2300"/>
    <n v="0"/>
    <s v="Saba ciudadania"/>
    <n v="2300"/>
    <s v="EERR"/>
    <n v="-2300"/>
    <x v="96"/>
  </r>
  <r>
    <n v="2026"/>
    <n v="5"/>
    <s v="25-05-2026"/>
    <n v="10786"/>
    <s v="4201-09"/>
    <n v="2700"/>
    <n v="0"/>
    <s v="Incova"/>
    <n v="2700"/>
    <s v="EERR"/>
    <n v="-2700"/>
    <x v="96"/>
  </r>
  <r>
    <n v="2026"/>
    <n v="5"/>
    <s v="25-05-2026"/>
    <n v="10786"/>
    <s v="4201-09"/>
    <n v="3700"/>
    <n v="0"/>
    <s v="Incova"/>
    <n v="3700"/>
    <s v="EERR"/>
    <n v="-3700"/>
    <x v="96"/>
  </r>
  <r>
    <n v="2026"/>
    <n v="5"/>
    <s v="25-05-2026"/>
    <n v="10786"/>
    <s v="4201-09"/>
    <n v="39600"/>
    <n v="0"/>
    <s v="La greda"/>
    <n v="39600"/>
    <s v="EERR"/>
    <n v="-39600"/>
    <x v="96"/>
  </r>
  <r>
    <n v="2026"/>
    <n v="5"/>
    <s v="28-05-2026"/>
    <n v="7853"/>
    <s v="4201-09"/>
    <n v="4000"/>
    <n v="0"/>
    <s v="Compra comercial don teo"/>
    <n v="4000"/>
    <s v="EERR"/>
    <n v="-4000"/>
    <x v="96"/>
  </r>
  <r>
    <n v="2026"/>
    <n v="6"/>
    <s v="03-06-2026"/>
    <n v="7965"/>
    <s v="4201-09"/>
    <n v="24230"/>
    <n v="0"/>
    <s v="Compra hiper penaflor ba"/>
    <n v="24230"/>
    <s v="EERR"/>
    <n v="-24230"/>
    <x v="96"/>
  </r>
  <r>
    <n v="2026"/>
    <n v="6"/>
    <s v="04-06-2026"/>
    <n v="7964"/>
    <s v="4201-09"/>
    <n v="20079"/>
    <n v="0"/>
    <s v="Compra hiper penaflor ba"/>
    <n v="20079"/>
    <s v="EERR"/>
    <n v="-20079"/>
    <x v="96"/>
  </r>
  <r>
    <n v="2026"/>
    <n v="6"/>
    <s v="10-06-2026"/>
    <n v="7948"/>
    <s v="4201-09"/>
    <n v="58950"/>
    <n v="0"/>
    <s v="Compra hiper penaflor ba"/>
    <n v="58950"/>
    <s v="EERR"/>
    <n v="-58950"/>
    <x v="96"/>
  </r>
  <r>
    <n v="2026"/>
    <n v="6"/>
    <s v="11-06-2026"/>
    <n v="7938"/>
    <s v="4201-09"/>
    <n v="2790"/>
    <n v="0"/>
    <s v="Compra mc donalds 4 04"/>
    <n v="2790"/>
    <s v="EERR"/>
    <n v="-2790"/>
    <x v="96"/>
  </r>
  <r>
    <n v="2026"/>
    <n v="6"/>
    <s v="11-06-2026"/>
    <n v="8288"/>
    <s v="4201-09"/>
    <n v="104720"/>
    <n v="0"/>
    <s v="Compras nacionales mercadopago ulk"/>
    <n v="104720"/>
    <s v="EERR"/>
    <n v="-104720"/>
    <x v="96"/>
  </r>
  <r>
    <n v="2026"/>
    <n v="6"/>
    <s v="11-06-2026"/>
    <n v="12592"/>
    <s v="4201-09"/>
    <n v="0"/>
    <n v="2790"/>
    <s v="013473812k transf. patricio daniel diazvaldes escobar"/>
    <n v="-2790"/>
    <s v="EERR"/>
    <n v="2790"/>
    <x v="96"/>
  </r>
  <r>
    <n v="2026"/>
    <n v="6"/>
    <s v="15-06-2026"/>
    <n v="7935"/>
    <s v="4201-09"/>
    <n v="9160"/>
    <n v="0"/>
    <s v="Compra colacion"/>
    <n v="9160"/>
    <s v="EERR"/>
    <n v="-9160"/>
    <x v="96"/>
  </r>
  <r>
    <n v="2026"/>
    <n v="6"/>
    <s v="16-06-2026"/>
    <n v="7933"/>
    <s v="4201-09"/>
    <n v="76142"/>
    <n v="0"/>
    <s v="Colaciones"/>
    <n v="76142"/>
    <s v="EERR"/>
    <n v="-76142"/>
    <x v="96"/>
  </r>
  <r>
    <n v="2026"/>
    <n v="6"/>
    <s v="23-06-2026"/>
    <n v="10804"/>
    <s v="4201-09"/>
    <n v="177958"/>
    <n v="0"/>
    <s v="Saba arauco kennedy - cuota 0612"/>
    <n v="177958"/>
    <s v="EERR"/>
    <n v="-177958"/>
    <x v="96"/>
  </r>
  <r>
    <n v="2026"/>
    <n v="6"/>
    <s v="23-06-2026"/>
    <n v="10804"/>
    <s v="4201-09"/>
    <n v="123090"/>
    <n v="0"/>
    <s v="Nolita lastarria"/>
    <n v="123090"/>
    <s v="EERR"/>
    <n v="-123090"/>
    <x v="96"/>
  </r>
  <r>
    <n v="2026"/>
    <n v="6"/>
    <s v="23-06-2026"/>
    <n v="10804"/>
    <s v="4201-09"/>
    <n v="28908"/>
    <n v="0"/>
    <s v="Nueva las condes"/>
    <n v="28908"/>
    <s v="EERR"/>
    <n v="-28908"/>
    <x v="96"/>
  </r>
  <r>
    <n v="2026"/>
    <n v="6"/>
    <s v="23-06-2026"/>
    <n v="10804"/>
    <s v="4201-09"/>
    <n v="5150"/>
    <n v="0"/>
    <s v="Terraza san cristobal"/>
    <n v="5150"/>
    <s v="EERR"/>
    <n v="-5150"/>
    <x v="96"/>
  </r>
  <r>
    <n v="2026"/>
    <n v="6"/>
    <s v="23-06-2026"/>
    <n v="10804"/>
    <s v="4201-09"/>
    <n v="64350"/>
    <n v="0"/>
    <s v="Munich"/>
    <n v="64350"/>
    <s v="EERR"/>
    <n v="-64350"/>
    <x v="96"/>
  </r>
  <r>
    <n v="2026"/>
    <n v="6"/>
    <s v="23-06-2026"/>
    <n v="10804"/>
    <s v="4201-09"/>
    <n v="96019"/>
    <n v="0"/>
    <s v="Redglobala jovita"/>
    <n v="96019"/>
    <s v="EERR"/>
    <n v="-96019"/>
    <x v="96"/>
  </r>
  <r>
    <n v="2026"/>
    <n v="6"/>
    <s v="23-06-2026"/>
    <n v="10804"/>
    <s v="4201-09"/>
    <n v="21360"/>
    <n v="0"/>
    <s v="Hiper penaflor balmace"/>
    <n v="21360"/>
    <s v="EERR"/>
    <n v="-21360"/>
    <x v="96"/>
  </r>
  <r>
    <n v="2026"/>
    <n v="6"/>
    <s v="23-06-2026"/>
    <n v="10804"/>
    <s v="4201-09"/>
    <n v="24300"/>
    <n v="0"/>
    <s v="21968-bk plaza sur"/>
    <n v="24300"/>
    <s v="EERR"/>
    <n v="-24300"/>
    <x v="96"/>
  </r>
  <r>
    <n v="2026"/>
    <n v="6"/>
    <s v="23-06-2026"/>
    <n v="10804"/>
    <s v="4201-09"/>
    <n v="7200"/>
    <n v="0"/>
    <s v="21968-bk plaza sur"/>
    <n v="7200"/>
    <s v="EERR"/>
    <n v="-7200"/>
    <x v="96"/>
  </r>
  <r>
    <n v="2026"/>
    <n v="6"/>
    <s v="23-06-2026"/>
    <n v="10804"/>
    <s v="4201-09"/>
    <n v="27579"/>
    <n v="0"/>
    <s v="Hiper penaflor balmace"/>
    <n v="27579"/>
    <s v="EERR"/>
    <n v="-27579"/>
    <x v="96"/>
  </r>
  <r>
    <n v="2026"/>
    <n v="6"/>
    <s v="23-06-2026"/>
    <n v="10805"/>
    <s v="4201-09"/>
    <n v="86550"/>
    <n v="0"/>
    <s v="Arcos dorados restaura"/>
    <n v="86550"/>
    <s v="EERR"/>
    <n v="-86550"/>
    <x v="96"/>
  </r>
  <r>
    <n v="2026"/>
    <n v="6"/>
    <s v="23-06-2026"/>
    <n v="10805"/>
    <s v="4201-09"/>
    <n v="47055"/>
    <n v="0"/>
    <s v="Hiper penaflor balmace"/>
    <n v="47055"/>
    <s v="EERR"/>
    <n v="-47055"/>
    <x v="96"/>
  </r>
  <r>
    <n v="2026"/>
    <n v="6"/>
    <s v="23-06-2026"/>
    <n v="10805"/>
    <s v="4201-09"/>
    <n v="84150"/>
    <n v="0"/>
    <s v="Restaurante le grand"/>
    <n v="84150"/>
    <s v="EERR"/>
    <n v="-84150"/>
    <x v="96"/>
  </r>
  <r>
    <n v="2026"/>
    <n v="6"/>
    <s v="23-06-2026"/>
    <n v="10805"/>
    <s v="4201-09"/>
    <n v="145275"/>
    <n v="0"/>
    <s v="Mercadopago papajohn"/>
    <n v="145275"/>
    <s v="EERR"/>
    <n v="-145275"/>
    <x v="96"/>
  </r>
  <r>
    <n v="2026"/>
    <n v="6"/>
    <s v="23-06-2026"/>
    <n v="10805"/>
    <s v="4201-09"/>
    <n v="34990"/>
    <n v="0"/>
    <s v="Hiper penaflor balmace"/>
    <n v="34990"/>
    <s v="EERR"/>
    <n v="-34990"/>
    <x v="96"/>
  </r>
  <r>
    <n v="2026"/>
    <n v="6"/>
    <s v="23-06-2026"/>
    <n v="10805"/>
    <s v="4201-09"/>
    <n v="105230"/>
    <n v="0"/>
    <s v="Arcos dorados restaura"/>
    <n v="105230"/>
    <s v="EERR"/>
    <n v="-105230"/>
    <x v="96"/>
  </r>
  <r>
    <n v="2026"/>
    <n v="6"/>
    <s v="23-06-2026"/>
    <n v="10805"/>
    <s v="4201-09"/>
    <n v="20000"/>
    <n v="0"/>
    <s v="Shell file 559 las bri"/>
    <n v="20000"/>
    <s v="EERR"/>
    <n v="-20000"/>
    <x v="96"/>
  </r>
  <r>
    <n v="2026"/>
    <n v="6"/>
    <s v="23-06-2026"/>
    <n v="10806"/>
    <s v="4201-09"/>
    <n v="109208"/>
    <n v="0"/>
    <s v="Airbnb hm58zc9cn4"/>
    <n v="109208"/>
    <s v="EERR"/>
    <n v="-109208"/>
    <x v="96"/>
  </r>
  <r>
    <n v="2026"/>
    <n v="6"/>
    <s v="23-06-2026"/>
    <n v="10806"/>
    <s v="4201-09"/>
    <n v="57232"/>
    <n v="0"/>
    <s v="Airbnb hmp9sj2kfq"/>
    <n v="57232"/>
    <s v="EERR"/>
    <n v="-57232"/>
    <x v="96"/>
  </r>
  <r>
    <n v="2026"/>
    <n v="6"/>
    <s v="24-06-2026"/>
    <n v="7915"/>
    <s v="4201-09"/>
    <n v="6600"/>
    <n v="0"/>
    <s v="Colacion proyecto chillan"/>
    <n v="6600"/>
    <s v="EERR"/>
    <n v="-6600"/>
    <x v="96"/>
  </r>
  <r>
    <n v="2026"/>
    <n v="6"/>
    <s v="30-06-2026"/>
    <n v="10798"/>
    <s v="4201-09"/>
    <n v="339612"/>
    <n v="0"/>
    <s v="Centralización compras junio 2026 - valor neto"/>
    <n v="339612"/>
    <s v="EERR"/>
    <n v="-339612"/>
    <x v="96"/>
  </r>
  <r>
    <n v="2026"/>
    <n v="7"/>
    <s v="01-07-2026"/>
    <n v="8601"/>
    <s v="4201-09"/>
    <n v="113520"/>
    <n v="0"/>
    <s v="Colacion"/>
    <n v="113520"/>
    <s v="EERR"/>
    <n v="-113520"/>
    <x v="96"/>
  </r>
  <r>
    <n v="2026"/>
    <n v="7"/>
    <s v="10-07-2026"/>
    <n v="8608"/>
    <s v="4201-09"/>
    <n v="13308"/>
    <n v="0"/>
    <s v="Colacion"/>
    <n v="13308"/>
    <s v="EERR"/>
    <n v="-13308"/>
    <x v="96"/>
  </r>
  <r>
    <n v="2026"/>
    <n v="7"/>
    <s v="10-07-2026"/>
    <n v="8624"/>
    <s v="4201-09"/>
    <n v="12580"/>
    <n v="0"/>
    <s v="Colacion"/>
    <n v="12580"/>
    <s v="EERR"/>
    <n v="-12580"/>
    <x v="96"/>
  </r>
  <r>
    <n v="2026"/>
    <n v="7"/>
    <s v="12-07-2026"/>
    <n v="8609"/>
    <s v="4201-09"/>
    <n v="40000"/>
    <n v="0"/>
    <s v="Colacion"/>
    <n v="40000"/>
    <s v="EERR"/>
    <n v="-40000"/>
    <x v="96"/>
  </r>
  <r>
    <n v="2026"/>
    <n v="7"/>
    <s v="20-07-2026"/>
    <n v="8613"/>
    <s v="4201-09"/>
    <n v="24723"/>
    <n v="0"/>
    <s v="Colacion"/>
    <n v="24723"/>
    <s v="EERR"/>
    <n v="-24723"/>
    <x v="96"/>
  </r>
  <r>
    <n v="2026"/>
    <n v="7"/>
    <s v="20-07-2026"/>
    <n v="8614"/>
    <s v="4201-09"/>
    <n v="9890"/>
    <n v="0"/>
    <s v="Colacion"/>
    <n v="9890"/>
    <s v="EERR"/>
    <n v="-9890"/>
    <x v="96"/>
  </r>
  <r>
    <n v="2026"/>
    <n v="7"/>
    <s v="21-07-2026"/>
    <n v="8545"/>
    <s v="4201-09"/>
    <n v="55283"/>
    <n v="0"/>
    <s v="Colaciones"/>
    <n v="55283"/>
    <s v="EERR"/>
    <n v="-55283"/>
    <x v="96"/>
  </r>
  <r>
    <n v="2026"/>
    <n v="7"/>
    <s v="21-07-2026"/>
    <n v="8546"/>
    <s v="4201-09"/>
    <n v="3590"/>
    <n v="0"/>
    <s v="Colaciones"/>
    <n v="3590"/>
    <s v="EERR"/>
    <n v="-3590"/>
    <x v="96"/>
  </r>
  <r>
    <n v="2026"/>
    <n v="7"/>
    <s v="23-07-2026"/>
    <n v="8588"/>
    <s v="4201-09"/>
    <n v="25190"/>
    <n v="0"/>
    <s v="Colacion"/>
    <n v="25190"/>
    <s v="EERR"/>
    <n v="-25190"/>
    <x v="96"/>
  </r>
  <r>
    <n v="2026"/>
    <n v="7"/>
    <s v="23-07-2026"/>
    <n v="8591"/>
    <s v="4201-09"/>
    <n v="64370"/>
    <n v="0"/>
    <s v="Colacion"/>
    <n v="64370"/>
    <s v="EERR"/>
    <n v="-64370"/>
    <x v="96"/>
  </r>
  <r>
    <n v="2026"/>
    <n v="7"/>
    <s v="23-07-2026"/>
    <n v="8594"/>
    <s v="4201-09"/>
    <n v="9070"/>
    <n v="0"/>
    <s v="Colacion"/>
    <n v="9070"/>
    <s v="EERR"/>
    <n v="-9070"/>
    <x v="96"/>
  </r>
  <r>
    <n v="2026"/>
    <n v="7"/>
    <s v="23-07-2026"/>
    <n v="8619"/>
    <s v="4201-09"/>
    <n v="40000"/>
    <n v="0"/>
    <s v="Colacion"/>
    <n v="40000"/>
    <s v="EERR"/>
    <n v="-40000"/>
    <x v="96"/>
  </r>
  <r>
    <n v="2026"/>
    <n v="7"/>
    <s v="23-07-2026"/>
    <n v="8622"/>
    <s v="4201-09"/>
    <n v="82547"/>
    <n v="0"/>
    <s v="Colacion"/>
    <n v="82547"/>
    <s v="EERR"/>
    <n v="-82547"/>
    <x v="96"/>
  </r>
  <r>
    <n v="2026"/>
    <n v="7"/>
    <s v="23-07-2026"/>
    <n v="8634"/>
    <s v="4201-09"/>
    <n v="109487"/>
    <n v="0"/>
    <s v="Alojamiento chillan"/>
    <n v="109487"/>
    <s v="EERR"/>
    <n v="-109487"/>
    <x v="96"/>
  </r>
  <r>
    <n v="2026"/>
    <n v="7"/>
    <s v="30-07-2026"/>
    <n v="8576"/>
    <s v="4201-09"/>
    <n v="120879"/>
    <n v="0"/>
    <s v="Compra colaciones"/>
    <n v="120879"/>
    <s v="EERR"/>
    <n v="-120879"/>
    <x v="96"/>
  </r>
  <r>
    <n v="2026"/>
    <n v="7"/>
    <s v="31-07-2026"/>
    <n v="8669"/>
    <s v="4201-09"/>
    <n v="7300"/>
    <n v="0"/>
    <s v="Colacion"/>
    <n v="7300"/>
    <s v="EERR"/>
    <n v="-7300"/>
    <x v="96"/>
  </r>
  <r>
    <n v="2026"/>
    <n v="7"/>
    <s v="31-07-2026"/>
    <n v="8669"/>
    <s v="4201-09"/>
    <n v="9500"/>
    <n v="0"/>
    <s v="Colacion"/>
    <n v="9500"/>
    <s v="EERR"/>
    <n v="-9500"/>
    <x v="96"/>
  </r>
  <r>
    <n v="2026"/>
    <n v="7"/>
    <s v="31-07-2026"/>
    <n v="8669"/>
    <s v="4201-09"/>
    <n v="9500"/>
    <n v="0"/>
    <s v="Colacion"/>
    <n v="9500"/>
    <s v="EERR"/>
    <n v="-9500"/>
    <x v="96"/>
  </r>
  <r>
    <n v="2026"/>
    <n v="7"/>
    <s v="31-07-2026"/>
    <n v="8669"/>
    <s v="4201-09"/>
    <n v="9990"/>
    <n v="0"/>
    <s v="Colacion"/>
    <n v="9990"/>
    <s v="EERR"/>
    <n v="-9990"/>
    <x v="96"/>
  </r>
  <r>
    <n v="2026"/>
    <n v="7"/>
    <s v="31-07-2026"/>
    <n v="8669"/>
    <s v="4201-09"/>
    <n v="68404"/>
    <n v="0"/>
    <s v="Colacion"/>
    <n v="68404"/>
    <s v="EERR"/>
    <n v="-68404"/>
    <x v="96"/>
  </r>
  <r>
    <n v="2026"/>
    <n v="7"/>
    <s v="31-07-2026"/>
    <n v="8669"/>
    <s v="4201-09"/>
    <n v="10350"/>
    <n v="0"/>
    <s v="Colacion"/>
    <n v="10350"/>
    <s v="EERR"/>
    <n v="-10350"/>
    <x v="96"/>
  </r>
  <r>
    <n v="2026"/>
    <n v="7"/>
    <s v="31-07-2026"/>
    <n v="8669"/>
    <s v="4201-09"/>
    <n v="2590"/>
    <n v="0"/>
    <s v="Colacion"/>
    <n v="2590"/>
    <s v="EERR"/>
    <n v="-2590"/>
    <x v="96"/>
  </r>
  <r>
    <n v="2026"/>
    <n v="7"/>
    <s v="31-07-2026"/>
    <n v="8669"/>
    <s v="4201-09"/>
    <n v="30000"/>
    <n v="0"/>
    <s v="Colacion"/>
    <n v="30000"/>
    <s v="EERR"/>
    <n v="-30000"/>
    <x v="96"/>
  </r>
  <r>
    <n v="2026"/>
    <n v="7"/>
    <s v="31-07-2026"/>
    <n v="8669"/>
    <s v="4201-09"/>
    <n v="29790"/>
    <n v="0"/>
    <s v="Colacion"/>
    <n v="29790"/>
    <s v="EERR"/>
    <n v="-29790"/>
    <x v="96"/>
  </r>
  <r>
    <n v="2026"/>
    <n v="7"/>
    <s v="31-07-2026"/>
    <n v="8669"/>
    <s v="4201-09"/>
    <n v="29360"/>
    <n v="0"/>
    <s v="Colacion"/>
    <n v="29360"/>
    <s v="EERR"/>
    <n v="-29360"/>
    <x v="96"/>
  </r>
  <r>
    <n v="2026"/>
    <n v="7"/>
    <s v="31-07-2026"/>
    <n v="8669"/>
    <s v="4201-09"/>
    <n v="8700"/>
    <n v="0"/>
    <s v="Colacion"/>
    <n v="8700"/>
    <s v="EERR"/>
    <n v="-8700"/>
    <x v="96"/>
  </r>
  <r>
    <n v="2026"/>
    <n v="7"/>
    <s v="31-07-2026"/>
    <n v="8669"/>
    <s v="4201-09"/>
    <n v="30300"/>
    <n v="0"/>
    <s v="Colacion"/>
    <n v="30300"/>
    <s v="EERR"/>
    <n v="-30300"/>
    <x v="96"/>
  </r>
  <r>
    <n v="2026"/>
    <n v="7"/>
    <s v="31-07-2026"/>
    <n v="8669"/>
    <s v="4201-09"/>
    <n v="20000"/>
    <n v="0"/>
    <s v="Colacion"/>
    <n v="20000"/>
    <s v="EERR"/>
    <n v="-20000"/>
    <x v="96"/>
  </r>
  <r>
    <n v="2026"/>
    <n v="7"/>
    <s v="31-07-2026"/>
    <n v="8669"/>
    <s v="4201-09"/>
    <n v="29700"/>
    <n v="0"/>
    <s v="Colacion"/>
    <n v="29700"/>
    <s v="EERR"/>
    <n v="-29700"/>
    <x v="96"/>
  </r>
  <r>
    <n v="2026"/>
    <n v="7"/>
    <s v="31-07-2026"/>
    <n v="8669"/>
    <s v="4201-09"/>
    <n v="5200"/>
    <n v="0"/>
    <s v="Compra colacion"/>
    <n v="5200"/>
    <s v="EERR"/>
    <n v="-5200"/>
    <x v="96"/>
  </r>
  <r>
    <n v="2026"/>
    <n v="7"/>
    <s v="31-07-2026"/>
    <n v="8669"/>
    <s v="4201-09"/>
    <n v="6800"/>
    <n v="0"/>
    <s v="Compra colacion"/>
    <n v="6800"/>
    <s v="EERR"/>
    <n v="-6800"/>
    <x v="96"/>
  </r>
  <r>
    <n v="2026"/>
    <n v="7"/>
    <s v="31-07-2026"/>
    <n v="8669"/>
    <s v="4201-09"/>
    <n v="9980"/>
    <n v="0"/>
    <s v="Colacion"/>
    <n v="9980"/>
    <s v="EERR"/>
    <n v="-9980"/>
    <x v="96"/>
  </r>
  <r>
    <n v="2026"/>
    <n v="7"/>
    <s v="31-07-2026"/>
    <n v="8669"/>
    <s v="4201-09"/>
    <n v="5150"/>
    <n v="0"/>
    <s v="Colacion"/>
    <n v="5150"/>
    <s v="EERR"/>
    <n v="-5150"/>
    <x v="96"/>
  </r>
  <r>
    <n v="2026"/>
    <n v="7"/>
    <s v="31-07-2026"/>
    <n v="8669"/>
    <s v="4201-09"/>
    <n v="4760"/>
    <n v="0"/>
    <s v="Colacion"/>
    <n v="4760"/>
    <s v="EERR"/>
    <n v="-4760"/>
    <x v="96"/>
  </r>
  <r>
    <n v="2026"/>
    <n v="7"/>
    <s v="31-07-2026"/>
    <n v="8669"/>
    <s v="4201-09"/>
    <n v="7000"/>
    <n v="0"/>
    <s v="Colacion"/>
    <n v="7000"/>
    <s v="EERR"/>
    <n v="-7000"/>
    <x v="96"/>
  </r>
  <r>
    <n v="2026"/>
    <n v="1"/>
    <s v="05-01-2026"/>
    <n v="6915"/>
    <s v="4201-10"/>
    <n v="25205"/>
    <n v="0"/>
    <s v="Pago credito pac cuota 43 n00033349988"/>
    <n v="25205"/>
    <s v="EERR"/>
    <n v="-25205"/>
    <x v="97"/>
  </r>
  <r>
    <n v="2026"/>
    <n v="1"/>
    <s v="05-01-2026"/>
    <n v="6916"/>
    <s v="4201-10"/>
    <n v="30810"/>
    <n v="0"/>
    <s v="Pago credito pac credito n 38648612 cuota 9"/>
    <n v="30810"/>
    <s v="EERR"/>
    <n v="-30810"/>
    <x v="97"/>
  </r>
  <r>
    <n v="2026"/>
    <n v="1"/>
    <s v="31-01-2026"/>
    <n v="9814"/>
    <s v="4201-10"/>
    <n v="47154"/>
    <n v="0"/>
    <s v="Centralización compras enero 2026 - valor neto"/>
    <n v="47154"/>
    <s v="EERR"/>
    <n v="-47154"/>
    <x v="97"/>
  </r>
  <r>
    <n v="2026"/>
    <n v="2"/>
    <s v="05-02-2026"/>
    <n v="7304"/>
    <s v="4201-10"/>
    <n v="23925"/>
    <n v="0"/>
    <s v="Pago cuota 44-60  prestamo banco estado n00033349988"/>
    <n v="23925"/>
    <s v="EERR"/>
    <n v="-23925"/>
    <x v="97"/>
  </r>
  <r>
    <n v="2026"/>
    <n v="2"/>
    <s v="05-02-2026"/>
    <n v="7305"/>
    <s v="4201-10"/>
    <n v="30328"/>
    <n v="0"/>
    <s v="Pago cuota 10-59 credito estado 00038648612"/>
    <n v="30328"/>
    <s v="EERR"/>
    <n v="-30328"/>
    <x v="97"/>
  </r>
  <r>
    <n v="2026"/>
    <n v="2"/>
    <s v="20-02-2026"/>
    <n v="10594"/>
    <s v="4201-10"/>
    <n v="2270657"/>
    <n v="0"/>
    <s v="Prestamo credito itau 60630876 "/>
    <n v="2270657"/>
    <s v="EERR"/>
    <n v="-2270657"/>
    <x v="97"/>
  </r>
  <r>
    <n v="2026"/>
    <n v="2"/>
    <s v="24-02-2026"/>
    <n v="11097"/>
    <s v="4201-10"/>
    <n v="801500"/>
    <n v="0"/>
    <s v="Otorg. crédito comercial n 420051"/>
    <n v="801500"/>
    <s v="EERR"/>
    <n v="-801500"/>
    <x v="97"/>
  </r>
  <r>
    <n v="2026"/>
    <n v="2"/>
    <s v="28-02-2026"/>
    <n v="9815"/>
    <s v="4201-10"/>
    <n v="160709"/>
    <n v="0"/>
    <s v="Centralización compras febrero 2026 - valor neto"/>
    <n v="160709"/>
    <s v="EERR"/>
    <n v="-160709"/>
    <x v="97"/>
  </r>
  <r>
    <n v="2026"/>
    <n v="3"/>
    <s v="05-03-2026"/>
    <n v="7477"/>
    <s v="4201-10"/>
    <n v="26955"/>
    <n v="0"/>
    <s v="Pago cuota 11-59 credito estado 00038648612"/>
    <n v="26955"/>
    <s v="EERR"/>
    <n v="-26955"/>
    <x v="97"/>
  </r>
  <r>
    <n v="2026"/>
    <n v="3"/>
    <s v="05-03-2026"/>
    <n v="7478"/>
    <s v="4201-10"/>
    <n v="20441"/>
    <n v="0"/>
    <s v="Pago cuota 45-60 -prestamo banco estado n00033349988"/>
    <n v="20441"/>
    <s v="EERR"/>
    <n v="-20441"/>
    <x v="97"/>
  </r>
  <r>
    <n v="2026"/>
    <n v="3"/>
    <s v="31-03-2026"/>
    <n v="10750"/>
    <s v="4201-10"/>
    <n v="44"/>
    <n v="0"/>
    <s v="Segur. falabella co"/>
    <n v="44"/>
    <s v="EERR"/>
    <n v="-44"/>
    <x v="97"/>
  </r>
  <r>
    <n v="2026"/>
    <n v="3"/>
    <s v="31-03-2026"/>
    <n v="10753"/>
    <s v="4201-10"/>
    <n v="905791"/>
    <n v="0"/>
    <s v="Centralización compras marzo 2026 - valor neto"/>
    <n v="905791"/>
    <s v="EERR"/>
    <n v="-905791"/>
    <x v="97"/>
  </r>
  <r>
    <n v="2026"/>
    <n v="4"/>
    <s v="06-04-2026"/>
    <n v="7691"/>
    <s v="4201-10"/>
    <n v="21989"/>
    <n v="0"/>
    <s v="Pago cuota 46 de 60 - tlink spa prestamo banco estado n00033349988"/>
    <n v="21989"/>
    <s v="EERR"/>
    <n v="-21989"/>
    <x v="97"/>
  </r>
  <r>
    <n v="2026"/>
    <n v="4"/>
    <s v="06-04-2026"/>
    <n v="7692"/>
    <s v="4201-10"/>
    <n v="30275"/>
    <n v="0"/>
    <s v="Pago cuota 12 de 59 - tlink spa credito estado 00038648612"/>
    <n v="30275"/>
    <s v="EERR"/>
    <n v="-30275"/>
    <x v="97"/>
  </r>
  <r>
    <n v="2026"/>
    <n v="4"/>
    <s v="07-04-2026"/>
    <n v="7510"/>
    <s v="4201-10"/>
    <n v="58333"/>
    <n v="0"/>
    <s v="Pago cuota crédito n 420051423355"/>
    <n v="58333"/>
    <s v="EERR"/>
    <n v="-58333"/>
    <x v="97"/>
  </r>
  <r>
    <n v="2026"/>
    <n v="4"/>
    <s v="30-04-2026"/>
    <n v="10758"/>
    <s v="4201-10"/>
    <n v="1160748"/>
    <n v="0"/>
    <s v="Centralización compras abril 2026 - valor neto"/>
    <n v="1160748"/>
    <s v="EERR"/>
    <n v="-1160748"/>
    <x v="97"/>
  </r>
  <r>
    <n v="2026"/>
    <n v="5"/>
    <s v="05-05-2026"/>
    <n v="7862"/>
    <s v="4201-10"/>
    <n v="26982"/>
    <n v="0"/>
    <s v="Pac credito cuota 13 de 59"/>
    <n v="26982"/>
    <s v="EERR"/>
    <n v="-26982"/>
    <x v="97"/>
  </r>
  <r>
    <n v="2026"/>
    <n v="5"/>
    <s v="05-05-2026"/>
    <n v="7863"/>
    <s v="4201-10"/>
    <n v="18699"/>
    <n v="0"/>
    <s v="Pac credito cuota 47 de 60"/>
    <n v="18699"/>
    <s v="EERR"/>
    <n v="-18699"/>
    <x v="97"/>
  </r>
  <r>
    <n v="2026"/>
    <n v="5"/>
    <s v="07-05-2026"/>
    <n v="7722"/>
    <s v="4201-10"/>
    <n v="40840"/>
    <n v="0"/>
    <s v="Pago cuota crédito n 420051423355"/>
    <n v="40840"/>
    <s v="EERR"/>
    <n v="-40840"/>
    <x v="97"/>
  </r>
  <r>
    <n v="2026"/>
    <n v="5"/>
    <s v="18-05-2026"/>
    <n v="11948"/>
    <s v="4201-10"/>
    <n v="644000"/>
    <n v="0"/>
    <s v="Credito otorgado n. 40424985"/>
    <n v="644000"/>
    <s v="EERR"/>
    <n v="-644000"/>
    <x v="97"/>
  </r>
  <r>
    <n v="2026"/>
    <n v="5"/>
    <s v="31-05-2026"/>
    <n v="10790"/>
    <s v="4201-10"/>
    <n v="132138"/>
    <n v="0"/>
    <s v="Centralización compras mayo 2026 - valor neto"/>
    <n v="132138"/>
    <s v="EERR"/>
    <n v="-132138"/>
    <x v="97"/>
  </r>
  <r>
    <n v="2026"/>
    <n v="6"/>
    <s v="05-06-2026"/>
    <n v="7892"/>
    <s v="4201-10"/>
    <n v="28329"/>
    <n v="0"/>
    <s v="Pac credito cuota 14 de 59"/>
    <n v="28329"/>
    <s v="EERR"/>
    <n v="-28329"/>
    <x v="97"/>
  </r>
  <r>
    <n v="2026"/>
    <n v="6"/>
    <s v="05-06-2026"/>
    <n v="7893"/>
    <s v="4201-10"/>
    <n v="18642"/>
    <n v="0"/>
    <s v="Pac credito cuota 48 de 60"/>
    <n v="18642"/>
    <s v="EERR"/>
    <n v="-18642"/>
    <x v="97"/>
  </r>
  <r>
    <n v="2026"/>
    <n v="6"/>
    <s v="30-06-2026"/>
    <n v="10798"/>
    <s v="4201-10"/>
    <n v="388253"/>
    <n v="0"/>
    <s v="Centralización compras junio 2026 - valor neto"/>
    <n v="388253"/>
    <s v="EERR"/>
    <n v="-388253"/>
    <x v="97"/>
  </r>
  <r>
    <n v="2026"/>
    <n v="7"/>
    <s v="06-07-2026"/>
    <n v="8438"/>
    <s v="4201-10"/>
    <n v="27827"/>
    <n v="0"/>
    <s v="Pac credito cuota 15 de 59"/>
    <n v="27827"/>
    <s v="EERR"/>
    <n v="-27827"/>
    <x v="97"/>
  </r>
  <r>
    <n v="2026"/>
    <n v="7"/>
    <s v="06-07-2026"/>
    <n v="8439"/>
    <s v="4201-10"/>
    <n v="17295"/>
    <n v="0"/>
    <s v="Pac credito cuota 49 de 60"/>
    <n v="17295"/>
    <s v="EERR"/>
    <n v="-17295"/>
    <x v="97"/>
  </r>
  <r>
    <n v="2026"/>
    <n v="7"/>
    <s v="31-07-2026"/>
    <n v="10852"/>
    <s v="4201-10"/>
    <n v="48642"/>
    <n v="0"/>
    <s v="Centralización compras julio 2026 - valor neto"/>
    <n v="48642"/>
    <s v="EERR"/>
    <n v="-48642"/>
    <x v="97"/>
  </r>
  <r>
    <n v="2026"/>
    <n v="2"/>
    <s v="16-02-2026"/>
    <n v="7105"/>
    <s v="4201-11"/>
    <n v="843718"/>
    <n v="0"/>
    <s v="Pago previred enero"/>
    <n v="843718"/>
    <s v="EERR"/>
    <n v="-843718"/>
    <x v="98"/>
  </r>
  <r>
    <n v="2026"/>
    <n v="1"/>
    <s v="02-01-2026"/>
    <n v="6926"/>
    <s v="4201-12"/>
    <n v="435675"/>
    <n v="0"/>
    <s v="0085303066 transf a pablo gonzalez"/>
    <n v="435675"/>
    <s v="EERR"/>
    <n v="-435675"/>
    <x v="99"/>
  </r>
  <r>
    <n v="2026"/>
    <n v="3"/>
    <s v="25-03-2026"/>
    <n v="7450"/>
    <s v="4201-12"/>
    <n v="10000"/>
    <n v="0"/>
    <s v="Compra notaria cartagena"/>
    <n v="10000"/>
    <s v="EERR"/>
    <n v="-10000"/>
    <x v="99"/>
  </r>
  <r>
    <n v="2026"/>
    <n v="3"/>
    <s v="31-03-2026"/>
    <n v="10748"/>
    <s v="4201-12"/>
    <n v="7000"/>
    <n v="0"/>
    <s v="Notaria puga"/>
    <n v="7000"/>
    <s v="EERR"/>
    <n v="-7000"/>
    <x v="99"/>
  </r>
  <r>
    <n v="2026"/>
    <n v="4"/>
    <s v="01-04-2026"/>
    <n v="7487"/>
    <s v="4201-12"/>
    <n v="5000"/>
    <n v="0"/>
    <s v="Compra notaria puga"/>
    <n v="5000"/>
    <s v="EERR"/>
    <n v="-5000"/>
    <x v="99"/>
  </r>
  <r>
    <n v="2026"/>
    <n v="4"/>
    <s v="06-04-2026"/>
    <n v="7504"/>
    <s v="4201-12"/>
    <n v="35000"/>
    <n v="0"/>
    <s v="Compra notaria puga"/>
    <n v="35000"/>
    <s v="EERR"/>
    <n v="-35000"/>
    <x v="99"/>
  </r>
  <r>
    <n v="2026"/>
    <n v="4"/>
    <s v="14-04-2026"/>
    <n v="7682"/>
    <s v="4201-12"/>
    <n v="2300"/>
    <n v="0"/>
    <s v="Pago bdp tgr 23081190307"/>
    <n v="2300"/>
    <s v="EERR"/>
    <n v="-2300"/>
    <x v="99"/>
  </r>
  <r>
    <n v="2026"/>
    <n v="5"/>
    <s v="19-05-2026"/>
    <n v="7702"/>
    <s v="4201-12"/>
    <n v="49308"/>
    <n v="0"/>
    <s v="Pago bdp tgr     23081677346"/>
    <n v="49308"/>
    <s v="EERR"/>
    <n v="-49308"/>
    <x v="99"/>
  </r>
  <r>
    <n v="2026"/>
    <n v="6"/>
    <s v="18-06-2026"/>
    <n v="7929"/>
    <s v="4201-12"/>
    <n v="5000"/>
    <n v="0"/>
    <s v="Notaria puga firma finiquito"/>
    <n v="5000"/>
    <s v="EERR"/>
    <n v="-5000"/>
    <x v="99"/>
  </r>
  <r>
    <n v="2026"/>
    <n v="1"/>
    <s v="06-01-2026"/>
    <n v="6931"/>
    <s v="4201-16"/>
    <n v="5000000"/>
    <n v="0"/>
    <s v="Nodo la cruz - carolina diaz"/>
    <n v="5000000"/>
    <s v="EERR"/>
    <n v="-5000000"/>
    <x v="100"/>
  </r>
  <r>
    <n v="2026"/>
    <n v="1"/>
    <s v="06-01-2026"/>
    <n v="6932"/>
    <s v="4201-16"/>
    <n v="5000000"/>
    <n v="0"/>
    <s v="Nodo la cruz - carolina diaz"/>
    <n v="5000000"/>
    <s v="EERR"/>
    <n v="-5000000"/>
    <x v="100"/>
  </r>
  <r>
    <n v="2026"/>
    <n v="1"/>
    <s v="06-01-2026"/>
    <n v="6933"/>
    <s v="4201-16"/>
    <n v="5000000"/>
    <n v="0"/>
    <s v="Nodo la cruz - carolina diaz"/>
    <n v="5000000"/>
    <s v="EERR"/>
    <n v="-5000000"/>
    <x v="100"/>
  </r>
  <r>
    <n v="2026"/>
    <n v="1"/>
    <s v="06-01-2026"/>
    <n v="6934"/>
    <s v="4201-16"/>
    <n v="5000000"/>
    <n v="0"/>
    <s v="Nodo la cruz - carolina diaz"/>
    <n v="5000000"/>
    <s v="EERR"/>
    <n v="-5000000"/>
    <x v="100"/>
  </r>
  <r>
    <n v="2026"/>
    <n v="1"/>
    <s v="06-01-2026"/>
    <n v="6935"/>
    <s v="4201-16"/>
    <n v="3848290"/>
    <n v="0"/>
    <s v="Nodo la cruz - carolina diaz"/>
    <n v="3848290"/>
    <s v="EERR"/>
    <n v="-3848290"/>
    <x v="100"/>
  </r>
  <r>
    <n v="2026"/>
    <n v="1"/>
    <s v="07-01-2026"/>
    <n v="6957"/>
    <s v="4201-16"/>
    <n v="750000"/>
    <n v="0"/>
    <s v="Arriendo las condes - carolina diaz"/>
    <n v="750000"/>
    <s v="EERR"/>
    <n v="-750000"/>
    <x v="100"/>
  </r>
  <r>
    <n v="2026"/>
    <n v="1"/>
    <s v="07-01-2026"/>
    <n v="6962"/>
    <s v="4201-16"/>
    <n v="516863"/>
    <n v="0"/>
    <s v="Nodo aromos - carolina diaz"/>
    <n v="516863"/>
    <s v="EERR"/>
    <n v="-516863"/>
    <x v="100"/>
  </r>
  <r>
    <n v="2026"/>
    <n v="1"/>
    <s v="07-01-2026"/>
    <n v="6968"/>
    <s v="4201-16"/>
    <n v="202769"/>
    <n v="0"/>
    <s v="Nodo cartagena - carolina diaz"/>
    <n v="202769"/>
    <s v="EERR"/>
    <n v="-202769"/>
    <x v="100"/>
  </r>
  <r>
    <n v="2026"/>
    <n v="1"/>
    <s v="07-01-2026"/>
    <n v="6969"/>
    <s v="4201-16"/>
    <n v="202769"/>
    <n v="0"/>
    <s v="Nodo algarrobo - carolina diaz"/>
    <n v="202769"/>
    <s v="EERR"/>
    <n v="-202769"/>
    <x v="100"/>
  </r>
  <r>
    <n v="2026"/>
    <n v="1"/>
    <s v="07-01-2026"/>
    <n v="6972"/>
    <s v="4201-16"/>
    <n v="130000"/>
    <n v="0"/>
    <s v="Nodo copihue - carolina diaz"/>
    <n v="130000"/>
    <s v="EERR"/>
    <n v="-130000"/>
    <x v="100"/>
  </r>
  <r>
    <n v="2026"/>
    <n v="1"/>
    <s v="09-01-2026"/>
    <n v="6994"/>
    <s v="4201-16"/>
    <n v="230435"/>
    <n v="0"/>
    <s v="Nodo cdr - carolina diaz"/>
    <n v="230435"/>
    <s v="EERR"/>
    <n v="-230435"/>
    <x v="100"/>
  </r>
  <r>
    <n v="2026"/>
    <n v="1"/>
    <s v="09-01-2026"/>
    <n v="6997"/>
    <s v="4201-16"/>
    <n v="151902"/>
    <n v="0"/>
    <s v="Nodo algarrobo - carolina diaz"/>
    <n v="151902"/>
    <s v="EERR"/>
    <n v="-151902"/>
    <x v="100"/>
  </r>
  <r>
    <n v="2026"/>
    <n v="1"/>
    <s v="09-01-2026"/>
    <n v="6998"/>
    <s v="4201-16"/>
    <n v="134350"/>
    <n v="0"/>
    <s v="Nodo carampangue - carolina diaz"/>
    <n v="134350"/>
    <s v="EERR"/>
    <n v="-134350"/>
    <x v="100"/>
  </r>
  <r>
    <n v="2026"/>
    <n v="1"/>
    <s v="09-01-2026"/>
    <n v="7000"/>
    <s v="4201-16"/>
    <n v="128574"/>
    <n v="0"/>
    <s v="Nodo la cruz - carolina diaz"/>
    <n v="128574"/>
    <s v="EERR"/>
    <n v="-128574"/>
    <x v="100"/>
  </r>
  <r>
    <n v="2026"/>
    <n v="1"/>
    <s v="09-01-2026"/>
    <n v="7006"/>
    <s v="4201-16"/>
    <n v="54719"/>
    <n v="0"/>
    <s v="Nodo aromos - carolina diaz"/>
    <n v="54719"/>
    <s v="EERR"/>
    <n v="-54719"/>
    <x v="100"/>
  </r>
  <r>
    <n v="2026"/>
    <n v="1"/>
    <s v="16-01-2026"/>
    <n v="7044"/>
    <s v="4201-16"/>
    <n v="213444"/>
    <n v="0"/>
    <s v="Nodo cartagena - carolina diaz"/>
    <n v="213444"/>
    <s v="EERR"/>
    <n v="-213444"/>
    <x v="100"/>
  </r>
  <r>
    <n v="2026"/>
    <n v="1"/>
    <s v="16-01-2026"/>
    <n v="7049"/>
    <s v="4201-16"/>
    <n v="69759"/>
    <n v="0"/>
    <s v="Nodo cartagena - carolina diaz"/>
    <n v="69759"/>
    <s v="EERR"/>
    <n v="-69759"/>
    <x v="100"/>
  </r>
  <r>
    <n v="2026"/>
    <n v="2"/>
    <s v="06-02-2026"/>
    <n v="7138"/>
    <s v="4201-16"/>
    <n v="516012"/>
    <n v="0"/>
    <s v="Arriendo espacio rack nodo aromos 13 uf valor uf 39.693,25 segun sii"/>
    <n v="516012"/>
    <s v="EERR"/>
    <n v="-516012"/>
    <x v="100"/>
  </r>
  <r>
    <n v="2026"/>
    <n v="2"/>
    <s v="06-02-2026"/>
    <n v="7145"/>
    <s v="4201-16"/>
    <n v="202435"/>
    <n v="0"/>
    <s v="Arriendo espacio rack nodo cartagena tlink"/>
    <n v="202435"/>
    <s v="EERR"/>
    <n v="-202435"/>
    <x v="100"/>
  </r>
  <r>
    <n v="2026"/>
    <n v="2"/>
    <s v="06-02-2026"/>
    <n v="7146"/>
    <s v="4201-16"/>
    <n v="202435"/>
    <n v="0"/>
    <s v="Arriendo espacio rack nodo algarrobo tlink"/>
    <n v="202435"/>
    <s v="EERR"/>
    <n v="-202435"/>
    <x v="100"/>
  </r>
  <r>
    <n v="2026"/>
    <n v="2"/>
    <s v="06-02-2026"/>
    <n v="7147"/>
    <s v="4201-16"/>
    <n v="130000"/>
    <n v="0"/>
    <s v="Arriendo espacio rack nodo copihue tlink"/>
    <n v="130000"/>
    <s v="EERR"/>
    <n v="-130000"/>
    <x v="100"/>
  </r>
  <r>
    <n v="2026"/>
    <n v="2"/>
    <s v="10-02-2026"/>
    <n v="7171"/>
    <s v="4201-16"/>
    <n v="159468"/>
    <n v="0"/>
    <s v="Consumo electrico nodo algarrobo tlink mes de diciembre 2026"/>
    <n v="159468"/>
    <s v="EERR"/>
    <n v="-159468"/>
    <x v="100"/>
  </r>
  <r>
    <n v="2026"/>
    <n v="2"/>
    <s v="10-02-2026"/>
    <n v="7173"/>
    <s v="4201-16"/>
    <n v="128574"/>
    <n v="0"/>
    <s v="Consumo electrico nodo la cruz enero 2026 tlink"/>
    <n v="128574"/>
    <s v="EERR"/>
    <n v="-128574"/>
    <x v="100"/>
  </r>
  <r>
    <n v="2026"/>
    <n v="2"/>
    <s v="10-02-2026"/>
    <n v="7175"/>
    <s v="4201-16"/>
    <n v="100800"/>
    <n v="0"/>
    <s v="Nodo padre hurtado consumo electrico mes enero"/>
    <n v="100800"/>
    <s v="EERR"/>
    <n v="-100800"/>
    <x v="100"/>
  </r>
  <r>
    <n v="2026"/>
    <n v="2"/>
    <s v="11-02-2026"/>
    <n v="7188"/>
    <s v="4201-16"/>
    <n v="230435"/>
    <n v="0"/>
    <s v="Consumo electrico nodo casas del recuerdo tlink mes de enero 2026"/>
    <n v="230435"/>
    <s v="EERR"/>
    <n v="-230435"/>
    <x v="100"/>
  </r>
  <r>
    <n v="2026"/>
    <n v="2"/>
    <s v="11-02-2026"/>
    <n v="7190"/>
    <s v="4201-16"/>
    <n v="183817"/>
    <n v="0"/>
    <s v="Consumo electrico nodo aromos tlink mes de enero 2026 y diferencia 2025"/>
    <n v="183817"/>
    <s v="EERR"/>
    <n v="-183817"/>
    <x v="100"/>
  </r>
  <r>
    <n v="2026"/>
    <n v="2"/>
    <s v="11-02-2026"/>
    <n v="7191"/>
    <s v="4201-16"/>
    <n v="134350"/>
    <n v="0"/>
    <s v="Consumo electrico nodo carampangue tlink mes de enero 2026"/>
    <n v="134350"/>
    <s v="EERR"/>
    <n v="-134350"/>
    <x v="100"/>
  </r>
  <r>
    <n v="2026"/>
    <n v="3"/>
    <s v="04-03-2026"/>
    <n v="7317"/>
    <s v="4201-16"/>
    <n v="495096"/>
    <n v="0"/>
    <s v="Nodo cartagena consumo electrico mes feb"/>
    <n v="495096"/>
    <s v="EERR"/>
    <n v="-495096"/>
    <x v="100"/>
  </r>
  <r>
    <n v="2026"/>
    <n v="3"/>
    <s v="10-03-2026"/>
    <n v="7365"/>
    <s v="4201-16"/>
    <n v="517647"/>
    <n v="0"/>
    <s v="Nodo aromos arriendo nodo aromos"/>
    <n v="517647"/>
    <s v="EERR"/>
    <n v="-517647"/>
    <x v="100"/>
  </r>
  <r>
    <n v="2026"/>
    <n v="3"/>
    <s v="10-03-2026"/>
    <n v="7370"/>
    <s v="4201-16"/>
    <n v="203076"/>
    <n v="0"/>
    <s v="Nodo algarrobo arriendo nodo algarrobo"/>
    <n v="203076"/>
    <s v="EERR"/>
    <n v="-203076"/>
    <x v="100"/>
  </r>
  <r>
    <n v="2026"/>
    <n v="3"/>
    <s v="10-03-2026"/>
    <n v="7371"/>
    <s v="4201-16"/>
    <n v="203076"/>
    <n v="0"/>
    <s v="Nodo cartagena arriendo nodo cartagena"/>
    <n v="203076"/>
    <s v="EERR"/>
    <n v="-203076"/>
    <x v="100"/>
  </r>
  <r>
    <n v="2026"/>
    <n v="3"/>
    <s v="10-03-2026"/>
    <n v="7372"/>
    <s v="4201-16"/>
    <n v="130000"/>
    <n v="0"/>
    <s v="Nodo copihue arriendo nodo copihue"/>
    <n v="130000"/>
    <s v="EERR"/>
    <n v="-130000"/>
    <x v="100"/>
  </r>
  <r>
    <n v="2026"/>
    <n v="3"/>
    <s v="10-03-2026"/>
    <n v="7374"/>
    <s v="4201-16"/>
    <n v="59300"/>
    <n v="0"/>
    <s v="Nodo padre hurtado consumo electrico mes de febrero"/>
    <n v="59300"/>
    <s v="EERR"/>
    <n v="-59300"/>
    <x v="100"/>
  </r>
  <r>
    <n v="2026"/>
    <n v="3"/>
    <s v="11-03-2026"/>
    <n v="7384"/>
    <s v="4201-16"/>
    <n v="230435"/>
    <n v="0"/>
    <s v="Nodo cdr consumo electrico mes febrero"/>
    <n v="230435"/>
    <s v="EERR"/>
    <n v="-230435"/>
    <x v="100"/>
  </r>
  <r>
    <n v="2026"/>
    <n v="3"/>
    <s v="11-03-2026"/>
    <n v="7385"/>
    <s v="4201-16"/>
    <n v="155890"/>
    <n v="0"/>
    <s v="Nodo algarrobo consumo electrico mes febrero"/>
    <n v="155890"/>
    <s v="EERR"/>
    <n v="-155890"/>
    <x v="100"/>
  </r>
  <r>
    <n v="2026"/>
    <n v="3"/>
    <s v="11-03-2026"/>
    <n v="7386"/>
    <s v="4201-16"/>
    <n v="134350"/>
    <n v="0"/>
    <s v="Nodo carampangue consumo electrico mes febrero"/>
    <n v="134350"/>
    <s v="EERR"/>
    <n v="-134350"/>
    <x v="100"/>
  </r>
  <r>
    <n v="2026"/>
    <n v="3"/>
    <s v="11-03-2026"/>
    <n v="7387"/>
    <s v="4201-16"/>
    <n v="128574"/>
    <n v="0"/>
    <s v="Nodo la cruz consumo electrico mes febrero"/>
    <n v="128574"/>
    <s v="EERR"/>
    <n v="-128574"/>
    <x v="100"/>
  </r>
  <r>
    <n v="2026"/>
    <n v="3"/>
    <s v="11-03-2026"/>
    <n v="7395"/>
    <s v="4201-16"/>
    <n v="43134"/>
    <n v="0"/>
    <s v="Nodo aromos consumo electrico mes febrero"/>
    <n v="43134"/>
    <s v="EERR"/>
    <n v="-43134"/>
    <x v="100"/>
  </r>
  <r>
    <n v="2026"/>
    <n v="4"/>
    <s v="02-04-2026"/>
    <n v="7498"/>
    <s v="4201-16"/>
    <n v="175518"/>
    <n v="0"/>
    <s v="Nodo cartagena"/>
    <n v="175518"/>
    <s v="EERR"/>
    <n v="-175518"/>
    <x v="100"/>
  </r>
  <r>
    <n v="2026"/>
    <n v="4"/>
    <s v="09-04-2026"/>
    <n v="7544"/>
    <s v="4201-16"/>
    <n v="517942"/>
    <n v="0"/>
    <s v="Nodo aromos"/>
    <n v="517942"/>
    <s v="EERR"/>
    <n v="-517942"/>
    <x v="100"/>
  </r>
  <r>
    <n v="2026"/>
    <n v="4"/>
    <s v="09-04-2026"/>
    <n v="7552"/>
    <s v="4201-16"/>
    <n v="203192"/>
    <n v="0"/>
    <s v="Nodo cartagena"/>
    <n v="203192"/>
    <s v="EERR"/>
    <n v="-203192"/>
    <x v="100"/>
  </r>
  <r>
    <n v="2026"/>
    <n v="4"/>
    <s v="09-04-2026"/>
    <n v="7553"/>
    <s v="4201-16"/>
    <n v="203192"/>
    <n v="0"/>
    <s v="Nodo algarrobo"/>
    <n v="203192"/>
    <s v="EERR"/>
    <n v="-203192"/>
    <x v="100"/>
  </r>
  <r>
    <n v="2026"/>
    <n v="4"/>
    <s v="09-04-2026"/>
    <n v="7555"/>
    <s v="4201-16"/>
    <n v="130000"/>
    <n v="0"/>
    <s v="Nodo copihue"/>
    <n v="130000"/>
    <s v="EERR"/>
    <n v="-130000"/>
    <x v="100"/>
  </r>
  <r>
    <n v="2026"/>
    <n v="4"/>
    <s v="09-04-2026"/>
    <n v="7556"/>
    <s v="4201-16"/>
    <n v="129428"/>
    <n v="0"/>
    <s v="Nodo algarrobo"/>
    <n v="129428"/>
    <s v="EERR"/>
    <n v="-129428"/>
    <x v="100"/>
  </r>
  <r>
    <n v="2026"/>
    <n v="4"/>
    <s v="09-04-2026"/>
    <n v="7558"/>
    <s v="4201-16"/>
    <n v="114100"/>
    <n v="0"/>
    <s v="Nodo padre hurtado"/>
    <n v="114100"/>
    <s v="EERR"/>
    <n v="-114100"/>
    <x v="100"/>
  </r>
  <r>
    <n v="2026"/>
    <n v="4"/>
    <s v="10-04-2026"/>
    <n v="7582"/>
    <s v="4201-16"/>
    <n v="230435"/>
    <n v="0"/>
    <s v="Nodo cdr consumo electrico mes marzo"/>
    <n v="230435"/>
    <s v="EERR"/>
    <n v="-230435"/>
    <x v="100"/>
  </r>
  <r>
    <n v="2026"/>
    <n v="4"/>
    <s v="10-04-2026"/>
    <n v="7585"/>
    <s v="4201-16"/>
    <n v="134350"/>
    <n v="0"/>
    <s v="Nodo carampangue consumo electrico mes marzo"/>
    <n v="134350"/>
    <s v="EERR"/>
    <n v="-134350"/>
    <x v="100"/>
  </r>
  <r>
    <n v="2026"/>
    <n v="4"/>
    <s v="10-04-2026"/>
    <n v="7586"/>
    <s v="4201-16"/>
    <n v="128574"/>
    <n v="0"/>
    <s v="Nodo la cruz consumo electrico mes marzo"/>
    <n v="128574"/>
    <s v="EERR"/>
    <n v="-128574"/>
    <x v="100"/>
  </r>
  <r>
    <n v="2026"/>
    <n v="4"/>
    <s v="10-04-2026"/>
    <n v="7587"/>
    <s v="4201-16"/>
    <n v="51192"/>
    <n v="0"/>
    <s v="Nodo aromos consumo electrico mes marzo"/>
    <n v="51192"/>
    <s v="EERR"/>
    <n v="-51192"/>
    <x v="100"/>
  </r>
  <r>
    <n v="2026"/>
    <n v="5"/>
    <s v="04-05-2026"/>
    <n v="7707"/>
    <s v="4201-16"/>
    <n v="196686"/>
    <n v="0"/>
    <s v="Nodo cartagena consumo electrico mes abril"/>
    <n v="196686"/>
    <s v="EERR"/>
    <n v="-196686"/>
    <x v="100"/>
  </r>
  <r>
    <n v="2026"/>
    <n v="5"/>
    <s v="07-05-2026"/>
    <n v="7736"/>
    <s v="4201-16"/>
    <n v="522428"/>
    <n v="0"/>
    <s v="Nodo aromos arriendo nodo aromos"/>
    <n v="522428"/>
    <s v="EERR"/>
    <n v="-522428"/>
    <x v="100"/>
  </r>
  <r>
    <n v="2026"/>
    <n v="5"/>
    <s v="07-05-2026"/>
    <n v="7744"/>
    <s v="4201-16"/>
    <n v="204953"/>
    <n v="0"/>
    <s v="Nodo algarrobo arriendo nodo algarrobo"/>
    <n v="204953"/>
    <s v="EERR"/>
    <n v="-204953"/>
    <x v="100"/>
  </r>
  <r>
    <n v="2026"/>
    <n v="5"/>
    <s v="07-05-2026"/>
    <n v="7745"/>
    <s v="4201-16"/>
    <n v="204952"/>
    <n v="0"/>
    <s v="Nodo cartagena arriendo nodo cartagena"/>
    <n v="204952"/>
    <s v="EERR"/>
    <n v="-204952"/>
    <x v="100"/>
  </r>
  <r>
    <n v="2026"/>
    <n v="5"/>
    <s v="07-05-2026"/>
    <n v="7746"/>
    <s v="4201-16"/>
    <n v="130000"/>
    <n v="0"/>
    <s v="Nodo copihue arriendo nodo copihue"/>
    <n v="130000"/>
    <s v="EERR"/>
    <n v="-130000"/>
    <x v="100"/>
  </r>
  <r>
    <n v="2026"/>
    <n v="5"/>
    <s v="08-05-2026"/>
    <n v="7763"/>
    <s v="4201-16"/>
    <n v="230435"/>
    <n v="0"/>
    <s v="Nodo cdr consumo electrico mes abril"/>
    <n v="230435"/>
    <s v="EERR"/>
    <n v="-230435"/>
    <x v="100"/>
  </r>
  <r>
    <n v="2026"/>
    <n v="5"/>
    <s v="08-05-2026"/>
    <n v="7764"/>
    <s v="4201-16"/>
    <n v="160344"/>
    <n v="0"/>
    <s v="Nodo algarrobo consumo electrico mes abril"/>
    <n v="160344"/>
    <s v="EERR"/>
    <n v="-160344"/>
    <x v="100"/>
  </r>
  <r>
    <n v="2026"/>
    <n v="5"/>
    <s v="08-05-2026"/>
    <n v="7766"/>
    <s v="4201-16"/>
    <n v="134350"/>
    <n v="0"/>
    <s v="Nodo carampangue consumo electrico mes abril"/>
    <n v="134350"/>
    <s v="EERR"/>
    <n v="-134350"/>
    <x v="100"/>
  </r>
  <r>
    <n v="2026"/>
    <n v="5"/>
    <s v="08-05-2026"/>
    <n v="7767"/>
    <s v="4201-16"/>
    <n v="128574"/>
    <n v="0"/>
    <s v="Nodo la cruz consumo electrico mes abril"/>
    <n v="128574"/>
    <s v="EERR"/>
    <n v="-128574"/>
    <x v="100"/>
  </r>
  <r>
    <n v="2026"/>
    <n v="5"/>
    <s v="08-05-2026"/>
    <n v="7770"/>
    <s v="4201-16"/>
    <n v="54510"/>
    <n v="0"/>
    <s v="Nodo aromos consumo electrico mes abril"/>
    <n v="54510"/>
    <s v="EERR"/>
    <n v="-54510"/>
    <x v="100"/>
  </r>
  <r>
    <n v="2026"/>
    <n v="5"/>
    <s v="15-05-2026"/>
    <n v="7803"/>
    <s v="4201-16"/>
    <n v="400000"/>
    <n v="0"/>
    <s v="Nodo santo domingo arriendo nodo santo domingo"/>
    <n v="400000"/>
    <s v="EERR"/>
    <n v="-400000"/>
    <x v="100"/>
  </r>
  <r>
    <n v="2026"/>
    <n v="5"/>
    <s v="15-05-2026"/>
    <n v="7818"/>
    <s v="4201-16"/>
    <n v="24600"/>
    <n v="0"/>
    <s v="Nodo padre hurtado consumo electrico mes abril"/>
    <n v="24600"/>
    <s v="EERR"/>
    <n v="-24600"/>
    <x v="100"/>
  </r>
  <r>
    <n v="2026"/>
    <n v="5"/>
    <s v="29-05-2026"/>
    <n v="7856"/>
    <s v="4201-16"/>
    <n v="922890"/>
    <n v="0"/>
    <s v="Arriendo nodo trebolar arriendo nodo trebolar"/>
    <n v="922890"/>
    <s v="EERR"/>
    <n v="-922890"/>
    <x v="100"/>
  </r>
  <r>
    <n v="2026"/>
    <n v="5"/>
    <s v="29-05-2026"/>
    <n v="7858"/>
    <s v="4201-16"/>
    <n v="169638"/>
    <n v="0"/>
    <s v="Nodo cartagena consumo electrico mes abril"/>
    <n v="169638"/>
    <s v="EERR"/>
    <n v="-169638"/>
    <x v="100"/>
  </r>
  <r>
    <n v="2026"/>
    <n v="6"/>
    <s v="08-06-2026"/>
    <n v="7954"/>
    <s v="4201-16"/>
    <n v="750000"/>
    <n v="0"/>
    <s v="Arriendo oficina"/>
    <n v="750000"/>
    <s v="EERR"/>
    <n v="-750000"/>
    <x v="100"/>
  </r>
  <r>
    <n v="2026"/>
    <n v="6"/>
    <s v="08-06-2026"/>
    <n v="7956"/>
    <s v="4201-16"/>
    <n v="207546"/>
    <n v="0"/>
    <s v="Nodo algarrobo nodo algarrobo"/>
    <n v="207546"/>
    <s v="EERR"/>
    <n v="-207546"/>
    <x v="100"/>
  </r>
  <r>
    <n v="2026"/>
    <n v="6"/>
    <s v="08-06-2026"/>
    <n v="7957"/>
    <s v="4201-16"/>
    <n v="529039"/>
    <n v="0"/>
    <s v="Nodo aromos nodo aromos"/>
    <n v="529039"/>
    <s v="EERR"/>
    <n v="-529039"/>
    <x v="100"/>
  </r>
  <r>
    <n v="2026"/>
    <n v="6"/>
    <s v="08-06-2026"/>
    <n v="7958"/>
    <s v="4201-16"/>
    <n v="207546"/>
    <n v="0"/>
    <s v="Nodo cartagena nodo cartagena"/>
    <n v="207546"/>
    <s v="EERR"/>
    <n v="-207546"/>
    <x v="100"/>
  </r>
  <r>
    <n v="2026"/>
    <n v="6"/>
    <s v="08-06-2026"/>
    <n v="7959"/>
    <s v="4201-16"/>
    <n v="130000"/>
    <n v="0"/>
    <s v="Nodo copihue nodo copihue"/>
    <n v="130000"/>
    <s v="EERR"/>
    <n v="-130000"/>
    <x v="100"/>
  </r>
  <r>
    <n v="2026"/>
    <n v="6"/>
    <s v="08-06-2026"/>
    <n v="7960"/>
    <s v="4201-16"/>
    <n v="200000"/>
    <n v="0"/>
    <s v="Nodo santo domingo nodo santo domingo"/>
    <n v="200000"/>
    <s v="EERR"/>
    <n v="-200000"/>
    <x v="100"/>
  </r>
  <r>
    <n v="2026"/>
    <n v="6"/>
    <s v="11-06-2026"/>
    <n v="7939"/>
    <s v="4201-16"/>
    <n v="32000"/>
    <n v="0"/>
    <s v="Nodo padre hurtado consumo electrico mes mayo"/>
    <n v="32000"/>
    <s v="EERR"/>
    <n v="-32000"/>
    <x v="100"/>
  </r>
  <r>
    <n v="2026"/>
    <n v="6"/>
    <s v="11-06-2026"/>
    <n v="7941"/>
    <s v="4201-16"/>
    <n v="128574"/>
    <n v="0"/>
    <s v="Nodo la cruz consumo electrico mes mayo"/>
    <n v="128574"/>
    <s v="EERR"/>
    <n v="-128574"/>
    <x v="100"/>
  </r>
  <r>
    <n v="2026"/>
    <n v="6"/>
    <s v="11-06-2026"/>
    <n v="7942"/>
    <s v="4201-16"/>
    <n v="1559365"/>
    <n v="0"/>
    <s v="Nodo aromos consumo electrico mes mayo"/>
    <n v="1559365"/>
    <s v="EERR"/>
    <n v="-1559365"/>
    <x v="100"/>
  </r>
  <r>
    <n v="2026"/>
    <n v="6"/>
    <s v="11-06-2026"/>
    <n v="7943"/>
    <s v="4201-16"/>
    <n v="52140"/>
    <n v="0"/>
    <s v="Nodo aromos consumo electrico mes mayo"/>
    <n v="52140"/>
    <s v="EERR"/>
    <n v="-52140"/>
    <x v="100"/>
  </r>
  <r>
    <n v="2026"/>
    <n v="6"/>
    <s v="11-06-2026"/>
    <n v="7944"/>
    <s v="4201-16"/>
    <n v="230435"/>
    <n v="0"/>
    <s v="Nodo cdr consumo electrico mes mayo"/>
    <n v="230435"/>
    <s v="EERR"/>
    <n v="-230435"/>
    <x v="100"/>
  </r>
  <r>
    <n v="2026"/>
    <n v="6"/>
    <s v="11-06-2026"/>
    <n v="7945"/>
    <s v="4201-16"/>
    <n v="134350"/>
    <n v="0"/>
    <s v="Nodo carampangue consumo electrico mes mayo"/>
    <n v="134350"/>
    <s v="EERR"/>
    <n v="-134350"/>
    <x v="100"/>
  </r>
  <r>
    <n v="2026"/>
    <n v="6"/>
    <s v="11-06-2026"/>
    <n v="7946"/>
    <s v="4201-16"/>
    <n v="113446"/>
    <n v="0"/>
    <s v="Nodo algarrobo consumo electrico mes mayo"/>
    <n v="113446"/>
    <s v="EERR"/>
    <n v="-113446"/>
    <x v="100"/>
  </r>
  <r>
    <n v="2026"/>
    <n v="6"/>
    <s v="11-06-2026"/>
    <n v="7947"/>
    <s v="4201-16"/>
    <n v="168591"/>
    <n v="0"/>
    <s v="Nodo santo domingo consumo electrico mes mayo"/>
    <n v="168591"/>
    <s v="EERR"/>
    <n v="-168591"/>
    <x v="100"/>
  </r>
  <r>
    <n v="2026"/>
    <n v="7"/>
    <s v="01-07-2026"/>
    <n v="8443"/>
    <s v="4201-16"/>
    <n v="184926"/>
    <n v="0"/>
    <s v="Consumo electrico mes de junio nodo cartagena"/>
    <n v="184926"/>
    <s v="EERR"/>
    <n v="-184926"/>
    <x v="100"/>
  </r>
  <r>
    <n v="2026"/>
    <n v="7"/>
    <s v="10-07-2026"/>
    <n v="8489"/>
    <s v="4201-16"/>
    <n v="530841"/>
    <n v="0"/>
    <s v="Arriendo nodo aromos"/>
    <n v="530841"/>
    <s v="EERR"/>
    <n v="-530841"/>
    <x v="100"/>
  </r>
  <r>
    <n v="2026"/>
    <n v="7"/>
    <s v="10-07-2026"/>
    <n v="8492"/>
    <s v="4201-16"/>
    <n v="230435"/>
    <n v="0"/>
    <s v="Consumo electrico mes junio nodo cdr"/>
    <n v="230435"/>
    <s v="EERR"/>
    <n v="-230435"/>
    <x v="100"/>
  </r>
  <r>
    <n v="2026"/>
    <n v="7"/>
    <s v="10-07-2026"/>
    <n v="8493"/>
    <s v="4201-16"/>
    <n v="208253"/>
    <n v="0"/>
    <s v="Arriendo nodo cartagena"/>
    <n v="208253"/>
    <s v="EERR"/>
    <n v="-208253"/>
    <x v="100"/>
  </r>
  <r>
    <n v="2026"/>
    <n v="7"/>
    <s v="10-07-2026"/>
    <n v="8494"/>
    <s v="4201-16"/>
    <n v="208253"/>
    <n v="0"/>
    <s v="Arriendo nodo cartagena"/>
    <n v="208253"/>
    <s v="EERR"/>
    <n v="-208253"/>
    <x v="100"/>
  </r>
  <r>
    <n v="2026"/>
    <n v="7"/>
    <s v="10-07-2026"/>
    <n v="8495"/>
    <s v="4201-16"/>
    <n v="200000"/>
    <n v="0"/>
    <s v="Arriendo nodo santo domingo"/>
    <n v="200000"/>
    <s v="EERR"/>
    <n v="-200000"/>
    <x v="100"/>
  </r>
  <r>
    <n v="2026"/>
    <n v="7"/>
    <s v="10-07-2026"/>
    <n v="8496"/>
    <s v="4201-16"/>
    <n v="134350"/>
    <n v="0"/>
    <s v="Consumo electrico mes de junio nodo carampangue"/>
    <n v="134350"/>
    <s v="EERR"/>
    <n v="-134350"/>
    <x v="100"/>
  </r>
  <r>
    <n v="2026"/>
    <n v="7"/>
    <s v="10-07-2026"/>
    <n v="8497"/>
    <s v="4201-16"/>
    <n v="130000"/>
    <n v="0"/>
    <s v="Arriendo nodo copihue"/>
    <n v="130000"/>
    <s v="EERR"/>
    <n v="-130000"/>
    <x v="100"/>
  </r>
  <r>
    <n v="2026"/>
    <n v="7"/>
    <s v="10-07-2026"/>
    <n v="8498"/>
    <s v="4201-16"/>
    <n v="128574"/>
    <n v="0"/>
    <s v="Consumo electrico mes junio nodo la cruz"/>
    <n v="128574"/>
    <s v="EERR"/>
    <n v="-128574"/>
    <x v="100"/>
  </r>
  <r>
    <n v="2026"/>
    <n v="7"/>
    <s v="10-07-2026"/>
    <n v="8499"/>
    <s v="4201-16"/>
    <n v="113446"/>
    <n v="0"/>
    <s v="Consumo electrico mes de junio nodo algarrobo"/>
    <n v="113446"/>
    <s v="EERR"/>
    <n v="-113446"/>
    <x v="100"/>
  </r>
  <r>
    <n v="2026"/>
    <n v="7"/>
    <s v="10-07-2026"/>
    <n v="8507"/>
    <s v="4201-16"/>
    <n v="52140"/>
    <n v="0"/>
    <s v="Consumo electrico mes de junio nodo aromos"/>
    <n v="52140"/>
    <s v="EERR"/>
    <n v="-52140"/>
    <x v="100"/>
  </r>
  <r>
    <n v="2026"/>
    <n v="7"/>
    <s v="17-07-2026"/>
    <n v="8528"/>
    <s v="4201-16"/>
    <n v="240400"/>
    <n v="0"/>
    <s v="Consumo electrico mes junio nodo padre hurtado"/>
    <n v="240400"/>
    <s v="EERR"/>
    <n v="-240400"/>
    <x v="100"/>
  </r>
  <r>
    <n v="2026"/>
    <n v="7"/>
    <s v="31-07-2026"/>
    <n v="8584"/>
    <s v="4201-16"/>
    <n v="105252"/>
    <n v="0"/>
    <s v="Consumo electrico mes julio nodo santo domingo"/>
    <n v="105252"/>
    <s v="EERR"/>
    <n v="-105252"/>
    <x v="100"/>
  </r>
  <r>
    <n v="2026"/>
    <n v="7"/>
    <s v="31-07-2026"/>
    <n v="8585"/>
    <s v="4201-16"/>
    <n v="83202"/>
    <n v="0"/>
    <s v="Consumo electrico mes julio nodo cartagena"/>
    <n v="83202"/>
    <s v="EERR"/>
    <n v="-83202"/>
    <x v="100"/>
  </r>
  <r>
    <n v="2026"/>
    <n v="1"/>
    <s v="01-01-2026"/>
    <n v="10842"/>
    <s v="4201-18"/>
    <n v="6590"/>
    <n v="0"/>
    <s v="Centralización compras enero 2026 - valor neto"/>
    <n v="6590"/>
    <s v="EERR"/>
    <n v="-6590"/>
    <x v="101"/>
  </r>
  <r>
    <n v="2026"/>
    <n v="1"/>
    <s v="31-01-2026"/>
    <n v="9814"/>
    <s v="4201-18"/>
    <n v="446161"/>
    <n v="0"/>
    <s v="Centralización compras enero 2026 - valor neto"/>
    <n v="446161"/>
    <s v="EERR"/>
    <n v="-446161"/>
    <x v="101"/>
  </r>
  <r>
    <n v="2026"/>
    <n v="2"/>
    <s v="28-02-2026"/>
    <n v="9815"/>
    <s v="4201-18"/>
    <n v="162282"/>
    <n v="0"/>
    <s v="Centralización compras febrero 2026 - valor neto"/>
    <n v="162282"/>
    <s v="EERR"/>
    <n v="-162282"/>
    <x v="101"/>
  </r>
  <r>
    <n v="2026"/>
    <n v="3"/>
    <s v="31-03-2026"/>
    <n v="10753"/>
    <s v="4201-18"/>
    <n v="447394"/>
    <n v="0"/>
    <s v="Centralización compras marzo 2026 - valor neto"/>
    <n v="447394"/>
    <s v="EERR"/>
    <n v="-447394"/>
    <x v="101"/>
  </r>
  <r>
    <n v="2026"/>
    <n v="4"/>
    <s v="22-04-2026"/>
    <n v="10773"/>
    <s v="4201-18"/>
    <n v="10590"/>
    <n v="0"/>
    <s v="Bci generales ksoap"/>
    <n v="10590"/>
    <s v="EERR"/>
    <n v="-10590"/>
    <x v="101"/>
  </r>
  <r>
    <n v="2026"/>
    <n v="4"/>
    <s v="22-04-2026"/>
    <n v="10773"/>
    <s v="4201-18"/>
    <n v="10590"/>
    <n v="0"/>
    <s v="Bci generales ksoap"/>
    <n v="10590"/>
    <s v="EERR"/>
    <n v="-10590"/>
    <x v="101"/>
  </r>
  <r>
    <n v="2026"/>
    <n v="4"/>
    <s v="30-04-2026"/>
    <n v="10758"/>
    <s v="4201-18"/>
    <n v="162218"/>
    <n v="0"/>
    <s v="Centralización compras abril 2026 - valor neto"/>
    <n v="162218"/>
    <s v="EERR"/>
    <n v="-162218"/>
    <x v="101"/>
  </r>
  <r>
    <n v="2026"/>
    <n v="5"/>
    <s v="31-05-2026"/>
    <n v="10790"/>
    <s v="4201-18"/>
    <n v="306615"/>
    <n v="0"/>
    <s v="Centralización compras mayo 2026 - valor neto"/>
    <n v="306615"/>
    <s v="EERR"/>
    <n v="-306615"/>
    <x v="101"/>
  </r>
  <r>
    <n v="2026"/>
    <n v="6"/>
    <s v="30-06-2026"/>
    <n v="10798"/>
    <s v="4201-18"/>
    <n v="309621"/>
    <n v="0"/>
    <s v="Centralización compras junio 2026 - valor neto"/>
    <n v="309621"/>
    <s v="EERR"/>
    <n v="-309621"/>
    <x v="101"/>
  </r>
  <r>
    <n v="2026"/>
    <n v="7"/>
    <s v="31-07-2026"/>
    <n v="10852"/>
    <s v="4201-18"/>
    <n v="311913"/>
    <n v="0"/>
    <s v="Centralización compras julio 2026 - valor neto"/>
    <n v="311913"/>
    <s v="EERR"/>
    <n v="-311913"/>
    <x v="101"/>
  </r>
  <r>
    <n v="2026"/>
    <n v="1"/>
    <s v="31-01-2026"/>
    <n v="9814"/>
    <s v="4201-20"/>
    <n v="1866235"/>
    <n v="0"/>
    <s v="Centralización compras enero 2026 - valor neto"/>
    <n v="1866235"/>
    <s v="EERR"/>
    <n v="-1866235"/>
    <x v="102"/>
  </r>
  <r>
    <n v="2026"/>
    <n v="2"/>
    <s v="28-02-2026"/>
    <n v="9815"/>
    <s v="4201-20"/>
    <n v="1472253"/>
    <n v="0"/>
    <s v="Centralización compras febrero 2026 - valor neto"/>
    <n v="1472253"/>
    <s v="EERR"/>
    <n v="-1472253"/>
    <x v="102"/>
  </r>
  <r>
    <n v="2026"/>
    <n v="3"/>
    <s v="31-03-2026"/>
    <n v="10753"/>
    <s v="4201-20"/>
    <n v="2270564"/>
    <n v="0"/>
    <s v="Centralización compras marzo 2026 - valor neto"/>
    <n v="2270564"/>
    <s v="EERR"/>
    <n v="-2270564"/>
    <x v="102"/>
  </r>
  <r>
    <n v="2026"/>
    <n v="4"/>
    <s v="30-04-2026"/>
    <n v="10758"/>
    <s v="4201-20"/>
    <n v="1885647"/>
    <n v="0"/>
    <s v="Centralización compras abril 2026 - valor neto"/>
    <n v="1885647"/>
    <s v="EERR"/>
    <n v="-1885647"/>
    <x v="102"/>
  </r>
  <r>
    <n v="2026"/>
    <n v="5"/>
    <s v="31-05-2026"/>
    <n v="10790"/>
    <s v="4201-20"/>
    <n v="1502596"/>
    <n v="0"/>
    <s v="Centralización compras mayo 2026 - valor neto"/>
    <n v="1502596"/>
    <s v="EERR"/>
    <n v="-1502596"/>
    <x v="102"/>
  </r>
  <r>
    <n v="2026"/>
    <n v="6"/>
    <s v="30-06-2026"/>
    <n v="10798"/>
    <s v="4201-20"/>
    <n v="2324821"/>
    <n v="0"/>
    <s v="Centralización compras junio 2026 - valor neto"/>
    <n v="2324821"/>
    <s v="EERR"/>
    <n v="-2324821"/>
    <x v="102"/>
  </r>
  <r>
    <n v="2026"/>
    <n v="7"/>
    <s v="31-07-2026"/>
    <n v="10852"/>
    <s v="4201-20"/>
    <n v="1919697"/>
    <n v="0"/>
    <s v="Centralización compras julio 2026 - valor neto"/>
    <n v="1919697"/>
    <s v="EERR"/>
    <n v="-1919697"/>
    <x v="102"/>
  </r>
  <r>
    <n v="2026"/>
    <n v="4"/>
    <s v="30-04-2026"/>
    <n v="10779"/>
    <s v="4201-21"/>
    <n v="3519133"/>
    <n v="0"/>
    <s v="Finiquitos abril gisela álvarez bello"/>
    <n v="3519133"/>
    <s v="EERR"/>
    <n v="-3519133"/>
    <x v="103"/>
  </r>
  <r>
    <n v="2026"/>
    <n v="4"/>
    <s v="30-04-2026"/>
    <n v="10779"/>
    <s v="4201-21"/>
    <n v="4500000"/>
    <n v="0"/>
    <s v="Finiquitos abril alvaro manuel millan moya"/>
    <n v="4500000"/>
    <s v="EERR"/>
    <n v="-4500000"/>
    <x v="103"/>
  </r>
  <r>
    <n v="2026"/>
    <n v="4"/>
    <s v="30-04-2026"/>
    <n v="10779"/>
    <s v="4201-21"/>
    <n v="2634876"/>
    <n v="0"/>
    <s v="Finiquitos abril carolina gonzález núñez"/>
    <n v="2634876"/>
    <s v="EERR"/>
    <n v="-2634876"/>
    <x v="103"/>
  </r>
  <r>
    <n v="2026"/>
    <n v="6"/>
    <s v="16-06-2026"/>
    <n v="7903"/>
    <s v="4201-21"/>
    <n v="3658409"/>
    <n v="0"/>
    <s v="Finiquitos junio"/>
    <n v="3658409"/>
    <s v="EERR"/>
    <n v="-3658409"/>
    <x v="103"/>
  </r>
  <r>
    <n v="2026"/>
    <n v="6"/>
    <s v="16-06-2026"/>
    <n v="7903"/>
    <s v="4201-21"/>
    <n v="2341591"/>
    <n v="0"/>
    <s v="Finiquitos junio"/>
    <n v="2341591"/>
    <s v="EERR"/>
    <n v="-2341591"/>
    <x v="103"/>
  </r>
  <r>
    <n v="2026"/>
    <n v="1"/>
    <s v="31-01-2026"/>
    <n v="9814"/>
    <s v="4201-22"/>
    <n v="80471"/>
    <n v="0"/>
    <s v="Centralización compras enero 2026 - valor neto"/>
    <n v="80471"/>
    <s v="EERR"/>
    <n v="-80471"/>
    <x v="104"/>
  </r>
  <r>
    <n v="2026"/>
    <n v="3"/>
    <s v="31-03-2026"/>
    <n v="10753"/>
    <s v="4201-22"/>
    <n v="350000"/>
    <n v="0"/>
    <s v="Centralización compras marzo 2026 - valor neto"/>
    <n v="350000"/>
    <s v="EERR"/>
    <n v="-350000"/>
    <x v="104"/>
  </r>
  <r>
    <n v="2026"/>
    <n v="4"/>
    <s v="30-04-2026"/>
    <n v="10758"/>
    <s v="4201-22"/>
    <n v="52597"/>
    <n v="0"/>
    <s v="Centralización compras abril 2026 - valor neto"/>
    <n v="52597"/>
    <s v="EERR"/>
    <n v="-52597"/>
    <x v="104"/>
  </r>
  <r>
    <n v="2026"/>
    <n v="1"/>
    <s v="01-01-2026"/>
    <n v="8098"/>
    <s v="4201-24"/>
    <n v="77042"/>
    <n v="0"/>
    <s v="Otros impuestos"/>
    <n v="77042"/>
    <s v="EERR"/>
    <n v="-77042"/>
    <x v="105"/>
  </r>
  <r>
    <n v="2026"/>
    <n v="1"/>
    <s v="31-01-2026"/>
    <n v="9814"/>
    <s v="4201-27"/>
    <n v="192437"/>
    <n v="0"/>
    <s v="Centralización compras enero 2026 - valor neto"/>
    <n v="192437"/>
    <s v="EERR"/>
    <n v="-192437"/>
    <x v="106"/>
  </r>
  <r>
    <n v="2026"/>
    <n v="2"/>
    <s v="28-02-2026"/>
    <n v="9815"/>
    <s v="4201-27"/>
    <n v="201422"/>
    <n v="0"/>
    <s v="Centralización compras febrero 2026 - valor neto"/>
    <n v="201422"/>
    <s v="EERR"/>
    <n v="-201422"/>
    <x v="106"/>
  </r>
  <r>
    <n v="2026"/>
    <n v="3"/>
    <s v="31-03-2026"/>
    <n v="10753"/>
    <s v="4201-27"/>
    <n v="289548"/>
    <n v="0"/>
    <s v="Centralización compras marzo 2026 - valor neto"/>
    <n v="289548"/>
    <s v="EERR"/>
    <n v="-289548"/>
    <x v="106"/>
  </r>
  <r>
    <n v="2026"/>
    <n v="4"/>
    <s v="30-04-2026"/>
    <n v="10758"/>
    <s v="4201-27"/>
    <n v="262145"/>
    <n v="0"/>
    <s v="Centralización compras abril 2026 - valor neto"/>
    <n v="262145"/>
    <s v="EERR"/>
    <n v="-262145"/>
    <x v="106"/>
  </r>
  <r>
    <n v="2026"/>
    <n v="5"/>
    <s v="31-05-2026"/>
    <n v="10790"/>
    <s v="4201-27"/>
    <n v="209052"/>
    <n v="0"/>
    <s v="Centralización compras mayo 2026 - valor neto"/>
    <n v="209052"/>
    <s v="EERR"/>
    <n v="-209052"/>
    <x v="106"/>
  </r>
  <r>
    <n v="2026"/>
    <n v="6"/>
    <s v="26-06-2026"/>
    <n v="7913"/>
    <s v="4201-27"/>
    <n v="53687"/>
    <n v="0"/>
    <s v="Pac rutapass 0000002818015"/>
    <n v="53687"/>
    <s v="EERR"/>
    <n v="-53687"/>
    <x v="106"/>
  </r>
  <r>
    <n v="2026"/>
    <n v="6"/>
    <s v="30-06-2026"/>
    <n v="10798"/>
    <s v="4201-27"/>
    <n v="169724"/>
    <n v="0"/>
    <s v="Centralización compras junio 2026 - valor neto"/>
    <n v="169724"/>
    <s v="EERR"/>
    <n v="-169724"/>
    <x v="106"/>
  </r>
  <r>
    <n v="2026"/>
    <n v="7"/>
    <s v="31-07-2026"/>
    <n v="10852"/>
    <s v="4201-27"/>
    <n v="143961"/>
    <n v="0"/>
    <s v="Centralización compras julio 2026 - valor neto"/>
    <n v="143961"/>
    <s v="EERR"/>
    <n v="-143961"/>
    <x v="106"/>
  </r>
  <r>
    <n v="2026"/>
    <n v="2"/>
    <s v="06-02-2026"/>
    <n v="7134"/>
    <s v="4201-30"/>
    <n v="750000"/>
    <n v="0"/>
    <s v="Arriendo oficina las condes"/>
    <n v="750000"/>
    <s v="EERR"/>
    <n v="-750000"/>
    <x v="107"/>
  </r>
  <r>
    <n v="2026"/>
    <n v="2"/>
    <s v="28-02-2026"/>
    <n v="9815"/>
    <s v="4201-30"/>
    <n v="215198"/>
    <n v="0"/>
    <s v="Centralización compras febrero 2026 - valor neto"/>
    <n v="215198"/>
    <s v="EERR"/>
    <n v="-215198"/>
    <x v="107"/>
  </r>
  <r>
    <n v="2026"/>
    <n v="3"/>
    <s v="06-03-2026"/>
    <n v="7335"/>
    <s v="4201-30"/>
    <n v="750000"/>
    <n v="0"/>
    <s v="Arriendo las condes arriendo oficina"/>
    <n v="750000"/>
    <s v="EERR"/>
    <n v="-750000"/>
    <x v="107"/>
  </r>
  <r>
    <n v="2026"/>
    <n v="3"/>
    <s v="31-03-2026"/>
    <n v="10753"/>
    <s v="4201-30"/>
    <n v="215198"/>
    <n v="0"/>
    <s v="Centralización compras marzo 2026 - valor neto"/>
    <n v="215198"/>
    <s v="EERR"/>
    <n v="-215198"/>
    <x v="107"/>
  </r>
  <r>
    <n v="2026"/>
    <n v="4"/>
    <s v="08-04-2026"/>
    <n v="7679"/>
    <s v="4201-30"/>
    <n v="165000"/>
    <n v="0"/>
    <s v="Pago arriendo arriendo oficina csa"/>
    <n v="165000"/>
    <s v="EERR"/>
    <n v="-165000"/>
    <x v="107"/>
  </r>
  <r>
    <n v="2026"/>
    <n v="4"/>
    <s v="09-04-2026"/>
    <n v="7542"/>
    <s v="4201-30"/>
    <n v="750000"/>
    <n v="0"/>
    <s v="Oficina las condes"/>
    <n v="750000"/>
    <s v="EERR"/>
    <n v="-750000"/>
    <x v="107"/>
  </r>
  <r>
    <n v="2026"/>
    <n v="4"/>
    <s v="30-04-2026"/>
    <n v="10758"/>
    <s v="4201-30"/>
    <n v="213504"/>
    <n v="0"/>
    <s v="Centralización compras abril 2026 - valor neto"/>
    <n v="213504"/>
    <s v="EERR"/>
    <n v="-213504"/>
    <x v="107"/>
  </r>
  <r>
    <n v="2026"/>
    <n v="5"/>
    <s v="07-05-2026"/>
    <n v="7734"/>
    <s v="4201-30"/>
    <n v="750000"/>
    <n v="0"/>
    <s v="Oficina las condes oficina las condes"/>
    <n v="750000"/>
    <s v="EERR"/>
    <n v="-750000"/>
    <x v="107"/>
  </r>
  <r>
    <n v="2026"/>
    <n v="5"/>
    <s v="31-05-2026"/>
    <n v="10790"/>
    <s v="4201-30"/>
    <n v="217458"/>
    <n v="0"/>
    <s v="Centralización compras mayo 2026 - valor neto"/>
    <n v="217458"/>
    <s v="EERR"/>
    <n v="-217458"/>
    <x v="107"/>
  </r>
  <r>
    <n v="2026"/>
    <n v="6"/>
    <s v="30-06-2026"/>
    <n v="10798"/>
    <s v="4201-30"/>
    <n v="244941"/>
    <n v="0"/>
    <s v="Centralización compras junio 2026 - valor neto"/>
    <n v="244941"/>
    <s v="EERR"/>
    <n v="-244941"/>
    <x v="107"/>
  </r>
  <r>
    <n v="2026"/>
    <n v="7"/>
    <s v="10-07-2026"/>
    <n v="8487"/>
    <s v="4201-30"/>
    <n v="750000"/>
    <n v="0"/>
    <s v="Arriendo oficina las condes"/>
    <n v="750000"/>
    <s v="EERR"/>
    <n v="-750000"/>
    <x v="107"/>
  </r>
  <r>
    <n v="2026"/>
    <n v="7"/>
    <s v="31-07-2026"/>
    <n v="10852"/>
    <s v="4201-30"/>
    <n v="244941"/>
    <n v="0"/>
    <s v="Centralización compras julio 2026 - valor neto"/>
    <n v="244941"/>
    <s v="EERR"/>
    <n v="-244941"/>
    <x v="107"/>
  </r>
  <r>
    <n v="2026"/>
    <n v="1"/>
    <s v="31-01-2026"/>
    <n v="9814"/>
    <s v="4201-31"/>
    <n v="2158374"/>
    <n v="0"/>
    <s v="Centralización compras enero 2026 - valor neto"/>
    <n v="2158374"/>
    <s v="EERR"/>
    <n v="-2158374"/>
    <x v="108"/>
  </r>
  <r>
    <n v="2026"/>
    <n v="2"/>
    <s v="28-02-2026"/>
    <n v="9815"/>
    <s v="4201-31"/>
    <n v="2726295"/>
    <n v="0"/>
    <s v="Centralización compras febrero 2026 - valor neto"/>
    <n v="2726295"/>
    <s v="EERR"/>
    <n v="-2726295"/>
    <x v="108"/>
  </r>
  <r>
    <n v="2026"/>
    <n v="3"/>
    <s v="31-03-2026"/>
    <n v="10753"/>
    <s v="4201-31"/>
    <n v="2981991"/>
    <n v="0"/>
    <s v="Centralización compras marzo 2026 - valor neto"/>
    <n v="2981991"/>
    <s v="EERR"/>
    <n v="-2981991"/>
    <x v="108"/>
  </r>
  <r>
    <n v="2026"/>
    <n v="4"/>
    <s v="30-04-2026"/>
    <n v="10758"/>
    <s v="4201-31"/>
    <n v="3045655"/>
    <n v="0"/>
    <s v="Centralización compras abril 2026 - valor neto"/>
    <n v="3045655"/>
    <s v="EERR"/>
    <n v="-3045655"/>
    <x v="108"/>
  </r>
  <r>
    <n v="2026"/>
    <n v="5"/>
    <s v="31-05-2026"/>
    <n v="10790"/>
    <s v="4201-31"/>
    <n v="2665925"/>
    <n v="0"/>
    <s v="Centralización compras mayo 2026 - valor neto"/>
    <n v="2665925"/>
    <s v="EERR"/>
    <n v="-2665925"/>
    <x v="108"/>
  </r>
  <r>
    <n v="2026"/>
    <n v="6"/>
    <s v="30-06-2026"/>
    <n v="10798"/>
    <s v="4201-31"/>
    <n v="2748147"/>
    <n v="0"/>
    <s v="Centralización compras junio 2026 - valor neto"/>
    <n v="2748147"/>
    <s v="EERR"/>
    <n v="-2748147"/>
    <x v="108"/>
  </r>
  <r>
    <n v="2026"/>
    <n v="7"/>
    <s v="31-07-2026"/>
    <n v="10852"/>
    <s v="4201-31"/>
    <n v="2397673"/>
    <n v="0"/>
    <s v="Centralización compras julio 2026 - valor neto"/>
    <n v="2397673"/>
    <s v="EERR"/>
    <n v="-2397673"/>
    <x v="108"/>
  </r>
  <r>
    <n v="2026"/>
    <n v="1"/>
    <s v="06-01-2026"/>
    <n v="6939"/>
    <s v="4201-35"/>
    <n v="2920"/>
    <n v="0"/>
    <s v="Estacionamiento"/>
    <n v="2920"/>
    <s v="EERR"/>
    <n v="-2920"/>
    <x v="109"/>
  </r>
  <r>
    <n v="2026"/>
    <n v="1"/>
    <s v="31-01-2026"/>
    <n v="9814"/>
    <s v="4201-35"/>
    <n v="98517"/>
    <n v="0"/>
    <s v="Centralización compras enero 2026 - valor neto"/>
    <n v="98517"/>
    <s v="EERR"/>
    <n v="-98517"/>
    <x v="109"/>
  </r>
  <r>
    <n v="2026"/>
    <n v="1"/>
    <s v="31-01-2026"/>
    <n v="9823"/>
    <s v="4201-35"/>
    <n v="6200"/>
    <n v="0"/>
    <s v="Republic parking"/>
    <n v="6200"/>
    <s v="EERR"/>
    <n v="-6200"/>
    <x v="109"/>
  </r>
  <r>
    <n v="2026"/>
    <n v="2"/>
    <s v="28-02-2026"/>
    <n v="9815"/>
    <s v="4201-35"/>
    <n v="94438"/>
    <n v="0"/>
    <s v="Centralización compras febrero 2026 - valor neto"/>
    <n v="94438"/>
    <s v="EERR"/>
    <n v="-94438"/>
    <x v="109"/>
  </r>
  <r>
    <n v="2026"/>
    <n v="2"/>
    <s v="28-02-2026"/>
    <n v="10599"/>
    <s v="4201-35"/>
    <n v="4500"/>
    <n v="0"/>
    <s v="Concesiones santiago"/>
    <n v="4500"/>
    <s v="EERR"/>
    <n v="-4500"/>
    <x v="109"/>
  </r>
  <r>
    <n v="2026"/>
    <n v="3"/>
    <s v="31-03-2026"/>
    <n v="7465"/>
    <s v="4201-35"/>
    <n v="800"/>
    <n v="0"/>
    <s v="Compra tuuopas kaffee"/>
    <n v="800"/>
    <s v="EERR"/>
    <n v="-800"/>
    <x v="109"/>
  </r>
  <r>
    <n v="2026"/>
    <n v="3"/>
    <s v="31-03-2026"/>
    <n v="10748"/>
    <s v="4201-35"/>
    <n v="11400"/>
    <n v="0"/>
    <s v="Saba ciudadania"/>
    <n v="11400"/>
    <s v="EERR"/>
    <n v="-11400"/>
    <x v="109"/>
  </r>
  <r>
    <n v="2026"/>
    <n v="3"/>
    <s v="31-03-2026"/>
    <n v="10748"/>
    <s v="4201-35"/>
    <n v="1100"/>
    <n v="0"/>
    <s v="Mercadopago estaclpa"/>
    <n v="1100"/>
    <s v="EERR"/>
    <n v="-1100"/>
    <x v="109"/>
  </r>
  <r>
    <n v="2026"/>
    <n v="3"/>
    <s v="31-03-2026"/>
    <n v="10749"/>
    <s v="4201-35"/>
    <n v="1000"/>
    <n v="0"/>
    <s v="Mercadopago granadap"/>
    <n v="1000"/>
    <s v="EERR"/>
    <n v="-1000"/>
    <x v="109"/>
  </r>
  <r>
    <n v="2026"/>
    <n v="3"/>
    <s v="31-03-2026"/>
    <n v="10749"/>
    <s v="4201-35"/>
    <n v="250"/>
    <n v="0"/>
    <s v="Homecenter san miguel"/>
    <n v="250"/>
    <s v="EERR"/>
    <n v="-250"/>
    <x v="109"/>
  </r>
  <r>
    <n v="2026"/>
    <n v="3"/>
    <s v="31-03-2026"/>
    <n v="10753"/>
    <s v="4201-35"/>
    <n v="121103"/>
    <n v="0"/>
    <s v="Centralización compras marzo 2026 - valor neto"/>
    <n v="121103"/>
    <s v="EERR"/>
    <n v="-121103"/>
    <x v="109"/>
  </r>
  <r>
    <n v="2026"/>
    <n v="4"/>
    <s v="01-04-2026"/>
    <n v="7488"/>
    <s v="4201-35"/>
    <n v="970"/>
    <n v="0"/>
    <s v="Compra merpagoestaclpal"/>
    <n v="970"/>
    <s v="EERR"/>
    <n v="-970"/>
    <x v="109"/>
  </r>
  <r>
    <n v="2026"/>
    <n v="4"/>
    <s v="01-04-2026"/>
    <n v="7489"/>
    <s v="4201-35"/>
    <n v="500"/>
    <n v="0"/>
    <s v="Compra merpagoautomotor"/>
    <n v="500"/>
    <s v="EERR"/>
    <n v="-500"/>
    <x v="109"/>
  </r>
  <r>
    <n v="2026"/>
    <n v="4"/>
    <s v="06-04-2026"/>
    <n v="7507"/>
    <s v="4201-35"/>
    <n v="1070"/>
    <n v="0"/>
    <s v="Compra merpagoestaclpal"/>
    <n v="1070"/>
    <s v="EERR"/>
    <n v="-1070"/>
    <x v="109"/>
  </r>
  <r>
    <n v="2026"/>
    <n v="4"/>
    <s v="06-04-2026"/>
    <n v="7508"/>
    <s v="4201-35"/>
    <n v="970"/>
    <n v="0"/>
    <s v="Compra merpagoestaclpal"/>
    <n v="970"/>
    <s v="EERR"/>
    <n v="-970"/>
    <x v="109"/>
  </r>
  <r>
    <n v="2026"/>
    <n v="4"/>
    <s v="30-04-2026"/>
    <n v="10758"/>
    <s v="4201-35"/>
    <n v="107559"/>
    <n v="0"/>
    <s v="Centralización compras abril 2026 - valor neto"/>
    <n v="107559"/>
    <s v="EERR"/>
    <n v="-107559"/>
    <x v="109"/>
  </r>
  <r>
    <n v="2026"/>
    <n v="5"/>
    <s v="25-05-2026"/>
    <n v="10786"/>
    <s v="4201-35"/>
    <n v="4000"/>
    <n v="0"/>
    <s v="Mercadopago satmulti"/>
    <n v="4000"/>
    <s v="EERR"/>
    <n v="-4000"/>
    <x v="109"/>
  </r>
  <r>
    <n v="2026"/>
    <n v="5"/>
    <s v="25-05-2026"/>
    <n v="10787"/>
    <s v="4201-35"/>
    <n v="490"/>
    <n v="0"/>
    <s v="Mercadopago granadai"/>
    <n v="490"/>
    <s v="EERR"/>
    <n v="-490"/>
    <x v="109"/>
  </r>
  <r>
    <n v="2026"/>
    <n v="5"/>
    <s v="25-05-2026"/>
    <n v="10787"/>
    <s v="4201-35"/>
    <n v="1180"/>
    <n v="0"/>
    <s v="Mercadopago granadap"/>
    <n v="1180"/>
    <s v="EERR"/>
    <n v="-1180"/>
    <x v="109"/>
  </r>
  <r>
    <n v="2026"/>
    <n v="5"/>
    <s v="25-05-2026"/>
    <n v="10787"/>
    <s v="4201-35"/>
    <n v="56247"/>
    <n v="0"/>
    <s v="Hiper penaflor balmace"/>
    <n v="56247"/>
    <s v="EERR"/>
    <n v="-56247"/>
    <x v="109"/>
  </r>
  <r>
    <n v="2026"/>
    <n v="5"/>
    <s v="31-05-2026"/>
    <n v="10790"/>
    <s v="4201-35"/>
    <n v="121232"/>
    <n v="0"/>
    <s v="Centralización compras mayo 2026 - valor neto"/>
    <n v="121232"/>
    <s v="EERR"/>
    <n v="-121232"/>
    <x v="109"/>
  </r>
  <r>
    <n v="2026"/>
    <n v="6"/>
    <s v="01-06-2026"/>
    <n v="8285"/>
    <s v="4201-35"/>
    <n v="1600"/>
    <n v="0"/>
    <s v="Compras nacionales tuuglobal parking"/>
    <n v="1600"/>
    <s v="EERR"/>
    <n v="-1600"/>
    <x v="109"/>
  </r>
  <r>
    <n v="2026"/>
    <n v="6"/>
    <s v="18-06-2026"/>
    <n v="7926"/>
    <s v="4201-35"/>
    <n v="210"/>
    <n v="0"/>
    <s v="Estacionamiento tuu amisca spa"/>
    <n v="210"/>
    <s v="EERR"/>
    <n v="-210"/>
    <x v="109"/>
  </r>
  <r>
    <n v="2026"/>
    <n v="6"/>
    <s v="18-06-2026"/>
    <n v="7928"/>
    <s v="4201-35"/>
    <n v="1050"/>
    <n v="0"/>
    <s v="Estacionamiento"/>
    <n v="1050"/>
    <s v="EERR"/>
    <n v="-1050"/>
    <x v="109"/>
  </r>
  <r>
    <n v="2026"/>
    <n v="6"/>
    <s v="23-06-2026"/>
    <n v="10804"/>
    <s v="4201-35"/>
    <n v="12000"/>
    <n v="0"/>
    <s v="Puc estacionamiento li"/>
    <n v="12000"/>
    <s v="EERR"/>
    <n v="-12000"/>
    <x v="109"/>
  </r>
  <r>
    <n v="2026"/>
    <n v="6"/>
    <s v="23-06-2026"/>
    <n v="10804"/>
    <s v="4201-35"/>
    <n v="6560"/>
    <n v="0"/>
    <s v="Lot park parque arauca"/>
    <n v="6560"/>
    <s v="EERR"/>
    <n v="-6560"/>
    <x v="109"/>
  </r>
  <r>
    <n v="2026"/>
    <n v="6"/>
    <s v="24-06-2026"/>
    <n v="7916"/>
    <s v="4201-35"/>
    <n v="3100"/>
    <n v="0"/>
    <s v="Compra saba arauco chill"/>
    <n v="3100"/>
    <s v="EERR"/>
    <n v="-3100"/>
    <x v="109"/>
  </r>
  <r>
    <n v="2026"/>
    <n v="6"/>
    <s v="30-06-2026"/>
    <n v="10798"/>
    <s v="4201-35"/>
    <n v="174919"/>
    <n v="0"/>
    <s v="Centralización compras junio 2026 - valor neto"/>
    <n v="174919"/>
    <s v="EERR"/>
    <n v="-174919"/>
    <x v="109"/>
  </r>
  <r>
    <n v="2026"/>
    <n v="7"/>
    <s v="22-07-2026"/>
    <n v="8615"/>
    <s v="4201-35"/>
    <n v="11300"/>
    <n v="0"/>
    <s v="Estacionamiento"/>
    <n v="11300"/>
    <s v="EERR"/>
    <n v="-11300"/>
    <x v="109"/>
  </r>
  <r>
    <n v="2026"/>
    <n v="7"/>
    <s v="23-07-2026"/>
    <n v="8597"/>
    <s v="4201-35"/>
    <n v="92100"/>
    <n v="0"/>
    <s v="Estacionamiento"/>
    <n v="92100"/>
    <s v="EERR"/>
    <n v="-92100"/>
    <x v="109"/>
  </r>
  <r>
    <n v="2026"/>
    <n v="7"/>
    <s v="31-07-2026"/>
    <n v="8669"/>
    <s v="4201-35"/>
    <n v="698"/>
    <n v="0"/>
    <s v="Estacionamiento"/>
    <n v="698"/>
    <s v="EERR"/>
    <n v="-698"/>
    <x v="109"/>
  </r>
  <r>
    <n v="2026"/>
    <n v="7"/>
    <s v="31-07-2026"/>
    <n v="8669"/>
    <s v="4201-35"/>
    <n v="110"/>
    <n v="0"/>
    <s v="Estacionamiento"/>
    <n v="110"/>
    <s v="EERR"/>
    <n v="-110"/>
    <x v="109"/>
  </r>
  <r>
    <n v="2026"/>
    <n v="7"/>
    <s v="31-07-2026"/>
    <n v="10852"/>
    <s v="4201-35"/>
    <n v="206465"/>
    <n v="0"/>
    <s v="Centralización compras julio 2026 - valor neto"/>
    <n v="206465"/>
    <s v="EERR"/>
    <n v="-206465"/>
    <x v="109"/>
  </r>
  <r>
    <n v="2026"/>
    <n v="1"/>
    <s v="31-01-2026"/>
    <n v="9814"/>
    <s v="4201-37"/>
    <n v="6246799"/>
    <n v="0"/>
    <s v="Centralización compras enero 2026 - valor neto"/>
    <n v="6246799"/>
    <s v="EERR"/>
    <n v="-6246799"/>
    <x v="110"/>
  </r>
  <r>
    <n v="2026"/>
    <n v="1"/>
    <s v="31-01-2026"/>
    <n v="9823"/>
    <s v="4201-37"/>
    <n v="9519"/>
    <n v="0"/>
    <s v="Facebk e3squ8zy92"/>
    <n v="9519"/>
    <s v="EERR"/>
    <n v="-9519"/>
    <x v="110"/>
  </r>
  <r>
    <n v="2026"/>
    <n v="1"/>
    <s v="31-01-2026"/>
    <n v="9823"/>
    <s v="4201-37"/>
    <n v="853314"/>
    <n v="0"/>
    <s v="Google workspace_tlin"/>
    <n v="853314"/>
    <s v="EERR"/>
    <n v="-853314"/>
    <x v="110"/>
  </r>
  <r>
    <n v="2026"/>
    <n v="1"/>
    <s v="31-01-2026"/>
    <n v="9823"/>
    <s v="4201-37"/>
    <n v="9519"/>
    <n v="0"/>
    <s v="Facebk 5sp9h75y92"/>
    <n v="9519"/>
    <s v="EERR"/>
    <n v="-9519"/>
    <x v="110"/>
  </r>
  <r>
    <n v="2026"/>
    <n v="1"/>
    <s v="31-01-2026"/>
    <n v="9823"/>
    <s v="4201-37"/>
    <n v="9519"/>
    <n v="0"/>
    <s v="Facebk ycfeb8dy92"/>
    <n v="9519"/>
    <s v="EERR"/>
    <n v="-9519"/>
    <x v="110"/>
  </r>
  <r>
    <n v="2026"/>
    <n v="1"/>
    <s v="31-01-2026"/>
    <n v="9823"/>
    <s v="4201-37"/>
    <n v="5430"/>
    <n v="0"/>
    <s v="Facebk unm7w75y92"/>
    <n v="5430"/>
    <s v="EERR"/>
    <n v="-5430"/>
    <x v="110"/>
  </r>
  <r>
    <n v="2026"/>
    <n v="1"/>
    <s v="31-01-2026"/>
    <n v="9823"/>
    <s v="4201-37"/>
    <n v="9519"/>
    <n v="0"/>
    <s v="Facebk enrsn8dy92"/>
    <n v="9519"/>
    <s v="EERR"/>
    <n v="-9519"/>
    <x v="110"/>
  </r>
  <r>
    <n v="2026"/>
    <n v="1"/>
    <s v="31-01-2026"/>
    <n v="9823"/>
    <s v="4201-37"/>
    <n v="9519"/>
    <n v="0"/>
    <s v="Facebk g3a7c95z92"/>
    <n v="9519"/>
    <s v="EERR"/>
    <n v="-9519"/>
    <x v="110"/>
  </r>
  <r>
    <n v="2026"/>
    <n v="1"/>
    <s v="31-01-2026"/>
    <n v="9823"/>
    <s v="4201-37"/>
    <n v="60246"/>
    <n v="0"/>
    <s v="Facebk tcfhl89y92"/>
    <n v="60246"/>
    <s v="EERR"/>
    <n v="-60246"/>
    <x v="110"/>
  </r>
  <r>
    <n v="2026"/>
    <n v="1"/>
    <s v="31-01-2026"/>
    <n v="9823"/>
    <s v="4201-37"/>
    <n v="24276"/>
    <n v="0"/>
    <s v="Adobe adobe"/>
    <n v="24276"/>
    <s v="EERR"/>
    <n v="-24276"/>
    <x v="110"/>
  </r>
  <r>
    <n v="2026"/>
    <n v="1"/>
    <s v="31-01-2026"/>
    <n v="9823"/>
    <s v="4201-37"/>
    <n v="60246"/>
    <n v="0"/>
    <s v="Facebk zlr5795y92"/>
    <n v="60246"/>
    <s v="EERR"/>
    <n v="-60246"/>
    <x v="110"/>
  </r>
  <r>
    <n v="2026"/>
    <n v="1"/>
    <s v="31-01-2026"/>
    <n v="9824"/>
    <s v="4201-37"/>
    <n v="8990"/>
    <n v="0"/>
    <s v="Ppgoogle google one"/>
    <n v="8990"/>
    <s v="EERR"/>
    <n v="-8990"/>
    <x v="110"/>
  </r>
  <r>
    <n v="2026"/>
    <n v="1"/>
    <s v="31-01-2026"/>
    <n v="9824"/>
    <s v="4201-37"/>
    <n v="18990"/>
    <n v="0"/>
    <s v="Apple.combill"/>
    <n v="18990"/>
    <s v="EERR"/>
    <n v="-18990"/>
    <x v="110"/>
  </r>
  <r>
    <n v="2026"/>
    <n v="1"/>
    <s v="31-01-2026"/>
    <n v="9824"/>
    <s v="4201-37"/>
    <n v="10990"/>
    <n v="0"/>
    <s v="Apple.combill"/>
    <n v="10990"/>
    <s v="EERR"/>
    <n v="-10990"/>
    <x v="110"/>
  </r>
  <r>
    <n v="2026"/>
    <n v="1"/>
    <s v="31-01-2026"/>
    <n v="9825"/>
    <s v="4201-37"/>
    <n v="231531"/>
    <n v="0"/>
    <s v="Paypal devoz llc devo"/>
    <n v="231531"/>
    <s v="EERR"/>
    <n v="-231531"/>
    <x v="110"/>
  </r>
  <r>
    <n v="2026"/>
    <n v="1"/>
    <s v="31-01-2026"/>
    <n v="9825"/>
    <s v="4201-37"/>
    <n v="41700"/>
    <n v="0"/>
    <s v="Fs docugen.io"/>
    <n v="41700"/>
    <s v="EERR"/>
    <n v="-41700"/>
    <x v="110"/>
  </r>
  <r>
    <n v="2026"/>
    <n v="1"/>
    <s v="31-01-2026"/>
    <n v="9825"/>
    <s v="4201-37"/>
    <n v="32943"/>
    <n v="0"/>
    <s v="Mercadopago mercadol"/>
    <n v="32943"/>
    <s v="EERR"/>
    <n v="-32943"/>
    <x v="110"/>
  </r>
  <r>
    <n v="2026"/>
    <n v="1"/>
    <s v="31-01-2026"/>
    <n v="9825"/>
    <s v="4201-37"/>
    <n v="335855"/>
    <n v="0"/>
    <s v="Paypal smartolt"/>
    <n v="335855"/>
    <s v="EERR"/>
    <n v="-335855"/>
    <x v="110"/>
  </r>
  <r>
    <n v="2026"/>
    <n v="1"/>
    <s v="31-01-2026"/>
    <n v="9825"/>
    <s v="4201-37"/>
    <n v="6594"/>
    <n v="0"/>
    <s v="Microsoft-g132207620"/>
    <n v="6594"/>
    <s v="EERR"/>
    <n v="-6594"/>
    <x v="110"/>
  </r>
  <r>
    <n v="2026"/>
    <n v="1"/>
    <s v="31-01-2026"/>
    <n v="9825"/>
    <s v="4201-37"/>
    <n v="27580"/>
    <n v="0"/>
    <s v="Paypal jivrus.tech"/>
    <n v="27580"/>
    <s v="EERR"/>
    <n v="-27580"/>
    <x v="110"/>
  </r>
  <r>
    <n v="2026"/>
    <n v="1"/>
    <s v="31-01-2026"/>
    <n v="9825"/>
    <s v="4201-37"/>
    <n v="22999"/>
    <n v="0"/>
    <s v="Linkedin linkedin"/>
    <n v="22999"/>
    <s v="EERR"/>
    <n v="-22999"/>
    <x v="110"/>
  </r>
  <r>
    <n v="2026"/>
    <n v="1"/>
    <s v="31-01-2026"/>
    <n v="9825"/>
    <s v="4201-37"/>
    <n v="38598"/>
    <n v="0"/>
    <s v="Twilio sendgrid"/>
    <n v="38598"/>
    <s v="EERR"/>
    <n v="-38598"/>
    <x v="110"/>
  </r>
  <r>
    <n v="2026"/>
    <n v="1"/>
    <s v="31-01-2026"/>
    <n v="9825"/>
    <s v="4201-37"/>
    <n v="4595"/>
    <n v="0"/>
    <s v="Microsoftñg133386552"/>
    <n v="4595"/>
    <s v="EERR"/>
    <n v="-4595"/>
    <x v="110"/>
  </r>
  <r>
    <n v="2026"/>
    <n v="1"/>
    <s v="31-01-2026"/>
    <n v="9825"/>
    <s v="4201-37"/>
    <n v="73768"/>
    <n v="0"/>
    <s v="Ppro adobe"/>
    <n v="73768"/>
    <s v="EERR"/>
    <n v="-73768"/>
    <x v="110"/>
  </r>
  <r>
    <n v="2026"/>
    <n v="1"/>
    <s v="31-01-2026"/>
    <n v="9825"/>
    <s v="4201-37"/>
    <n v="99335"/>
    <n v="0"/>
    <s v="Microsoft-g134555592"/>
    <n v="99335"/>
    <s v="EERR"/>
    <n v="-99335"/>
    <x v="110"/>
  </r>
  <r>
    <n v="2026"/>
    <n v="1"/>
    <s v="31-01-2026"/>
    <n v="9825"/>
    <s v="4201-37"/>
    <n v="478194"/>
    <n v="0"/>
    <s v="E-commerce monday.c"/>
    <n v="478194"/>
    <s v="EERR"/>
    <n v="-478194"/>
    <x v="110"/>
  </r>
  <r>
    <n v="2026"/>
    <n v="1"/>
    <s v="31-01-2026"/>
    <n v="9825"/>
    <s v="4201-37"/>
    <n v="149899"/>
    <n v="0"/>
    <s v="Paypal freddy.tabali"/>
    <n v="149899"/>
    <s v="EERR"/>
    <n v="-149899"/>
    <x v="110"/>
  </r>
  <r>
    <n v="2026"/>
    <n v="1"/>
    <s v="31-01-2026"/>
    <n v="9825"/>
    <s v="4201-37"/>
    <n v="1129281"/>
    <n v="0"/>
    <s v="Ministra pro"/>
    <n v="1129281"/>
    <s v="EERR"/>
    <n v="-1129281"/>
    <x v="110"/>
  </r>
  <r>
    <n v="2026"/>
    <n v="2"/>
    <s v="02-02-2026"/>
    <n v="7108"/>
    <s v="4201-37"/>
    <n v="893803"/>
    <n v="0"/>
    <s v="Compra google workspace_"/>
    <n v="893803"/>
    <s v="EERR"/>
    <n v="-893803"/>
    <x v="110"/>
  </r>
  <r>
    <n v="2026"/>
    <n v="2"/>
    <s v="28-02-2026"/>
    <n v="9815"/>
    <s v="4201-37"/>
    <n v="6079517"/>
    <n v="0"/>
    <s v="Centralización compras febrero 2026 - valor neto"/>
    <n v="6079517"/>
    <s v="EERR"/>
    <n v="-6079517"/>
    <x v="110"/>
  </r>
  <r>
    <n v="2026"/>
    <n v="2"/>
    <s v="28-02-2026"/>
    <n v="10601"/>
    <s v="4201-37"/>
    <n v="45999"/>
    <n v="0"/>
    <s v="Linkedin linkedin"/>
    <n v="45999"/>
    <s v="EERR"/>
    <n v="-45999"/>
    <x v="110"/>
  </r>
  <r>
    <n v="2026"/>
    <n v="2"/>
    <s v="28-02-2026"/>
    <n v="10601"/>
    <s v="4201-37"/>
    <n v="144011"/>
    <n v="0"/>
    <s v="Paypal freddy.tabali"/>
    <n v="144011"/>
    <s v="EERR"/>
    <n v="-144011"/>
    <x v="110"/>
  </r>
  <r>
    <n v="2026"/>
    <n v="2"/>
    <s v="28-02-2026"/>
    <n v="10601"/>
    <s v="4201-37"/>
    <n v="463920"/>
    <n v="0"/>
    <s v="E-commerce monday.c"/>
    <n v="463920"/>
    <s v="EERR"/>
    <n v="-463920"/>
    <x v="110"/>
  </r>
  <r>
    <n v="2026"/>
    <n v="3"/>
    <s v="02-03-2026"/>
    <n v="7309"/>
    <s v="4201-37"/>
    <n v="778428"/>
    <n v="0"/>
    <s v="Compra google workspace_"/>
    <n v="778428"/>
    <s v="EERR"/>
    <n v="-778428"/>
    <x v="110"/>
  </r>
  <r>
    <n v="2026"/>
    <n v="3"/>
    <s v="31-03-2026"/>
    <n v="10753"/>
    <s v="4201-37"/>
    <n v="6588030"/>
    <n v="0"/>
    <s v="Centralización compras marzo 2026 - valor neto"/>
    <n v="6588030"/>
    <s v="EERR"/>
    <n v="-6588030"/>
    <x v="110"/>
  </r>
  <r>
    <n v="2026"/>
    <n v="4"/>
    <s v="01-04-2026"/>
    <n v="7483"/>
    <s v="4201-37"/>
    <n v="930302"/>
    <n v="0"/>
    <s v="Compra google workspace_"/>
    <n v="930302"/>
    <s v="EERR"/>
    <n v="-930302"/>
    <x v="110"/>
  </r>
  <r>
    <n v="2026"/>
    <n v="4"/>
    <s v="22-04-2026"/>
    <n v="10773"/>
    <s v="4201-37"/>
    <n v="71658"/>
    <n v="0"/>
    <s v="Lioren enterprises spa"/>
    <n v="71658"/>
    <s v="EERR"/>
    <n v="-71658"/>
    <x v="110"/>
  </r>
  <r>
    <n v="2026"/>
    <n v="4"/>
    <s v="22-04-2026"/>
    <n v="10774"/>
    <s v="4201-37"/>
    <n v="18990"/>
    <n v="0"/>
    <s v="Apple.combill"/>
    <n v="18990"/>
    <s v="EERR"/>
    <n v="-18990"/>
    <x v="110"/>
  </r>
  <r>
    <n v="2026"/>
    <n v="4"/>
    <s v="22-04-2026"/>
    <n v="10774"/>
    <s v="4201-37"/>
    <n v="10990"/>
    <n v="0"/>
    <s v="Apple.combill"/>
    <n v="10990"/>
    <s v="EERR"/>
    <n v="-10990"/>
    <x v="110"/>
  </r>
  <r>
    <n v="2026"/>
    <n v="4"/>
    <s v="22-04-2026"/>
    <n v="10774"/>
    <s v="4201-37"/>
    <n v="2416516"/>
    <n v="0"/>
    <s v="Paypal made4it llc"/>
    <n v="2416516"/>
    <s v="EERR"/>
    <n v="-2416516"/>
    <x v="110"/>
  </r>
  <r>
    <n v="2026"/>
    <n v="4"/>
    <s v="22-04-2026"/>
    <n v="10774"/>
    <s v="4201-37"/>
    <n v="8990"/>
    <n v="0"/>
    <s v="Ppgoogle google one"/>
    <n v="8990"/>
    <s v="EERR"/>
    <n v="-8990"/>
    <x v="110"/>
  </r>
  <r>
    <n v="2026"/>
    <n v="4"/>
    <s v="22-04-2026"/>
    <n v="10774"/>
    <s v="4201-37"/>
    <n v="1381422"/>
    <n v="0"/>
    <s v="Prodezk-miami"/>
    <n v="1381422"/>
    <s v="EERR"/>
    <n v="-1381422"/>
    <x v="110"/>
  </r>
  <r>
    <n v="2026"/>
    <n v="4"/>
    <s v="22-04-2026"/>
    <n v="10775"/>
    <s v="4201-37"/>
    <n v="67962"/>
    <n v="0"/>
    <s v="Zapier.comcharge"/>
    <n v="67962"/>
    <s v="EERR"/>
    <n v="-67962"/>
    <x v="110"/>
  </r>
  <r>
    <n v="2026"/>
    <n v="4"/>
    <s v="22-04-2026"/>
    <n v="10775"/>
    <s v="4201-37"/>
    <n v="0"/>
    <n v="24276"/>
    <s v="Nota de credito"/>
    <n v="-24276"/>
    <s v="EERR"/>
    <n v="24276"/>
    <x v="110"/>
  </r>
  <r>
    <n v="2026"/>
    <n v="4"/>
    <s v="22-04-2026"/>
    <n v="10775"/>
    <s v="4201-37"/>
    <n v="4716"/>
    <n v="0"/>
    <s v="Microsoft-g150706298"/>
    <n v="4716"/>
    <s v="EERR"/>
    <n v="-4716"/>
    <x v="110"/>
  </r>
  <r>
    <n v="2026"/>
    <n v="4"/>
    <s v="22-04-2026"/>
    <n v="10775"/>
    <s v="4201-37"/>
    <n v="480065"/>
    <n v="0"/>
    <s v="E-commerce monday.c"/>
    <n v="480065"/>
    <s v="EERR"/>
    <n v="-480065"/>
    <x v="110"/>
  </r>
  <r>
    <n v="2026"/>
    <n v="4"/>
    <s v="22-04-2026"/>
    <n v="10775"/>
    <s v="4201-37"/>
    <n v="104563"/>
    <n v="0"/>
    <s v="Microsoftñg151970788"/>
    <n v="104563"/>
    <s v="EERR"/>
    <n v="-104563"/>
    <x v="110"/>
  </r>
  <r>
    <n v="2026"/>
    <n v="4"/>
    <s v="22-04-2026"/>
    <n v="10775"/>
    <s v="4201-37"/>
    <n v="153339"/>
    <n v="0"/>
    <s v="Paypal freddy.tabali"/>
    <n v="153339"/>
    <s v="EERR"/>
    <n v="-153339"/>
    <x v="110"/>
  </r>
  <r>
    <n v="2026"/>
    <n v="4"/>
    <s v="22-04-2026"/>
    <n v="10775"/>
    <s v="4201-37"/>
    <n v="41700"/>
    <n v="0"/>
    <s v="Fs docugen.io"/>
    <n v="41700"/>
    <s v="EERR"/>
    <n v="-41700"/>
    <x v="110"/>
  </r>
  <r>
    <n v="2026"/>
    <n v="4"/>
    <s v="22-04-2026"/>
    <n v="10775"/>
    <s v="4201-37"/>
    <n v="111409"/>
    <n v="0"/>
    <s v="Pppp fs wmspanel"/>
    <n v="111409"/>
    <s v="EERR"/>
    <n v="-111409"/>
    <x v="110"/>
  </r>
  <r>
    <n v="2026"/>
    <n v="4"/>
    <s v="22-04-2026"/>
    <n v="10775"/>
    <s v="4201-37"/>
    <n v="6677"/>
    <n v="0"/>
    <s v="Microsoft-g149547577"/>
    <n v="6677"/>
    <s v="EERR"/>
    <n v="-6677"/>
    <x v="110"/>
  </r>
  <r>
    <n v="2026"/>
    <n v="4"/>
    <s v="22-04-2026"/>
    <n v="10775"/>
    <s v="4201-37"/>
    <n v="39240"/>
    <n v="0"/>
    <s v="Twilio sendgrid"/>
    <n v="39240"/>
    <s v="EERR"/>
    <n v="-39240"/>
    <x v="110"/>
  </r>
  <r>
    <n v="2026"/>
    <n v="4"/>
    <s v="22-04-2026"/>
    <n v="10775"/>
    <s v="4201-37"/>
    <n v="27968"/>
    <n v="0"/>
    <s v="Paypal jivrus.tech"/>
    <n v="27968"/>
    <s v="EERR"/>
    <n v="-27968"/>
    <x v="110"/>
  </r>
  <r>
    <n v="2026"/>
    <n v="4"/>
    <s v="22-04-2026"/>
    <n v="10775"/>
    <s v="4201-37"/>
    <n v="45999"/>
    <n v="0"/>
    <s v="Linkedin linkedin"/>
    <n v="45999"/>
    <s v="EERR"/>
    <n v="-45999"/>
    <x v="110"/>
  </r>
  <r>
    <n v="2026"/>
    <n v="4"/>
    <s v="30-04-2026"/>
    <n v="10758"/>
    <s v="4201-37"/>
    <n v="9233357"/>
    <n v="0"/>
    <s v="Centralización compras abril 2026 - valor neto"/>
    <n v="9233357"/>
    <s v="EERR"/>
    <n v="-9233357"/>
    <x v="110"/>
  </r>
  <r>
    <n v="2026"/>
    <n v="5"/>
    <s v="31-05-2026"/>
    <n v="10790"/>
    <s v="4201-37"/>
    <n v="5142286"/>
    <n v="0"/>
    <s v="Centralización compras mayo 2026 - valor neto"/>
    <n v="5142286"/>
    <s v="EERR"/>
    <n v="-5142286"/>
    <x v="110"/>
  </r>
  <r>
    <n v="2026"/>
    <n v="6"/>
    <s v="01-06-2026"/>
    <n v="7970"/>
    <s v="4201-37"/>
    <n v="912977"/>
    <n v="0"/>
    <s v="Compra google workspace"/>
    <n v="912977"/>
    <s v="EERR"/>
    <n v="-912977"/>
    <x v="110"/>
  </r>
  <r>
    <n v="2026"/>
    <n v="6"/>
    <s v="23-06-2026"/>
    <n v="10804"/>
    <s v="4201-37"/>
    <n v="27258"/>
    <n v="0"/>
    <s v="Paypal jivrus.tech"/>
    <n v="27258"/>
    <s v="EERR"/>
    <n v="-27258"/>
    <x v="110"/>
  </r>
  <r>
    <n v="2026"/>
    <n v="6"/>
    <s v="30-06-2026"/>
    <n v="10798"/>
    <s v="4201-37"/>
    <n v="14238127"/>
    <n v="0"/>
    <s v="Centralización compras junio 2026 - valor neto"/>
    <n v="14238127"/>
    <s v="EERR"/>
    <n v="-14238127"/>
    <x v="110"/>
  </r>
  <r>
    <n v="2026"/>
    <n v="7"/>
    <s v="31-07-2026"/>
    <n v="10852"/>
    <s v="4201-37"/>
    <n v="7130921"/>
    <n v="0"/>
    <s v="Centralización compras julio 2026 - valor neto"/>
    <n v="7130921"/>
    <s v="EERR"/>
    <n v="-7130921"/>
    <x v="110"/>
  </r>
  <r>
    <n v="2026"/>
    <n v="1"/>
    <s v="31-01-2026"/>
    <n v="9814"/>
    <s v="4201-42"/>
    <n v="7337020"/>
    <n v="0"/>
    <s v="Centralización compras enero 2026 - valor neto"/>
    <n v="7337020"/>
    <s v="EERR"/>
    <n v="-7337020"/>
    <x v="111"/>
  </r>
  <r>
    <n v="2026"/>
    <n v="2"/>
    <s v="28-02-2026"/>
    <n v="9815"/>
    <s v="4201-42"/>
    <n v="5261218"/>
    <n v="0"/>
    <s v="Centralización compras febrero 2026 - valor neto"/>
    <n v="5261218"/>
    <s v="EERR"/>
    <n v="-5261218"/>
    <x v="111"/>
  </r>
  <r>
    <n v="2026"/>
    <n v="3"/>
    <s v="31-03-2026"/>
    <n v="10753"/>
    <s v="4201-42"/>
    <n v="6558310"/>
    <n v="0"/>
    <s v="Centralización compras marzo 2026 - valor neto"/>
    <n v="6558310"/>
    <s v="EERR"/>
    <n v="-6558310"/>
    <x v="111"/>
  </r>
  <r>
    <n v="2026"/>
    <n v="4"/>
    <s v="30-04-2026"/>
    <n v="10758"/>
    <s v="4201-42"/>
    <n v="5828787"/>
    <n v="0"/>
    <s v="Centralización compras abril 2026 - valor neto"/>
    <n v="5828787"/>
    <s v="EERR"/>
    <n v="-5828787"/>
    <x v="111"/>
  </r>
  <r>
    <n v="2026"/>
    <n v="5"/>
    <s v="31-05-2026"/>
    <n v="10790"/>
    <s v="4201-42"/>
    <n v="6766513"/>
    <n v="0"/>
    <s v="Centralización compras mayo 2026 - valor neto"/>
    <n v="6766513"/>
    <s v="EERR"/>
    <n v="-6766513"/>
    <x v="111"/>
  </r>
  <r>
    <n v="2026"/>
    <n v="6"/>
    <s v="30-06-2026"/>
    <n v="10798"/>
    <s v="4201-42"/>
    <n v="1392922"/>
    <n v="0"/>
    <s v="Centralización compras junio 2026 - valor neto"/>
    <n v="1392922"/>
    <s v="EERR"/>
    <n v="-1392922"/>
    <x v="111"/>
  </r>
  <r>
    <n v="2026"/>
    <n v="7"/>
    <s v="31-07-2026"/>
    <n v="10852"/>
    <s v="4201-42"/>
    <n v="13207727"/>
    <n v="0"/>
    <s v="Centralización compras julio 2026 - valor neto"/>
    <n v="13207727"/>
    <s v="EERR"/>
    <n v="-13207727"/>
    <x v="111"/>
  </r>
  <r>
    <n v="2026"/>
    <n v="1"/>
    <s v="31-01-2026"/>
    <n v="9814"/>
    <s v="4201-44"/>
    <n v="2821553"/>
    <n v="0"/>
    <s v="Centralización compras enero 2026 - valor neto"/>
    <n v="2821553"/>
    <s v="EERR"/>
    <n v="-2821553"/>
    <x v="112"/>
  </r>
  <r>
    <n v="2026"/>
    <n v="2"/>
    <s v="28-02-2026"/>
    <n v="9815"/>
    <s v="4201-44"/>
    <n v="2825188"/>
    <n v="0"/>
    <s v="Centralización compras febrero 2026 - valor neto"/>
    <n v="2825188"/>
    <s v="EERR"/>
    <n v="-2825188"/>
    <x v="112"/>
  </r>
  <r>
    <n v="2026"/>
    <n v="3"/>
    <s v="31-03-2026"/>
    <n v="10753"/>
    <s v="4201-44"/>
    <n v="2823696"/>
    <n v="0"/>
    <s v="Centralización compras marzo 2026 - valor neto"/>
    <n v="2823696"/>
    <s v="EERR"/>
    <n v="-2823696"/>
    <x v="112"/>
  </r>
  <r>
    <n v="2026"/>
    <n v="4"/>
    <s v="30-04-2026"/>
    <n v="10758"/>
    <s v="4201-44"/>
    <n v="2829607"/>
    <n v="0"/>
    <s v="Centralización compras abril 2026 - valor neto"/>
    <n v="2829607"/>
    <s v="EERR"/>
    <n v="-2829607"/>
    <x v="112"/>
  </r>
  <r>
    <n v="2026"/>
    <n v="5"/>
    <s v="31-05-2026"/>
    <n v="10790"/>
    <s v="4201-44"/>
    <n v="2855898"/>
    <n v="0"/>
    <s v="Centralización compras mayo 2026 - valor neto"/>
    <n v="2855898"/>
    <s v="EERR"/>
    <n v="-2855898"/>
    <x v="112"/>
  </r>
  <r>
    <n v="2026"/>
    <n v="6"/>
    <s v="30-06-2026"/>
    <n v="10798"/>
    <s v="4201-44"/>
    <n v="4145506"/>
    <n v="0"/>
    <s v="Centralización compras junio 2026 - valor neto"/>
    <n v="4145506"/>
    <s v="EERR"/>
    <n v="-4145506"/>
    <x v="112"/>
  </r>
  <r>
    <n v="2026"/>
    <n v="7"/>
    <s v="31-07-2026"/>
    <n v="10852"/>
    <s v="4201-44"/>
    <n v="2903620"/>
    <n v="0"/>
    <s v="Centralización compras julio 2026 - valor neto"/>
    <n v="2903620"/>
    <s v="EERR"/>
    <n v="-2903620"/>
    <x v="112"/>
  </r>
  <r>
    <n v="2026"/>
    <n v="1"/>
    <s v="31-01-2026"/>
    <n v="9823"/>
    <s v="4201-47"/>
    <n v="1790"/>
    <n v="0"/>
    <s v="Impto. decreto ley 3475"/>
    <n v="1790"/>
    <s v="EERR"/>
    <n v="-1790"/>
    <x v="113"/>
  </r>
  <r>
    <n v="2026"/>
    <n v="1"/>
    <s v="31-01-2026"/>
    <n v="9823"/>
    <s v="4201-47"/>
    <n v="15490"/>
    <n v="0"/>
    <s v="Comision de mantencion"/>
    <n v="15490"/>
    <s v="EERR"/>
    <n v="-15490"/>
    <x v="113"/>
  </r>
  <r>
    <n v="2026"/>
    <n v="1"/>
    <s v="31-01-2026"/>
    <n v="9824"/>
    <s v="4201-47"/>
    <n v="5124"/>
    <n v="0"/>
    <s v="Impto. decreto ley 3475"/>
    <n v="5124"/>
    <s v="EERR"/>
    <n v="-5124"/>
    <x v="113"/>
  </r>
  <r>
    <n v="2026"/>
    <n v="1"/>
    <s v="31-01-2026"/>
    <n v="9824"/>
    <s v="4201-47"/>
    <n v="15490"/>
    <n v="0"/>
    <s v="Comision de mantencion"/>
    <n v="15490"/>
    <s v="EERR"/>
    <n v="-15490"/>
    <x v="113"/>
  </r>
  <r>
    <n v="2026"/>
    <n v="1"/>
    <s v="31-01-2026"/>
    <n v="9825"/>
    <s v="4201-47"/>
    <n v="15490"/>
    <n v="0"/>
    <s v="Comision de mantencion"/>
    <n v="15490"/>
    <s v="EERR"/>
    <n v="-15490"/>
    <x v="113"/>
  </r>
  <r>
    <n v="2026"/>
    <n v="2"/>
    <s v="28-02-2026"/>
    <n v="10599"/>
    <s v="4201-47"/>
    <n v="1565"/>
    <n v="0"/>
    <s v="Impto. decreto ley 3475"/>
    <n v="1565"/>
    <s v="EERR"/>
    <n v="-1565"/>
    <x v="113"/>
  </r>
  <r>
    <n v="2026"/>
    <n v="2"/>
    <s v="28-02-2026"/>
    <n v="10599"/>
    <s v="4201-47"/>
    <n v="451"/>
    <n v="0"/>
    <s v="Impto. decreto ley 3475"/>
    <n v="451"/>
    <s v="EERR"/>
    <n v="-451"/>
    <x v="113"/>
  </r>
  <r>
    <n v="2026"/>
    <n v="2"/>
    <s v="28-02-2026"/>
    <n v="10599"/>
    <s v="4201-47"/>
    <n v="15521"/>
    <n v="0"/>
    <s v="Comision de mantencion"/>
    <n v="15521"/>
    <s v="EERR"/>
    <n v="-15521"/>
    <x v="113"/>
  </r>
  <r>
    <n v="2026"/>
    <n v="2"/>
    <s v="28-02-2026"/>
    <n v="10600"/>
    <s v="4201-47"/>
    <n v="15507"/>
    <n v="0"/>
    <s v="Comision de mantencion"/>
    <n v="15507"/>
    <s v="EERR"/>
    <n v="-15507"/>
    <x v="113"/>
  </r>
  <r>
    <n v="2026"/>
    <n v="2"/>
    <s v="28-02-2026"/>
    <n v="10601"/>
    <s v="4201-47"/>
    <n v="2691"/>
    <n v="0"/>
    <s v="Impuestos"/>
    <n v="2691"/>
    <s v="EERR"/>
    <n v="-2691"/>
    <x v="113"/>
  </r>
  <r>
    <n v="2026"/>
    <n v="2"/>
    <s v="28-02-2026"/>
    <n v="10601"/>
    <s v="4201-47"/>
    <n v="15507"/>
    <n v="0"/>
    <s v="Comision de mantencion"/>
    <n v="15507"/>
    <s v="EERR"/>
    <n v="-15507"/>
    <x v="113"/>
  </r>
  <r>
    <n v="2026"/>
    <n v="3"/>
    <s v="31-03-2026"/>
    <n v="10748"/>
    <s v="4201-47"/>
    <n v="15538"/>
    <n v="0"/>
    <s v="Centralizacion tc 8107"/>
    <n v="15538"/>
    <s v="EERR"/>
    <n v="-15538"/>
    <x v="113"/>
  </r>
  <r>
    <n v="2026"/>
    <n v="3"/>
    <s v="31-03-2026"/>
    <n v="10749"/>
    <s v="4201-47"/>
    <n v="1056"/>
    <n v="0"/>
    <s v="Centralizacion tc 5130"/>
    <n v="1056"/>
    <s v="EERR"/>
    <n v="-1056"/>
    <x v="113"/>
  </r>
  <r>
    <n v="2026"/>
    <n v="3"/>
    <s v="31-03-2026"/>
    <n v="10749"/>
    <s v="4201-47"/>
    <n v="15538"/>
    <n v="0"/>
    <s v="Centralizacion tc 5130"/>
    <n v="15538"/>
    <s v="EERR"/>
    <n v="-15538"/>
    <x v="113"/>
  </r>
  <r>
    <n v="2026"/>
    <n v="3"/>
    <s v="31-03-2026"/>
    <n v="10750"/>
    <s v="4201-47"/>
    <n v="15538"/>
    <n v="0"/>
    <s v="Centralizacion tc 6647"/>
    <n v="15538"/>
    <s v="EERR"/>
    <n v="-15538"/>
    <x v="113"/>
  </r>
  <r>
    <n v="2026"/>
    <n v="4"/>
    <s v="22-04-2026"/>
    <n v="10773"/>
    <s v="4201-47"/>
    <n v="15605"/>
    <n v="0"/>
    <s v="Comision de mantencion"/>
    <n v="15605"/>
    <s v="EERR"/>
    <n v="-15605"/>
    <x v="113"/>
  </r>
  <r>
    <n v="2026"/>
    <n v="4"/>
    <s v="22-04-2026"/>
    <n v="10774"/>
    <s v="4201-47"/>
    <n v="15605"/>
    <n v="0"/>
    <s v="Comision de mantencion"/>
    <n v="15605"/>
    <s v="EERR"/>
    <n v="-15605"/>
    <x v="113"/>
  </r>
  <r>
    <n v="2026"/>
    <n v="4"/>
    <s v="22-04-2026"/>
    <n v="10775"/>
    <s v="4201-47"/>
    <n v="778"/>
    <n v="0"/>
    <s v="Impto. decreto ley 3475"/>
    <n v="778"/>
    <s v="EERR"/>
    <n v="-778"/>
    <x v="113"/>
  </r>
  <r>
    <n v="2026"/>
    <n v="4"/>
    <s v="22-04-2026"/>
    <n v="10775"/>
    <s v="4201-47"/>
    <n v="15605"/>
    <n v="0"/>
    <s v="Comision de mantencion"/>
    <n v="15605"/>
    <s v="EERR"/>
    <n v="-15605"/>
    <x v="113"/>
  </r>
  <r>
    <n v="2026"/>
    <n v="5"/>
    <s v="25-05-2026"/>
    <n v="10786"/>
    <s v="4201-47"/>
    <n v="15799"/>
    <n v="0"/>
    <s v="Comision de mantencion"/>
    <n v="15799"/>
    <s v="EERR"/>
    <n v="-15799"/>
    <x v="113"/>
  </r>
  <r>
    <n v="2026"/>
    <n v="5"/>
    <s v="25-05-2026"/>
    <n v="10787"/>
    <s v="4201-47"/>
    <n v="15799"/>
    <n v="0"/>
    <s v="Comision de mantencion"/>
    <n v="15799"/>
    <s v="EERR"/>
    <n v="-15799"/>
    <x v="113"/>
  </r>
  <r>
    <n v="2026"/>
    <n v="5"/>
    <s v="25-05-2026"/>
    <n v="10788"/>
    <s v="4201-47"/>
    <n v="15799"/>
    <n v="0"/>
    <s v="Comision de mantencion"/>
    <n v="15799"/>
    <s v="EERR"/>
    <n v="-15799"/>
    <x v="113"/>
  </r>
  <r>
    <n v="2026"/>
    <n v="6"/>
    <s v="23-06-2026"/>
    <n v="10804"/>
    <s v="4201-47"/>
    <n v="15912"/>
    <n v="0"/>
    <s v="Comision de mantencion"/>
    <n v="15912"/>
    <s v="EERR"/>
    <n v="-15912"/>
    <x v="113"/>
  </r>
  <r>
    <n v="2026"/>
    <n v="6"/>
    <s v="23-06-2026"/>
    <n v="10805"/>
    <s v="4201-47"/>
    <n v="15912"/>
    <n v="0"/>
    <s v="Comision de mantencion"/>
    <n v="15912"/>
    <s v="EERR"/>
    <n v="-15912"/>
    <x v="113"/>
  </r>
  <r>
    <n v="2026"/>
    <n v="6"/>
    <s v="23-06-2026"/>
    <n v="10806"/>
    <s v="4201-47"/>
    <n v="15912"/>
    <n v="0"/>
    <s v="Comision de mantencion"/>
    <n v="15912"/>
    <s v="EERR"/>
    <n v="-15912"/>
    <x v="113"/>
  </r>
  <r>
    <n v="2026"/>
    <n v="7"/>
    <s v="23-07-2026"/>
    <n v="8616"/>
    <s v="4201-47"/>
    <n v="15930"/>
    <n v="0"/>
    <s v="Comision mantencion"/>
    <n v="15930"/>
    <s v="EERR"/>
    <n v="-15930"/>
    <x v="113"/>
  </r>
  <r>
    <n v="2026"/>
    <n v="7"/>
    <s v="23-07-2026"/>
    <n v="8629"/>
    <s v="4201-47"/>
    <n v="15930"/>
    <n v="0"/>
    <s v="Comision de mantencion"/>
    <n v="15930"/>
    <s v="EERR"/>
    <n v="-15930"/>
    <x v="113"/>
  </r>
  <r>
    <n v="2026"/>
    <n v="7"/>
    <s v="23-07-2026"/>
    <n v="8657"/>
    <s v="4201-47"/>
    <n v="15930"/>
    <n v="0"/>
    <s v="Comision mantencion"/>
    <n v="15930"/>
    <s v="EERR"/>
    <n v="-15930"/>
    <x v="113"/>
  </r>
  <r>
    <n v="2026"/>
    <n v="3"/>
    <s v="10-03-2026"/>
    <n v="7469"/>
    <s v="4201-48"/>
    <n v="1211017"/>
    <n v="0"/>
    <s v="Pago patente las condes"/>
    <n v="1211017"/>
    <s v="EERR"/>
    <n v="-1211017"/>
    <x v="114"/>
  </r>
  <r>
    <n v="2026"/>
    <n v="5"/>
    <s v="31-05-2026"/>
    <n v="10785"/>
    <s v="4204-01"/>
    <n v="40021"/>
    <n v="0"/>
    <s v="Diferecia tc banco santander usd"/>
    <n v="40021"/>
    <s v="EERR"/>
    <n v="-40021"/>
    <x v="115"/>
  </r>
  <r>
    <n v="2026"/>
    <n v="1"/>
    <s v="31-01-2026"/>
    <n v="9814"/>
    <s v="4301-03"/>
    <n v="771177"/>
    <n v="0"/>
    <s v="Centralización compras enero 2026 - valor neto"/>
    <n v="771177"/>
    <s v="EERR"/>
    <n v="-771177"/>
    <x v="116"/>
  </r>
  <r>
    <n v="2026"/>
    <n v="2"/>
    <s v="28-02-2026"/>
    <n v="9815"/>
    <s v="4301-03"/>
    <n v="750000"/>
    <n v="0"/>
    <s v="Centralización compras febrero 2026 - valor neto"/>
    <n v="750000"/>
    <s v="EERR"/>
    <n v="-750000"/>
    <x v="116"/>
  </r>
  <r>
    <n v="2026"/>
    <n v="3"/>
    <s v="31-03-2026"/>
    <n v="10753"/>
    <s v="4301-03"/>
    <n v="706000"/>
    <n v="0"/>
    <s v="Centralización compras marzo 2026 - valor neto"/>
    <n v="706000"/>
    <s v="EERR"/>
    <n v="-706000"/>
    <x v="116"/>
  </r>
  <r>
    <n v="2026"/>
    <n v="4"/>
    <s v="30-04-2026"/>
    <n v="10758"/>
    <s v="4301-03"/>
    <n v="1800000"/>
    <n v="0"/>
    <s v="Centralización compras abril 2026 - valor neto"/>
    <n v="1800000"/>
    <s v="EERR"/>
    <n v="-1800000"/>
    <x v="116"/>
  </r>
  <r>
    <n v="2026"/>
    <n v="5"/>
    <s v="31-05-2026"/>
    <n v="10790"/>
    <s v="4301-03"/>
    <n v="4728000"/>
    <n v="0"/>
    <s v="Centralización compras mayo 2026 - valor neto"/>
    <n v="4728000"/>
    <s v="EERR"/>
    <n v="-4728000"/>
    <x v="116"/>
  </r>
  <r>
    <n v="2026"/>
    <n v="5"/>
    <s v="31-05-2026"/>
    <n v="10790"/>
    <s v="4301-03"/>
    <n v="0"/>
    <n v="1800000"/>
    <s v="Centralización compras mayo 2026 - valor neto"/>
    <n v="-1800000"/>
    <s v="EERR"/>
    <n v="1800000"/>
    <x v="116"/>
  </r>
  <r>
    <n v="2026"/>
    <n v="6"/>
    <s v="23-06-2026"/>
    <n v="10804"/>
    <s v="4301-03"/>
    <n v="12532"/>
    <n v="0"/>
    <s v="Facebk sc5zynry92"/>
    <n v="12532"/>
    <s v="EERR"/>
    <n v="-12532"/>
    <x v="116"/>
  </r>
  <r>
    <n v="2026"/>
    <n v="6"/>
    <s v="30-06-2026"/>
    <n v="10798"/>
    <s v="4301-03"/>
    <n v="1819000"/>
    <n v="0"/>
    <s v="Centralización compras junio 2026 - valor neto"/>
    <n v="1819000"/>
    <s v="EERR"/>
    <n v="-1819000"/>
    <x v="116"/>
  </r>
  <r>
    <n v="2026"/>
    <n v="7"/>
    <s v="31-07-2026"/>
    <n v="10852"/>
    <s v="4301-03"/>
    <n v="1660084"/>
    <n v="0"/>
    <s v="Centralización compras julio 2026 - valor neto"/>
    <n v="1660084"/>
    <s v="EERR"/>
    <n v="-1660084"/>
    <x v="116"/>
  </r>
  <r>
    <n v="2026"/>
    <n v="1"/>
    <s v="31-01-2026"/>
    <n v="9814"/>
    <s v="4301-06"/>
    <n v="1662538"/>
    <n v="0"/>
    <s v="Centralización compras enero 2026 - valor neto"/>
    <n v="1662538"/>
    <s v="EERR"/>
    <n v="-1662538"/>
    <x v="117"/>
  </r>
  <r>
    <n v="2026"/>
    <n v="1"/>
    <s v="31-01-2026"/>
    <n v="9814"/>
    <s v="4301-06"/>
    <n v="0"/>
    <n v="16161"/>
    <s v="Centralización compras enero 2026 - valor neto"/>
    <n v="-16161"/>
    <s v="EERR"/>
    <n v="16161"/>
    <x v="117"/>
  </r>
  <r>
    <n v="2026"/>
    <n v="2"/>
    <s v="28-02-2026"/>
    <n v="9815"/>
    <s v="4301-06"/>
    <n v="2500464"/>
    <n v="0"/>
    <s v="Centralización compras febrero 2026 - valor neto"/>
    <n v="2500464"/>
    <s v="EERR"/>
    <n v="-2500464"/>
    <x v="117"/>
  </r>
  <r>
    <n v="2026"/>
    <n v="2"/>
    <s v="28-02-2026"/>
    <n v="9815"/>
    <s v="4301-06"/>
    <n v="0"/>
    <n v="19508"/>
    <s v="Centralización compras febrero 2026 - valor neto"/>
    <n v="-19508"/>
    <s v="EERR"/>
    <n v="19508"/>
    <x v="117"/>
  </r>
  <r>
    <n v="2026"/>
    <n v="3"/>
    <s v="31-03-2026"/>
    <n v="10753"/>
    <s v="4301-06"/>
    <n v="653640"/>
    <n v="0"/>
    <s v="Centralización compras marzo 2026 - valor neto"/>
    <n v="653640"/>
    <s v="EERR"/>
    <n v="-653640"/>
    <x v="117"/>
  </r>
  <r>
    <n v="2026"/>
    <n v="3"/>
    <s v="31-03-2026"/>
    <n v="10753"/>
    <s v="4301-06"/>
    <n v="0"/>
    <n v="15099"/>
    <s v="Centralización compras marzo 2026 - valor neto"/>
    <n v="-15099"/>
    <s v="EERR"/>
    <n v="15099"/>
    <x v="117"/>
  </r>
  <r>
    <n v="2026"/>
    <n v="4"/>
    <s v="30-04-2026"/>
    <n v="10758"/>
    <s v="4301-06"/>
    <n v="1778009"/>
    <n v="0"/>
    <s v="Centralización compras abril 2026 - valor neto"/>
    <n v="1778009"/>
    <s v="EERR"/>
    <n v="-1778009"/>
    <x v="117"/>
  </r>
  <r>
    <n v="2026"/>
    <n v="4"/>
    <s v="30-04-2026"/>
    <n v="10758"/>
    <s v="4301-06"/>
    <n v="0"/>
    <n v="11675"/>
    <s v="Centralización compras abril 2026 - valor neto"/>
    <n v="-11675"/>
    <s v="EERR"/>
    <n v="11675"/>
    <x v="117"/>
  </r>
  <r>
    <n v="2026"/>
    <n v="5"/>
    <s v="31-05-2026"/>
    <n v="10790"/>
    <s v="4301-06"/>
    <n v="2720925"/>
    <n v="0"/>
    <s v="Centralización compras mayo 2026 - valor neto"/>
    <n v="2720925"/>
    <s v="EERR"/>
    <n v="-2720925"/>
    <x v="117"/>
  </r>
  <r>
    <n v="2026"/>
    <n v="5"/>
    <s v="31-05-2026"/>
    <n v="10790"/>
    <s v="4301-06"/>
    <n v="0"/>
    <n v="29054"/>
    <s v="Centralización compras mayo 2026 - valor neto"/>
    <n v="-29054"/>
    <s v="EERR"/>
    <n v="29054"/>
    <x v="117"/>
  </r>
  <r>
    <n v="2026"/>
    <n v="7"/>
    <s v="31-07-2026"/>
    <n v="10852"/>
    <s v="4301-06"/>
    <n v="2338600"/>
    <n v="0"/>
    <s v="Centralización compras julio 2026 - valor neto"/>
    <n v="2338600"/>
    <s v="EERR"/>
    <n v="-2338600"/>
    <x v="117"/>
  </r>
  <r>
    <n v="2026"/>
    <n v="7"/>
    <s v="31-07-2026"/>
    <n v="10852"/>
    <s v="4301-06"/>
    <n v="0"/>
    <n v="38229"/>
    <s v="Centralización compras julio 2026 - valor neto"/>
    <n v="-38229"/>
    <s v="EERR"/>
    <n v="38229"/>
    <x v="117"/>
  </r>
  <r>
    <n v="2026"/>
    <n v="1"/>
    <s v="31-01-2026"/>
    <n v="9814"/>
    <s v="4301-07"/>
    <n v="132675"/>
    <n v="0"/>
    <s v="Centralización compras enero 2026 - valor neto"/>
    <n v="132675"/>
    <s v="EERR"/>
    <n v="-132675"/>
    <x v="118"/>
  </r>
  <r>
    <n v="2026"/>
    <n v="2"/>
    <s v="28-02-2026"/>
    <n v="9815"/>
    <s v="4301-07"/>
    <n v="133701"/>
    <n v="0"/>
    <s v="Centralización compras febrero 2026 - valor neto"/>
    <n v="133701"/>
    <s v="EERR"/>
    <n v="-133701"/>
    <x v="118"/>
  </r>
  <r>
    <n v="2026"/>
    <n v="3"/>
    <s v="31-03-2026"/>
    <n v="10753"/>
    <s v="4301-07"/>
    <n v="126460"/>
    <n v="0"/>
    <s v="Centralización compras marzo 2026 - valor neto"/>
    <n v="126460"/>
    <s v="EERR"/>
    <n v="-126460"/>
    <x v="118"/>
  </r>
  <r>
    <n v="2026"/>
    <n v="4"/>
    <s v="30-04-2026"/>
    <n v="10758"/>
    <s v="4301-07"/>
    <n v="143306"/>
    <n v="0"/>
    <s v="Centralización compras abril 2026 - valor neto"/>
    <n v="143306"/>
    <s v="EERR"/>
    <n v="-143306"/>
    <x v="118"/>
  </r>
  <r>
    <n v="2026"/>
    <n v="5"/>
    <s v="31-05-2026"/>
    <n v="10790"/>
    <s v="4301-07"/>
    <n v="118738"/>
    <n v="0"/>
    <s v="Centralización compras mayo 2026 - valor neto"/>
    <n v="118738"/>
    <s v="EERR"/>
    <n v="-118738"/>
    <x v="118"/>
  </r>
  <r>
    <n v="2026"/>
    <n v="6"/>
    <s v="30-06-2026"/>
    <n v="10798"/>
    <s v="4301-07"/>
    <n v="130072"/>
    <n v="0"/>
    <s v="Centralización compras junio 2026 - valor neto"/>
    <n v="130072"/>
    <s v="EERR"/>
    <n v="-130072"/>
    <x v="118"/>
  </r>
  <r>
    <n v="2026"/>
    <n v="7"/>
    <s v="31-07-2026"/>
    <n v="10852"/>
    <s v="4301-07"/>
    <n v="146553"/>
    <n v="0"/>
    <s v="Centralización compras julio 2026 - valor neto"/>
    <n v="146553"/>
    <s v="EERR"/>
    <n v="-146553"/>
    <x v="118"/>
  </r>
  <r>
    <n v="2026"/>
    <n v="1"/>
    <s v="05-01-2026"/>
    <n v="6915"/>
    <s v="4401-01"/>
    <n v="272216"/>
    <n v="0"/>
    <s v="Pago credito pac cuota 43 n00033349988"/>
    <n v="272216"/>
    <s v="EERR"/>
    <n v="-272216"/>
    <x v="119"/>
  </r>
  <r>
    <n v="2026"/>
    <n v="1"/>
    <s v="05-01-2026"/>
    <n v="6916"/>
    <s v="4401-01"/>
    <n v="584148"/>
    <n v="0"/>
    <s v="Pago credito pac credito n 38648612 cuota 9"/>
    <n v="584148"/>
    <s v="EERR"/>
    <n v="-584148"/>
    <x v="119"/>
  </r>
  <r>
    <n v="2026"/>
    <n v="1"/>
    <s v="05-01-2026"/>
    <n v="7098"/>
    <s v="4401-01"/>
    <n v="1067751"/>
    <n v="0"/>
    <s v="Pago cuota 0737 - tlink spa credito itau 60529874"/>
    <n v="1067751"/>
    <s v="EERR"/>
    <n v="-1067751"/>
    <x v="119"/>
  </r>
  <r>
    <n v="2026"/>
    <n v="1"/>
    <s v="12-01-2026"/>
    <n v="6918"/>
    <s v="4401-01"/>
    <n v="234686"/>
    <n v="0"/>
    <s v="Pago credito pac credito 00036361722 cuota 26"/>
    <n v="234686"/>
    <s v="EERR"/>
    <n v="-234686"/>
    <x v="119"/>
  </r>
  <r>
    <n v="2026"/>
    <n v="1"/>
    <s v="12-01-2026"/>
    <n v="7009"/>
    <s v="4401-01"/>
    <n v="647101"/>
    <n v="0"/>
    <s v="Pago cuota crédito n 420022371370 cuota 24"/>
    <n v="647101"/>
    <s v="EERR"/>
    <n v="-647101"/>
    <x v="119"/>
  </r>
  <r>
    <n v="2026"/>
    <n v="1"/>
    <s v="12-01-2026"/>
    <n v="7010"/>
    <s v="4401-01"/>
    <n v="87180"/>
    <n v="0"/>
    <s v="Pago cuota crédito n 420021082928 cuota 54"/>
    <n v="87180"/>
    <s v="EERR"/>
    <n v="-87180"/>
    <x v="119"/>
  </r>
  <r>
    <n v="2026"/>
    <n v="1"/>
    <s v="21-01-2026"/>
    <n v="7066"/>
    <s v="4401-01"/>
    <n v="1635171"/>
    <n v="0"/>
    <s v="Pago cuota crédito n 420050694789 cuota 11"/>
    <n v="1635171"/>
    <s v="EERR"/>
    <n v="-1635171"/>
    <x v="119"/>
  </r>
  <r>
    <n v="2026"/>
    <n v="2"/>
    <s v="03-02-2026"/>
    <n v="7100"/>
    <s v="4401-01"/>
    <n v="911366"/>
    <n v="0"/>
    <s v="Pago cuota 837 - tlink spa credito itau 60529874"/>
    <n v="911366"/>
    <s v="EERR"/>
    <n v="-911366"/>
    <x v="119"/>
  </r>
  <r>
    <n v="2026"/>
    <n v="2"/>
    <s v="05-02-2026"/>
    <n v="7304"/>
    <s v="4401-01"/>
    <n v="258386"/>
    <n v="0"/>
    <s v="Pago cuota 44-60  prestamo banco estado n00033349988"/>
    <n v="258386"/>
    <s v="EERR"/>
    <n v="-258386"/>
    <x v="119"/>
  </r>
  <r>
    <n v="2026"/>
    <n v="2"/>
    <s v="05-02-2026"/>
    <n v="7305"/>
    <s v="4401-01"/>
    <n v="575026"/>
    <n v="0"/>
    <s v="Pago cuota 10-59 credito estado 00038648612"/>
    <n v="575026"/>
    <s v="EERR"/>
    <n v="-575026"/>
    <x v="119"/>
  </r>
  <r>
    <n v="2026"/>
    <n v="2"/>
    <s v="10-02-2026"/>
    <n v="7168"/>
    <s v="4401-01"/>
    <n v="67294"/>
    <n v="0"/>
    <s v="Pago cuota crédito n 420021082928"/>
    <n v="67294"/>
    <s v="EERR"/>
    <n v="-67294"/>
    <x v="119"/>
  </r>
  <r>
    <n v="2026"/>
    <n v="2"/>
    <s v="10-02-2026"/>
    <n v="7306"/>
    <s v="4401-01"/>
    <n v="186812"/>
    <n v="0"/>
    <s v="Pago cuota 27- 35 credito estado 00036361722 pasivo"/>
    <n v="186812"/>
    <s v="EERR"/>
    <n v="-186812"/>
    <x v="119"/>
  </r>
  <r>
    <n v="2026"/>
    <n v="2"/>
    <s v="11-02-2026"/>
    <n v="7180"/>
    <s v="4401-01"/>
    <n v="589322"/>
    <n v="0"/>
    <s v="Pago cuota crédito n 420022371370"/>
    <n v="589322"/>
    <s v="EERR"/>
    <n v="-589322"/>
    <x v="119"/>
  </r>
  <r>
    <n v="2026"/>
    <n v="2"/>
    <s v="23-02-2026"/>
    <n v="7242"/>
    <s v="4401-01"/>
    <n v="1759781"/>
    <n v="0"/>
    <s v="Pago cuota crédito n 420050694789"/>
    <n v="1759781"/>
    <s v="EERR"/>
    <n v="-1759781"/>
    <x v="119"/>
  </r>
  <r>
    <n v="2026"/>
    <n v="2"/>
    <s v="28-02-2026"/>
    <n v="10599"/>
    <s v="4401-01"/>
    <n v="144"/>
    <n v="0"/>
    <s v="Intereses"/>
    <n v="144"/>
    <s v="EERR"/>
    <n v="-144"/>
    <x v="119"/>
  </r>
  <r>
    <n v="2026"/>
    <n v="2"/>
    <s v="28-02-2026"/>
    <n v="10601"/>
    <s v="4401-01"/>
    <n v="31262"/>
    <n v="0"/>
    <s v="Intereses"/>
    <n v="31262"/>
    <s v="EERR"/>
    <n v="-31262"/>
    <x v="119"/>
  </r>
  <r>
    <n v="2026"/>
    <n v="3"/>
    <s v="03-03-2026"/>
    <n v="7466"/>
    <s v="4401-01"/>
    <n v="852990"/>
    <n v="0"/>
    <s v="Pago cuota 09-37 credito itau 60529874"/>
    <n v="852990"/>
    <s v="EERR"/>
    <n v="-852990"/>
    <x v="119"/>
  </r>
  <r>
    <n v="2026"/>
    <n v="3"/>
    <s v="05-03-2026"/>
    <n v="7477"/>
    <s v="4401-01"/>
    <n v="511068"/>
    <n v="0"/>
    <s v="Pago cuota 11-59 credito estado 00038648612"/>
    <n v="511068"/>
    <s v="EERR"/>
    <n v="-511068"/>
    <x v="119"/>
  </r>
  <r>
    <n v="2026"/>
    <n v="3"/>
    <s v="05-03-2026"/>
    <n v="7478"/>
    <s v="4401-01"/>
    <n v="220761"/>
    <n v="0"/>
    <s v="Pago cuota 45-60 -prestamo banco estado n00033349988"/>
    <n v="220761"/>
    <s v="EERR"/>
    <n v="-220761"/>
    <x v="119"/>
  </r>
  <r>
    <n v="2026"/>
    <n v="3"/>
    <s v="10-03-2026"/>
    <n v="7359"/>
    <s v="4401-01"/>
    <n v="676567"/>
    <n v="0"/>
    <s v="Pago cuota 26-57 credito santader 00350175420022371370"/>
    <n v="676567"/>
    <s v="EERR"/>
    <n v="-676567"/>
    <x v="119"/>
  </r>
  <r>
    <n v="2026"/>
    <n v="3"/>
    <s v="10-03-2026"/>
    <n v="7361"/>
    <s v="4401-01"/>
    <n v="55857"/>
    <n v="0"/>
    <s v="Pago cuota 56-61 credito santander 350401420021082928"/>
    <n v="55857"/>
    <s v="EERR"/>
    <n v="-55857"/>
    <x v="119"/>
  </r>
  <r>
    <n v="2026"/>
    <n v="3"/>
    <s v="10-03-2026"/>
    <n v="7480"/>
    <s v="4401-01"/>
    <n v="161125"/>
    <n v="0"/>
    <s v="Pago cuota 28-35 credito estado 00036361722"/>
    <n v="161125"/>
    <s v="EERR"/>
    <n v="-161125"/>
    <x v="119"/>
  </r>
  <r>
    <n v="2026"/>
    <n v="3"/>
    <s v="23-03-2026"/>
    <n v="7438"/>
    <s v="4401-01"/>
    <n v="1461356"/>
    <n v="0"/>
    <s v="Pago cuota 13 - 48 credito santander 420050694789"/>
    <n v="1461356"/>
    <s v="EERR"/>
    <n v="-1461356"/>
    <x v="119"/>
  </r>
  <r>
    <n v="2026"/>
    <n v="3"/>
    <s v="25-03-2026"/>
    <n v="7475"/>
    <s v="4401-01"/>
    <n v="825000"/>
    <n v="0"/>
    <s v="Pago cuota 1-37 credito itau 60630876"/>
    <n v="825000"/>
    <s v="EERR"/>
    <n v="-825000"/>
    <x v="119"/>
  </r>
  <r>
    <n v="2026"/>
    <n v="3"/>
    <s v="31-03-2026"/>
    <n v="10748"/>
    <s v="4401-01"/>
    <n v="80"/>
    <n v="0"/>
    <s v="Intereses"/>
    <n v="80"/>
    <s v="EERR"/>
    <n v="-80"/>
    <x v="119"/>
  </r>
  <r>
    <n v="2026"/>
    <n v="3"/>
    <s v="31-03-2026"/>
    <n v="10750"/>
    <s v="4401-01"/>
    <n v="7663"/>
    <n v="0"/>
    <s v="Intereses"/>
    <n v="7663"/>
    <s v="EERR"/>
    <n v="-7663"/>
    <x v="119"/>
  </r>
  <r>
    <n v="2026"/>
    <n v="4"/>
    <s v="06-04-2026"/>
    <n v="7691"/>
    <s v="4401-01"/>
    <n v="237482"/>
    <n v="0"/>
    <s v="Pago cuota 46 de 60 - tlink spa prestamo banco estado n00033349988"/>
    <n v="237482"/>
    <s v="EERR"/>
    <n v="-237482"/>
    <x v="119"/>
  </r>
  <r>
    <n v="2026"/>
    <n v="4"/>
    <s v="06-04-2026"/>
    <n v="7692"/>
    <s v="4401-01"/>
    <n v="574012"/>
    <n v="0"/>
    <s v="Pago cuota 12 de 59 - tlink spa credito estado 00038648612"/>
    <n v="574012"/>
    <s v="EERR"/>
    <n v="-574012"/>
    <x v="119"/>
  </r>
  <r>
    <n v="2026"/>
    <n v="4"/>
    <s v="06-04-2026"/>
    <n v="10767"/>
    <s v="4401-01"/>
    <n v="914164"/>
    <n v="0"/>
    <s v="Pago cuota 10 de 37 - tlink spa credito itau 60529874"/>
    <n v="914164"/>
    <s v="EERR"/>
    <n v="-914164"/>
    <x v="119"/>
  </r>
  <r>
    <n v="2026"/>
    <n v="4"/>
    <s v="07-04-2026"/>
    <n v="7510"/>
    <s v="4401-01"/>
    <n v="1330000"/>
    <n v="0"/>
    <s v="Pago cuota crédito n 420051423355"/>
    <n v="1330000"/>
    <s v="EERR"/>
    <n v="-1330000"/>
    <x v="119"/>
  </r>
  <r>
    <n v="2026"/>
    <n v="4"/>
    <s v="10-04-2026"/>
    <n v="7576"/>
    <s v="4401-01"/>
    <n v="51673"/>
    <n v="0"/>
    <s v="Pago cuota crédito n 420021082928"/>
    <n v="51673"/>
    <s v="EERR"/>
    <n v="-51673"/>
    <x v="119"/>
  </r>
  <r>
    <n v="2026"/>
    <n v="4"/>
    <s v="10-04-2026"/>
    <n v="7696"/>
    <s v="4401-01"/>
    <n v="156792"/>
    <n v="0"/>
    <s v="Pago cuota 25 de 35 - tlink spa credito estado 00036361722"/>
    <n v="156792"/>
    <s v="EERR"/>
    <n v="-156792"/>
    <x v="119"/>
  </r>
  <r>
    <n v="2026"/>
    <n v="4"/>
    <s v="13-04-2026"/>
    <n v="7589"/>
    <s v="4401-01"/>
    <n v="559737"/>
    <n v="0"/>
    <s v="Pago cuota crédito n 420022371370"/>
    <n v="559737"/>
    <s v="EERR"/>
    <n v="-559737"/>
    <x v="119"/>
  </r>
  <r>
    <n v="2026"/>
    <n v="4"/>
    <s v="21-04-2026"/>
    <n v="7638"/>
    <s v="4401-01"/>
    <n v="1477593"/>
    <n v="0"/>
    <s v="Pago cuota crédito n 420050694789"/>
    <n v="1477593"/>
    <s v="EERR"/>
    <n v="-1477593"/>
    <x v="119"/>
  </r>
  <r>
    <n v="2026"/>
    <n v="4"/>
    <s v="27-04-2026"/>
    <n v="7687"/>
    <s v="4401-01"/>
    <n v="806113"/>
    <n v="0"/>
    <s v="Pago cuota 0237 - tlink spa credito itau 60630876"/>
    <n v="806113"/>
    <s v="EERR"/>
    <n v="-806113"/>
    <x v="119"/>
  </r>
  <r>
    <n v="2026"/>
    <n v="5"/>
    <s v="04-05-2026"/>
    <n v="7698"/>
    <s v="4401-01"/>
    <n v="884345"/>
    <n v="0"/>
    <s v="Banco itau pago cuota 1137"/>
    <n v="884345"/>
    <s v="EERR"/>
    <n v="-884345"/>
    <x v="119"/>
  </r>
  <r>
    <n v="2026"/>
    <n v="5"/>
    <s v="05-05-2026"/>
    <n v="7862"/>
    <s v="4401-01"/>
    <n v="511583"/>
    <n v="0"/>
    <s v="Pac credito cuota 13 de 59"/>
    <n v="511583"/>
    <s v="EERR"/>
    <n v="-511583"/>
    <x v="119"/>
  </r>
  <r>
    <n v="2026"/>
    <n v="5"/>
    <s v="05-05-2026"/>
    <n v="7863"/>
    <s v="4401-01"/>
    <n v="201949"/>
    <n v="0"/>
    <s v="Pac credito cuota 47 de 60"/>
    <n v="201949"/>
    <s v="EERR"/>
    <n v="-201949"/>
    <x v="119"/>
  </r>
  <r>
    <n v="2026"/>
    <n v="5"/>
    <s v="07-05-2026"/>
    <n v="7722"/>
    <s v="4401-01"/>
    <n v="931156"/>
    <n v="0"/>
    <s v="Pago cuota crédito n 420051423355"/>
    <n v="931156"/>
    <s v="EERR"/>
    <n v="-931156"/>
    <x v="119"/>
  </r>
  <r>
    <n v="2026"/>
    <n v="5"/>
    <s v="11-05-2026"/>
    <n v="7772"/>
    <s v="4401-01"/>
    <n v="602453"/>
    <n v="0"/>
    <s v="Pago cuota crédito n 420022371370"/>
    <n v="602453"/>
    <s v="EERR"/>
    <n v="-602453"/>
    <x v="119"/>
  </r>
  <r>
    <n v="2026"/>
    <n v="5"/>
    <s v="11-05-2026"/>
    <n v="7773"/>
    <s v="4401-01"/>
    <n v="41476"/>
    <n v="0"/>
    <s v="Pago cuota crédito n 420021082928"/>
    <n v="41476"/>
    <s v="EERR"/>
    <n v="-41476"/>
    <x v="119"/>
  </r>
  <r>
    <n v="2026"/>
    <n v="5"/>
    <s v="11-05-2026"/>
    <n v="7865"/>
    <s v="4401-01"/>
    <n v="135147"/>
    <n v="0"/>
    <s v="Pago credito pac"/>
    <n v="135147"/>
    <s v="EERR"/>
    <n v="-135147"/>
    <x v="119"/>
  </r>
  <r>
    <n v="2026"/>
    <n v="5"/>
    <s v="22-05-2026"/>
    <n v="7834"/>
    <s v="4401-01"/>
    <n v="1541236"/>
    <n v="0"/>
    <s v="Pago cuota crédito n 420050694789"/>
    <n v="1541236"/>
    <s v="EERR"/>
    <n v="-1541236"/>
    <x v="119"/>
  </r>
  <r>
    <n v="2026"/>
    <n v="5"/>
    <s v="25-05-2026"/>
    <n v="7703"/>
    <s v="4401-01"/>
    <n v="667816"/>
    <n v="0"/>
    <s v="Pago cuota 337 - tlink spa credito itau 60630876 "/>
    <n v="667816"/>
    <s v="EERR"/>
    <n v="-667816"/>
    <x v="119"/>
  </r>
  <r>
    <n v="2026"/>
    <n v="6"/>
    <s v="03-06-2026"/>
    <n v="10799"/>
    <s v="4401-01"/>
    <n v="826772"/>
    <n v="0"/>
    <s v="Pago cuota 1237 credito itau 60529874"/>
    <n v="826772"/>
    <s v="EERR"/>
    <n v="-826772"/>
    <x v="119"/>
  </r>
  <r>
    <n v="2026"/>
    <n v="6"/>
    <s v="05-06-2026"/>
    <n v="7892"/>
    <s v="4401-01"/>
    <n v="537118"/>
    <n v="0"/>
    <s v="Pac credito cuota 14 de 59"/>
    <n v="537118"/>
    <s v="EERR"/>
    <n v="-537118"/>
    <x v="119"/>
  </r>
  <r>
    <n v="2026"/>
    <n v="6"/>
    <s v="05-06-2026"/>
    <n v="7893"/>
    <s v="4401-01"/>
    <n v="201332"/>
    <n v="0"/>
    <s v="Pac credito cuota 48 de 60"/>
    <n v="201332"/>
    <s v="EERR"/>
    <n v="-201332"/>
    <x v="119"/>
  </r>
  <r>
    <n v="2026"/>
    <n v="6"/>
    <s v="08-06-2026"/>
    <n v="7907"/>
    <s v="4401-01"/>
    <n v="969092"/>
    <n v="0"/>
    <s v="Pago cuota crédito n 420051423355"/>
    <n v="969092"/>
    <s v="EERR"/>
    <n v="-969092"/>
    <x v="119"/>
  </r>
  <r>
    <n v="2026"/>
    <n v="6"/>
    <s v="08-06-2026"/>
    <n v="7907"/>
    <s v="4401-01"/>
    <n v="42504"/>
    <n v="0"/>
    <s v="Pago cuota crédito n 420051423355"/>
    <n v="42504"/>
    <s v="EERR"/>
    <n v="-42504"/>
    <x v="119"/>
  </r>
  <r>
    <n v="2026"/>
    <n v="6"/>
    <s v="10-06-2026"/>
    <n v="7890"/>
    <s v="4401-01"/>
    <n v="109605"/>
    <n v="0"/>
    <s v="Pac credito cuota 31 de 35"/>
    <n v="109605"/>
    <s v="EERR"/>
    <n v="-109605"/>
    <x v="119"/>
  </r>
  <r>
    <n v="2026"/>
    <n v="6"/>
    <s v="10-06-2026"/>
    <n v="7906"/>
    <s v="4401-01"/>
    <n v="30205"/>
    <n v="0"/>
    <s v="Pago cuota crédito n 420021082928"/>
    <n v="30205"/>
    <s v="EERR"/>
    <n v="-30205"/>
    <x v="119"/>
  </r>
  <r>
    <n v="2026"/>
    <n v="6"/>
    <s v="11-06-2026"/>
    <n v="7904"/>
    <s v="4401-01"/>
    <n v="604604"/>
    <n v="0"/>
    <s v="Pago cuota crédito n 420022371370"/>
    <n v="604604"/>
    <s v="EERR"/>
    <n v="-604604"/>
    <x v="119"/>
  </r>
  <r>
    <n v="2026"/>
    <n v="6"/>
    <s v="23-06-2026"/>
    <n v="7905"/>
    <s v="4401-01"/>
    <n v="1507810"/>
    <n v="0"/>
    <s v="Pago cuota crédito n 420050694789"/>
    <n v="1507810"/>
    <s v="EERR"/>
    <n v="-1507810"/>
    <x v="119"/>
  </r>
  <r>
    <n v="2026"/>
    <n v="6"/>
    <s v="30-06-2026"/>
    <n v="10801"/>
    <s v="4401-01"/>
    <n v="733656"/>
    <n v="0"/>
    <s v="Pago cuota 0437 credito itau 60630876"/>
    <n v="733656"/>
    <s v="EERR"/>
    <n v="-733656"/>
    <x v="119"/>
  </r>
  <r>
    <n v="2026"/>
    <n v="7"/>
    <s v="06-07-2026"/>
    <n v="8438"/>
    <s v="4401-01"/>
    <n v="527591"/>
    <n v="0"/>
    <s v="Pac credito cuota 15 de 59"/>
    <n v="527591"/>
    <s v="EERR"/>
    <n v="-527591"/>
    <x v="119"/>
  </r>
  <r>
    <n v="2026"/>
    <n v="7"/>
    <s v="06-07-2026"/>
    <n v="8439"/>
    <s v="4401-01"/>
    <n v="186781"/>
    <n v="0"/>
    <s v="Pac credito cuota 49 de 60"/>
    <n v="186781"/>
    <s v="EERR"/>
    <n v="-186781"/>
    <x v="119"/>
  </r>
  <r>
    <n v="2026"/>
    <n v="7"/>
    <s v="06-07-2026"/>
    <n v="8449"/>
    <s v="4401-01"/>
    <n v="856710"/>
    <n v="0"/>
    <s v="Pago cuota crédito n 420051423355"/>
    <n v="856710"/>
    <s v="EERR"/>
    <n v="-856710"/>
    <x v="119"/>
  </r>
  <r>
    <n v="2026"/>
    <n v="7"/>
    <s v="06-07-2026"/>
    <n v="8449"/>
    <s v="4401-01"/>
    <n v="37575"/>
    <n v="0"/>
    <s v="Pago cuota crédito n 420051423355"/>
    <n v="37575"/>
    <s v="EERR"/>
    <n v="-37575"/>
    <x v="119"/>
  </r>
  <r>
    <n v="2026"/>
    <n v="7"/>
    <s v="10-07-2026"/>
    <n v="8481"/>
    <s v="4401-01"/>
    <n v="30205"/>
    <n v="0"/>
    <s v="Pago cuota crédito n 420021082928"/>
    <n v="30205"/>
    <s v="EERR"/>
    <n v="-30205"/>
    <x v="119"/>
  </r>
  <r>
    <n v="2026"/>
    <n v="7"/>
    <s v="13-07-2026"/>
    <n v="8434"/>
    <s v="4401-01"/>
    <n v="93590"/>
    <n v="0"/>
    <s v="Pac credito cuota 32 de 35"/>
    <n v="93590"/>
    <s v="EERR"/>
    <n v="-93590"/>
    <x v="119"/>
  </r>
  <r>
    <n v="2026"/>
    <n v="7"/>
    <s v="13-07-2026"/>
    <n v="8508"/>
    <s v="4401-01"/>
    <n v="532284"/>
    <n v="0"/>
    <s v="Pago cuota crédito n 420022371370"/>
    <n v="532284"/>
    <s v="EERR"/>
    <n v="-532284"/>
    <x v="119"/>
  </r>
  <r>
    <n v="2026"/>
    <n v="7"/>
    <s v="21-07-2026"/>
    <n v="8543"/>
    <s v="4401-01"/>
    <n v="1318797"/>
    <n v="0"/>
    <s v="Pago cuota crédito n 420050694789"/>
    <n v="1318797"/>
    <s v="EERR"/>
    <n v="-1318797"/>
    <x v="119"/>
  </r>
  <r>
    <n v="2026"/>
    <n v="7"/>
    <s v="21-07-2026"/>
    <n v="8543"/>
    <s v="4401-01"/>
    <n v="52333"/>
    <n v="0"/>
    <s v="Pago cuota crédito n 420050694789"/>
    <n v="52333"/>
    <s v="EERR"/>
    <n v="-52333"/>
    <x v="119"/>
  </r>
  <r>
    <n v="2026"/>
    <n v="7"/>
    <s v="27-07-2026"/>
    <n v="8663"/>
    <s v="4401-01"/>
    <n v="724494"/>
    <n v="0"/>
    <s v="Cuota prestamo"/>
    <n v="724494"/>
    <s v="EERR"/>
    <n v="-724494"/>
    <x v="119"/>
  </r>
  <r>
    <n v="2026"/>
    <n v="1"/>
    <s v="31-01-2026"/>
    <n v="9826"/>
    <s v="4501-13"/>
    <n v="9725514"/>
    <n v="0"/>
    <s v="Depreciación al 31-01-2026"/>
    <n v="9725514"/>
    <s v="EERR"/>
    <n v="-9725514"/>
    <x v="120"/>
  </r>
  <r>
    <n v="2026"/>
    <n v="2"/>
    <s v="28-02-2026"/>
    <n v="10598"/>
    <s v="4501-13"/>
    <n v="9827717"/>
    <n v="0"/>
    <s v="Depreciacion al 28-02-2026"/>
    <n v="9827717"/>
    <s v="EERR"/>
    <n v="-9827717"/>
    <x v="120"/>
  </r>
  <r>
    <n v="2026"/>
    <n v="3"/>
    <s v="31-03-2026"/>
    <n v="10752"/>
    <s v="4501-13"/>
    <n v="9948540"/>
    <n v="0"/>
    <s v="Depreciacion al 31-03-2026"/>
    <n v="9948540"/>
    <s v="EERR"/>
    <n v="-9948540"/>
    <x v="120"/>
  </r>
  <r>
    <n v="2026"/>
    <n v="4"/>
    <s v="30-04-2026"/>
    <n v="10776"/>
    <s v="4501-13"/>
    <n v="10961369"/>
    <n v="0"/>
    <s v="Depreciación al 30-04-2026"/>
    <n v="10961369"/>
    <s v="EERR"/>
    <n v="-10961369"/>
    <x v="120"/>
  </r>
  <r>
    <n v="2026"/>
    <n v="5"/>
    <s v="31-05-2026"/>
    <n v="10789"/>
    <s v="4501-13"/>
    <n v="12478735"/>
    <n v="0"/>
    <s v="Depreciacion al 31-05-2026"/>
    <n v="12478735"/>
    <s v="EERR"/>
    <n v="-12478735"/>
    <x v="120"/>
  </r>
  <r>
    <n v="2026"/>
    <n v="6"/>
    <s v="30-06-2026"/>
    <n v="10803"/>
    <s v="4501-13"/>
    <n v="10964292"/>
    <n v="0"/>
    <s v="Depreciacion al 30-06-2026"/>
    <n v="10964292"/>
    <s v="EERR"/>
    <n v="-10964292"/>
    <x v="120"/>
  </r>
  <r>
    <n v="2026"/>
    <n v="7"/>
    <s v="31-07-2026"/>
    <n v="12634"/>
    <s v="4501-13"/>
    <n v="11013319"/>
    <n v="0"/>
    <s v="Depreciacion al 31-07-2026"/>
    <n v="11013319"/>
    <s v="EERR"/>
    <n v="-11013319"/>
    <x v="120"/>
  </r>
  <r>
    <n v="2026"/>
    <n v="4"/>
    <s v="10-04-2026"/>
    <n v="7680"/>
    <s v="4501-14"/>
    <n v="16777"/>
    <n v="0"/>
    <s v="Bdp previred"/>
    <n v="16777"/>
    <s v="EERR"/>
    <n v="-16777"/>
    <x v="121"/>
  </r>
  <r>
    <n v="2026"/>
    <n v="4"/>
    <s v="20-04-2026"/>
    <n v="7630"/>
    <s v="4501-14"/>
    <n v="1"/>
    <n v="0"/>
    <s v="0773470286 transf a lars spa"/>
    <n v="1"/>
    <s v="EERR"/>
    <n v="-1"/>
    <x v="121"/>
  </r>
  <r>
    <n v="2026"/>
    <n v="5"/>
    <s v="15-05-2026"/>
    <n v="7805"/>
    <s v="4501-14"/>
    <n v="0"/>
    <n v="1"/>
    <s v="Pago f60373 voissnet cloud services s.p.a."/>
    <n v="-1"/>
    <s v="EERR"/>
    <n v="1"/>
    <x v="121"/>
  </r>
  <r>
    <n v="2026"/>
    <n v="6"/>
    <s v="12-06-2026"/>
    <n v="7979"/>
    <s v="4501-14"/>
    <n v="0"/>
    <n v="15489"/>
    <s v="Pago en linea previred"/>
    <n v="-15489"/>
    <s v="EERR"/>
    <n v="15489"/>
    <x v="121"/>
  </r>
  <r>
    <n v="2026"/>
    <n v="7"/>
    <s v="06-07-2026"/>
    <n v="8641"/>
    <s v="4501-14"/>
    <n v="3415"/>
    <n v="0"/>
    <s v="Pago fact 3043663 zurich chile seguros generales s.a."/>
    <n v="3415"/>
    <s v="EERR"/>
    <n v="-3415"/>
    <x v="121"/>
  </r>
  <r>
    <n v="2026"/>
    <n v="7"/>
    <s v="10-07-2026"/>
    <n v="8478"/>
    <s v="4501-14"/>
    <n v="0"/>
    <n v="15569"/>
    <s v="Pago en linea previred"/>
    <n v="-15569"/>
    <s v="EERR"/>
    <n v="15569"/>
    <x v="121"/>
  </r>
  <r>
    <n v="2026"/>
    <n v="7"/>
    <s v="13-07-2026"/>
    <n v="8611"/>
    <s v="4501-14"/>
    <n v="0"/>
    <n v="25827"/>
    <s v="Grupo dhl express chil"/>
    <n v="-25827"/>
    <s v="EERR"/>
    <n v="25827"/>
    <x v="121"/>
  </r>
  <r>
    <n v="2026"/>
    <n v="4"/>
    <s v="30-04-2026"/>
    <n v="10778"/>
    <s v="4701-01"/>
    <n v="5801161"/>
    <n v="0"/>
    <s v="Impuesto a la renta at 2026"/>
    <n v="5801161"/>
    <s v="EERR"/>
    <n v="-5801161"/>
    <x v="122"/>
  </r>
  <r>
    <n v="2026"/>
    <n v="1"/>
    <s v="31-01-2026"/>
    <n v="9817"/>
    <s v="5101-01"/>
    <n v="0"/>
    <n v="128815294"/>
    <s v="Centralización ventas enero 2026  - valor neto"/>
    <n v="-128815294"/>
    <s v="EERR"/>
    <n v="128815294"/>
    <x v="123"/>
  </r>
  <r>
    <n v="2026"/>
    <n v="1"/>
    <s v="31-01-2026"/>
    <n v="9818"/>
    <s v="5101-01"/>
    <n v="6043792"/>
    <n v="0"/>
    <s v="Centralización ventas enero 2026  - valor neto"/>
    <n v="6043792"/>
    <s v="EERR"/>
    <n v="-6043792"/>
    <x v="123"/>
  </r>
  <r>
    <n v="2026"/>
    <n v="1"/>
    <s v="31-01-2026"/>
    <n v="9818"/>
    <s v="5101-01"/>
    <n v="0"/>
    <n v="57884498"/>
    <s v="Centralización ventas enero 2026  - valor neto"/>
    <n v="-57884498"/>
    <s v="EERR"/>
    <n v="57884498"/>
    <x v="123"/>
  </r>
  <r>
    <n v="2026"/>
    <n v="2"/>
    <s v="28-02-2026"/>
    <n v="9828"/>
    <s v="5101-01"/>
    <n v="0"/>
    <n v="33613"/>
    <s v="Centralización ventas febrero 2026  #37383 - valor neto"/>
    <n v="-33613"/>
    <s v="EERR"/>
    <n v="33613"/>
    <x v="123"/>
  </r>
  <r>
    <n v="2026"/>
    <n v="2"/>
    <s v="28-02-2026"/>
    <n v="9829"/>
    <s v="5101-01"/>
    <n v="0"/>
    <n v="21000"/>
    <s v="Centralización ventas febrero 2026  #37357 - valor neto"/>
    <n v="-21000"/>
    <s v="EERR"/>
    <n v="21000"/>
    <x v="123"/>
  </r>
  <r>
    <n v="2026"/>
    <n v="2"/>
    <s v="28-02-2026"/>
    <n v="9830"/>
    <s v="5101-01"/>
    <n v="0"/>
    <n v="25202"/>
    <s v="Centralización ventas febrero 2026  #37355 - valor neto"/>
    <n v="-25202"/>
    <s v="EERR"/>
    <n v="25202"/>
    <x v="123"/>
  </r>
  <r>
    <n v="2026"/>
    <n v="2"/>
    <s v="28-02-2026"/>
    <n v="9831"/>
    <s v="5101-01"/>
    <n v="0"/>
    <n v="33613"/>
    <s v="Centralización ventas febrero 2026  #37366 - valor neto"/>
    <n v="-33613"/>
    <s v="EERR"/>
    <n v="33613"/>
    <x v="123"/>
  </r>
  <r>
    <n v="2026"/>
    <n v="2"/>
    <s v="28-02-2026"/>
    <n v="9832"/>
    <s v="5101-01"/>
    <n v="0"/>
    <n v="54605"/>
    <s v="Centralización ventas febrero 2026  #37367 - valor neto"/>
    <n v="-54605"/>
    <s v="EERR"/>
    <n v="54605"/>
    <x v="123"/>
  </r>
  <r>
    <n v="2026"/>
    <n v="2"/>
    <s v="28-02-2026"/>
    <n v="9833"/>
    <s v="5101-01"/>
    <n v="0"/>
    <n v="50412"/>
    <s v="Centralización ventas febrero 2026  #37385 - valor neto"/>
    <n v="-50412"/>
    <s v="EERR"/>
    <n v="50412"/>
    <x v="123"/>
  </r>
  <r>
    <n v="2026"/>
    <n v="2"/>
    <s v="28-02-2026"/>
    <n v="9834"/>
    <s v="5101-01"/>
    <n v="0"/>
    <n v="48732"/>
    <s v="Centralización ventas febrero 2026  #37351 - valor neto"/>
    <n v="-48732"/>
    <s v="EERR"/>
    <n v="48732"/>
    <x v="123"/>
  </r>
  <r>
    <n v="2026"/>
    <n v="2"/>
    <s v="28-02-2026"/>
    <n v="9835"/>
    <s v="5101-01"/>
    <n v="0"/>
    <n v="33605"/>
    <s v="Centralización ventas febrero 2026  #37358 - valor neto"/>
    <n v="-33605"/>
    <s v="EERR"/>
    <n v="33605"/>
    <x v="123"/>
  </r>
  <r>
    <n v="2026"/>
    <n v="2"/>
    <s v="28-02-2026"/>
    <n v="9836"/>
    <s v="5101-01"/>
    <n v="0"/>
    <n v="50353"/>
    <s v="Centralización ventas febrero 2026  #37359 - valor neto"/>
    <n v="-50353"/>
    <s v="EERR"/>
    <n v="50353"/>
    <x v="123"/>
  </r>
  <r>
    <n v="2026"/>
    <n v="2"/>
    <s v="28-02-2026"/>
    <n v="9837"/>
    <s v="5101-01"/>
    <n v="0"/>
    <n v="63017"/>
    <s v="Centralización ventas febrero 2026  #37377 - valor neto"/>
    <n v="-63017"/>
    <s v="EERR"/>
    <n v="63017"/>
    <x v="123"/>
  </r>
  <r>
    <n v="2026"/>
    <n v="2"/>
    <s v="28-02-2026"/>
    <n v="9838"/>
    <s v="5101-01"/>
    <n v="0"/>
    <n v="129199"/>
    <s v="Centralización ventas febrero 2026  #37390 - valor neto"/>
    <n v="-129199"/>
    <s v="EERR"/>
    <n v="129199"/>
    <x v="123"/>
  </r>
  <r>
    <n v="2026"/>
    <n v="2"/>
    <s v="28-02-2026"/>
    <n v="9839"/>
    <s v="5101-01"/>
    <n v="0"/>
    <n v="58823"/>
    <s v="Centralización ventas febrero 2026  #37402 - valor neto"/>
    <n v="-58823"/>
    <s v="EERR"/>
    <n v="58823"/>
    <x v="123"/>
  </r>
  <r>
    <n v="2026"/>
    <n v="2"/>
    <s v="28-02-2026"/>
    <n v="9840"/>
    <s v="5101-01"/>
    <n v="0"/>
    <n v="205798"/>
    <s v="Centralización ventas febrero 2026  #37404 - valor neto"/>
    <n v="-205798"/>
    <s v="EERR"/>
    <n v="205798"/>
    <x v="123"/>
  </r>
  <r>
    <n v="2026"/>
    <n v="2"/>
    <s v="28-02-2026"/>
    <n v="9841"/>
    <s v="5101-01"/>
    <n v="0"/>
    <n v="98302"/>
    <s v="Centralización ventas febrero 2026  #37950 - valor neto"/>
    <n v="-98302"/>
    <s v="EERR"/>
    <n v="98302"/>
    <x v="123"/>
  </r>
  <r>
    <n v="2026"/>
    <n v="2"/>
    <s v="28-02-2026"/>
    <n v="9842"/>
    <s v="5101-01"/>
    <n v="0"/>
    <n v="47882"/>
    <s v="Centralización ventas febrero 2026  #37329 - valor neto"/>
    <n v="-47882"/>
    <s v="EERR"/>
    <n v="47882"/>
    <x v="123"/>
  </r>
  <r>
    <n v="2026"/>
    <n v="2"/>
    <s v="28-02-2026"/>
    <n v="9843"/>
    <s v="5101-01"/>
    <n v="0"/>
    <n v="25210"/>
    <s v="Centralización ventas febrero 2026  #37331 - valor neto"/>
    <n v="-25210"/>
    <s v="EERR"/>
    <n v="25210"/>
    <x v="123"/>
  </r>
  <r>
    <n v="2026"/>
    <n v="2"/>
    <s v="28-02-2026"/>
    <n v="9844"/>
    <s v="5101-01"/>
    <n v="0"/>
    <n v="57974"/>
    <s v="Centralización ventas febrero 2026  #37340 - valor neto"/>
    <n v="-57974"/>
    <s v="EERR"/>
    <n v="57974"/>
    <x v="123"/>
  </r>
  <r>
    <n v="2026"/>
    <n v="2"/>
    <s v="28-02-2026"/>
    <n v="9845"/>
    <s v="5101-01"/>
    <n v="0"/>
    <n v="44521"/>
    <s v="Centralización ventas febrero 2026  #37343 - valor neto"/>
    <n v="-44521"/>
    <s v="EERR"/>
    <n v="44521"/>
    <x v="123"/>
  </r>
  <r>
    <n v="2026"/>
    <n v="2"/>
    <s v="28-02-2026"/>
    <n v="9846"/>
    <s v="5101-01"/>
    <n v="0"/>
    <n v="95381"/>
    <s v="Centralización ventas febrero 2026  #37352 - valor neto"/>
    <n v="-95381"/>
    <s v="EERR"/>
    <n v="95381"/>
    <x v="123"/>
  </r>
  <r>
    <n v="2026"/>
    <n v="2"/>
    <s v="28-02-2026"/>
    <n v="9847"/>
    <s v="5101-01"/>
    <n v="0"/>
    <n v="55463"/>
    <s v="Centralización ventas febrero 2026  #37362 - valor neto"/>
    <n v="-55463"/>
    <s v="EERR"/>
    <n v="55463"/>
    <x v="123"/>
  </r>
  <r>
    <n v="2026"/>
    <n v="2"/>
    <s v="28-02-2026"/>
    <n v="9848"/>
    <s v="5101-01"/>
    <n v="0"/>
    <n v="50412"/>
    <s v="Centralización ventas febrero 2026  #37365 - valor neto"/>
    <n v="-50412"/>
    <s v="EERR"/>
    <n v="50412"/>
    <x v="123"/>
  </r>
  <r>
    <n v="2026"/>
    <n v="2"/>
    <s v="28-02-2026"/>
    <n v="9849"/>
    <s v="5101-01"/>
    <n v="0"/>
    <n v="21840"/>
    <s v="Centralización ventas febrero 2026  #37373 - valor neto"/>
    <n v="-21840"/>
    <s v="EERR"/>
    <n v="21840"/>
    <x v="123"/>
  </r>
  <r>
    <n v="2026"/>
    <n v="2"/>
    <s v="28-02-2026"/>
    <n v="9850"/>
    <s v="5101-01"/>
    <n v="0"/>
    <n v="25210"/>
    <s v="Centralización ventas febrero 2026  #37375 - valor neto"/>
    <n v="-25210"/>
    <s v="EERR"/>
    <n v="25210"/>
    <x v="123"/>
  </r>
  <r>
    <n v="2026"/>
    <n v="2"/>
    <s v="28-02-2026"/>
    <n v="9851"/>
    <s v="5101-01"/>
    <n v="0"/>
    <n v="100840"/>
    <s v="Centralización ventas febrero 2026  #37379 - valor neto"/>
    <n v="-100840"/>
    <s v="EERR"/>
    <n v="100840"/>
    <x v="123"/>
  </r>
  <r>
    <n v="2026"/>
    <n v="2"/>
    <s v="28-02-2026"/>
    <n v="9852"/>
    <s v="5101-01"/>
    <n v="0"/>
    <n v="118471"/>
    <s v="Centralización ventas febrero 2026  #37386 - valor neto"/>
    <n v="-118471"/>
    <s v="EERR"/>
    <n v="118471"/>
    <x v="123"/>
  </r>
  <r>
    <n v="2026"/>
    <n v="2"/>
    <s v="28-02-2026"/>
    <n v="9853"/>
    <s v="5101-01"/>
    <n v="0"/>
    <n v="25210"/>
    <s v="Centralización ventas febrero 2026  #37395 - valor neto"/>
    <n v="-25210"/>
    <s v="EERR"/>
    <n v="25210"/>
    <x v="123"/>
  </r>
  <r>
    <n v="2026"/>
    <n v="2"/>
    <s v="28-02-2026"/>
    <n v="9854"/>
    <s v="5101-01"/>
    <n v="0"/>
    <n v="42017"/>
    <s v="Centralización ventas febrero 2026  #37401 - valor neto"/>
    <n v="-42017"/>
    <s v="EERR"/>
    <n v="42017"/>
    <x v="123"/>
  </r>
  <r>
    <n v="2026"/>
    <n v="2"/>
    <s v="28-02-2026"/>
    <n v="9855"/>
    <s v="5101-01"/>
    <n v="0"/>
    <n v="25210"/>
    <s v="Centralización ventas febrero 2026  #37405 - valor neto"/>
    <n v="-25210"/>
    <s v="EERR"/>
    <n v="25210"/>
    <x v="123"/>
  </r>
  <r>
    <n v="2026"/>
    <n v="2"/>
    <s v="28-02-2026"/>
    <n v="9856"/>
    <s v="5101-01"/>
    <n v="0"/>
    <n v="25202"/>
    <s v="Centralización ventas febrero 2026  #37410 - valor neto"/>
    <n v="-25202"/>
    <s v="EERR"/>
    <n v="25202"/>
    <x v="123"/>
  </r>
  <r>
    <n v="2026"/>
    <n v="2"/>
    <s v="28-02-2026"/>
    <n v="9857"/>
    <s v="5101-01"/>
    <n v="0"/>
    <n v="166320"/>
    <s v="Centralización ventas febrero 2026  #37415 - valor neto"/>
    <n v="-166320"/>
    <s v="EERR"/>
    <n v="166320"/>
    <x v="123"/>
  </r>
  <r>
    <n v="2026"/>
    <n v="2"/>
    <s v="28-02-2026"/>
    <n v="9858"/>
    <s v="5101-01"/>
    <n v="0"/>
    <n v="76454"/>
    <s v="Centralización ventas febrero 2026  #37326 - valor neto"/>
    <n v="-76454"/>
    <s v="EERR"/>
    <n v="76454"/>
    <x v="123"/>
  </r>
  <r>
    <n v="2026"/>
    <n v="2"/>
    <s v="28-02-2026"/>
    <n v="9859"/>
    <s v="5101-01"/>
    <n v="0"/>
    <n v="25210"/>
    <s v="Centralización ventas febrero 2026  #37332 - valor neto"/>
    <n v="-25210"/>
    <s v="EERR"/>
    <n v="25210"/>
    <x v="123"/>
  </r>
  <r>
    <n v="2026"/>
    <n v="2"/>
    <s v="28-02-2026"/>
    <n v="9860"/>
    <s v="5101-01"/>
    <n v="0"/>
    <n v="33613"/>
    <s v="Centralización ventas febrero 2026  #37361 - valor neto"/>
    <n v="-33613"/>
    <s v="EERR"/>
    <n v="33613"/>
    <x v="123"/>
  </r>
  <r>
    <n v="2026"/>
    <n v="2"/>
    <s v="28-02-2026"/>
    <n v="9861"/>
    <s v="5101-01"/>
    <n v="0"/>
    <n v="25210"/>
    <s v="Centralización ventas febrero 2026  #37363 - valor neto"/>
    <n v="-25210"/>
    <s v="EERR"/>
    <n v="25210"/>
    <x v="123"/>
  </r>
  <r>
    <n v="2026"/>
    <n v="2"/>
    <s v="28-02-2026"/>
    <n v="9862"/>
    <s v="5101-01"/>
    <n v="0"/>
    <n v="25210"/>
    <s v="Centralización ventas febrero 2026  #37368 - valor neto"/>
    <n v="-25210"/>
    <s v="EERR"/>
    <n v="25210"/>
    <x v="123"/>
  </r>
  <r>
    <n v="2026"/>
    <n v="2"/>
    <s v="28-02-2026"/>
    <n v="9863"/>
    <s v="5101-01"/>
    <n v="0"/>
    <n v="325132"/>
    <s v="Centralización ventas febrero 2026  #37369 - valor neto"/>
    <n v="-325132"/>
    <s v="EERR"/>
    <n v="325132"/>
    <x v="123"/>
  </r>
  <r>
    <n v="2026"/>
    <n v="2"/>
    <s v="28-02-2026"/>
    <n v="9864"/>
    <s v="5101-01"/>
    <n v="0"/>
    <n v="25210"/>
    <s v="Centralización ventas febrero 2026  #37371 - valor neto"/>
    <n v="-25210"/>
    <s v="EERR"/>
    <n v="25210"/>
    <x v="123"/>
  </r>
  <r>
    <n v="2026"/>
    <n v="2"/>
    <s v="28-02-2026"/>
    <n v="9865"/>
    <s v="5101-01"/>
    <n v="0"/>
    <n v="95381"/>
    <s v="Centralización ventas febrero 2026  #37374 - valor neto"/>
    <n v="-95381"/>
    <s v="EERR"/>
    <n v="95381"/>
    <x v="123"/>
  </r>
  <r>
    <n v="2026"/>
    <n v="2"/>
    <s v="28-02-2026"/>
    <n v="9866"/>
    <s v="5101-01"/>
    <n v="0"/>
    <n v="58868"/>
    <s v="Centralización ventas febrero 2026  #37376 - valor neto"/>
    <n v="-58868"/>
    <s v="EERR"/>
    <n v="58868"/>
    <x v="123"/>
  </r>
  <r>
    <n v="2026"/>
    <n v="2"/>
    <s v="28-02-2026"/>
    <n v="9867"/>
    <s v="5101-01"/>
    <n v="0"/>
    <n v="25210"/>
    <s v="Centralización ventas febrero 2026  #37378 - valor neto"/>
    <n v="-25210"/>
    <s v="EERR"/>
    <n v="25210"/>
    <x v="123"/>
  </r>
  <r>
    <n v="2026"/>
    <n v="2"/>
    <s v="28-02-2026"/>
    <n v="9868"/>
    <s v="5101-01"/>
    <n v="0"/>
    <n v="25210"/>
    <s v="Centralización ventas febrero 2026  #37380 - valor neto"/>
    <n v="-25210"/>
    <s v="EERR"/>
    <n v="25210"/>
    <x v="123"/>
  </r>
  <r>
    <n v="2026"/>
    <n v="2"/>
    <s v="28-02-2026"/>
    <n v="9869"/>
    <s v="5101-01"/>
    <n v="0"/>
    <n v="238150"/>
    <s v="Centralización ventas febrero 2026  #37382 - valor neto"/>
    <n v="-238150"/>
    <s v="EERR"/>
    <n v="238150"/>
    <x v="123"/>
  </r>
  <r>
    <n v="2026"/>
    <n v="2"/>
    <s v="28-02-2026"/>
    <n v="9870"/>
    <s v="5101-01"/>
    <n v="0"/>
    <n v="50412"/>
    <s v="Centralización ventas febrero 2026  #37391 - valor neto"/>
    <n v="-50412"/>
    <s v="EERR"/>
    <n v="50412"/>
    <x v="123"/>
  </r>
  <r>
    <n v="2026"/>
    <n v="2"/>
    <s v="28-02-2026"/>
    <n v="9871"/>
    <s v="5101-01"/>
    <n v="0"/>
    <n v="87395"/>
    <s v="Centralización ventas febrero 2026  #37392 - valor neto"/>
    <n v="-87395"/>
    <s v="EERR"/>
    <n v="87395"/>
    <x v="123"/>
  </r>
  <r>
    <n v="2026"/>
    <n v="2"/>
    <s v="28-02-2026"/>
    <n v="9872"/>
    <s v="5101-01"/>
    <n v="0"/>
    <n v="25210"/>
    <s v="Centralización ventas febrero 2026  #37394 - valor neto"/>
    <n v="-25210"/>
    <s v="EERR"/>
    <n v="25210"/>
    <x v="123"/>
  </r>
  <r>
    <n v="2026"/>
    <n v="2"/>
    <s v="28-02-2026"/>
    <n v="9873"/>
    <s v="5101-01"/>
    <n v="0"/>
    <n v="33613"/>
    <s v="Centralización ventas febrero 2026  #37397 - valor neto"/>
    <n v="-33613"/>
    <s v="EERR"/>
    <n v="33613"/>
    <x v="123"/>
  </r>
  <r>
    <n v="2026"/>
    <n v="2"/>
    <s v="28-02-2026"/>
    <n v="9874"/>
    <s v="5101-01"/>
    <n v="0"/>
    <n v="222179"/>
    <s v="Centralización ventas febrero 2026  #37399 - valor neto"/>
    <n v="-222179"/>
    <s v="EERR"/>
    <n v="222179"/>
    <x v="123"/>
  </r>
  <r>
    <n v="2026"/>
    <n v="2"/>
    <s v="28-02-2026"/>
    <n v="9875"/>
    <s v="5101-01"/>
    <n v="0"/>
    <n v="25210"/>
    <s v="Centralización ventas febrero 2026  #37400 - valor neto"/>
    <n v="-25210"/>
    <s v="EERR"/>
    <n v="25210"/>
    <x v="123"/>
  </r>
  <r>
    <n v="2026"/>
    <n v="2"/>
    <s v="28-02-2026"/>
    <n v="9876"/>
    <s v="5101-01"/>
    <n v="0"/>
    <n v="109328"/>
    <s v="Centralización ventas febrero 2026  #37406 - valor neto"/>
    <n v="-109328"/>
    <s v="EERR"/>
    <n v="109328"/>
    <x v="123"/>
  </r>
  <r>
    <n v="2026"/>
    <n v="2"/>
    <s v="28-02-2026"/>
    <n v="9877"/>
    <s v="5101-01"/>
    <n v="0"/>
    <n v="25210"/>
    <s v="Centralización ventas febrero 2026  #37408 - valor neto"/>
    <n v="-25210"/>
    <s v="EERR"/>
    <n v="25210"/>
    <x v="123"/>
  </r>
  <r>
    <n v="2026"/>
    <n v="2"/>
    <s v="28-02-2026"/>
    <n v="9878"/>
    <s v="5101-01"/>
    <n v="0"/>
    <n v="40336"/>
    <s v="Centralización ventas febrero 2026  #37412 - valor neto"/>
    <n v="-40336"/>
    <s v="EERR"/>
    <n v="40336"/>
    <x v="123"/>
  </r>
  <r>
    <n v="2026"/>
    <n v="2"/>
    <s v="28-02-2026"/>
    <n v="9879"/>
    <s v="5101-01"/>
    <n v="0"/>
    <n v="58824"/>
    <s v="Centralización ventas febrero 2026  #37414 - valor neto"/>
    <n v="-58824"/>
    <s v="EERR"/>
    <n v="58824"/>
    <x v="123"/>
  </r>
  <r>
    <n v="2026"/>
    <n v="2"/>
    <s v="28-02-2026"/>
    <n v="9880"/>
    <s v="5101-01"/>
    <n v="0"/>
    <n v="29412"/>
    <s v="Centralización ventas febrero 2026  #37418 - valor neto"/>
    <n v="-29412"/>
    <s v="EERR"/>
    <n v="29412"/>
    <x v="123"/>
  </r>
  <r>
    <n v="2026"/>
    <n v="2"/>
    <s v="28-02-2026"/>
    <n v="9881"/>
    <s v="5101-01"/>
    <n v="0"/>
    <n v="37815"/>
    <s v="Centralización ventas febrero 2026  #37427 - valor neto"/>
    <n v="-37815"/>
    <s v="EERR"/>
    <n v="37815"/>
    <x v="123"/>
  </r>
  <r>
    <n v="2026"/>
    <n v="2"/>
    <s v="28-02-2026"/>
    <n v="9882"/>
    <s v="5101-01"/>
    <n v="0"/>
    <n v="25210"/>
    <s v="Centralización ventas febrero 2026  #37428 - valor neto"/>
    <n v="-25210"/>
    <s v="EERR"/>
    <n v="25210"/>
    <x v="123"/>
  </r>
  <r>
    <n v="2026"/>
    <n v="2"/>
    <s v="28-02-2026"/>
    <n v="9883"/>
    <s v="5101-01"/>
    <n v="0"/>
    <n v="91588"/>
    <s v="Centralización ventas febrero 2026  #37430 - valor neto"/>
    <n v="-91588"/>
    <s v="EERR"/>
    <n v="91588"/>
    <x v="123"/>
  </r>
  <r>
    <n v="2026"/>
    <n v="2"/>
    <s v="28-02-2026"/>
    <n v="9884"/>
    <s v="5101-01"/>
    <n v="0"/>
    <n v="33613"/>
    <s v="Centralización ventas febrero 2026  #37434 - valor neto"/>
    <n v="-33613"/>
    <s v="EERR"/>
    <n v="33613"/>
    <x v="123"/>
  </r>
  <r>
    <n v="2026"/>
    <n v="2"/>
    <s v="28-02-2026"/>
    <n v="9885"/>
    <s v="5101-01"/>
    <n v="0"/>
    <n v="25202"/>
    <s v="Centralización ventas febrero 2026  #37467 - valor neto"/>
    <n v="-25202"/>
    <s v="EERR"/>
    <n v="25202"/>
    <x v="123"/>
  </r>
  <r>
    <n v="2026"/>
    <n v="2"/>
    <s v="28-02-2026"/>
    <n v="9886"/>
    <s v="5101-01"/>
    <n v="0"/>
    <n v="117630"/>
    <s v="Centralización ventas febrero 2026  #37730 - valor neto"/>
    <n v="-117630"/>
    <s v="EERR"/>
    <n v="117630"/>
    <x v="123"/>
  </r>
  <r>
    <n v="2026"/>
    <n v="2"/>
    <s v="28-02-2026"/>
    <n v="9887"/>
    <s v="5101-01"/>
    <n v="0"/>
    <n v="110570"/>
    <s v="Centralización ventas febrero 2026  #37789 - valor neto"/>
    <n v="-110570"/>
    <s v="EERR"/>
    <n v="110570"/>
    <x v="123"/>
  </r>
  <r>
    <n v="2026"/>
    <n v="2"/>
    <s v="28-02-2026"/>
    <n v="9888"/>
    <s v="5101-01"/>
    <n v="0"/>
    <n v="42008"/>
    <s v="Centralización ventas febrero 2026  #37816 - valor neto"/>
    <n v="-42008"/>
    <s v="EERR"/>
    <n v="42008"/>
    <x v="123"/>
  </r>
  <r>
    <n v="2026"/>
    <n v="2"/>
    <s v="28-02-2026"/>
    <n v="9889"/>
    <s v="5101-01"/>
    <n v="0"/>
    <n v="25210"/>
    <s v="Centralización ventas febrero 2026  #37878 - valor neto"/>
    <n v="-25210"/>
    <s v="EERR"/>
    <n v="25210"/>
    <x v="123"/>
  </r>
  <r>
    <n v="2026"/>
    <n v="2"/>
    <s v="28-02-2026"/>
    <n v="9890"/>
    <s v="5101-01"/>
    <n v="0"/>
    <n v="43690"/>
    <s v="Centralización ventas febrero 2026  #37324 - valor neto"/>
    <n v="-43690"/>
    <s v="EERR"/>
    <n v="43690"/>
    <x v="123"/>
  </r>
  <r>
    <n v="2026"/>
    <n v="2"/>
    <s v="28-02-2026"/>
    <n v="9891"/>
    <s v="5101-01"/>
    <n v="0"/>
    <n v="24361"/>
    <s v="Centralización ventas febrero 2026  #37333 - valor neto"/>
    <n v="-24361"/>
    <s v="EERR"/>
    <n v="24361"/>
    <x v="123"/>
  </r>
  <r>
    <n v="2026"/>
    <n v="2"/>
    <s v="28-02-2026"/>
    <n v="9892"/>
    <s v="5101-01"/>
    <n v="0"/>
    <n v="33613"/>
    <s v="Centralización ventas febrero 2026  #37334 - valor neto"/>
    <n v="-33613"/>
    <s v="EERR"/>
    <n v="33613"/>
    <x v="123"/>
  </r>
  <r>
    <n v="2026"/>
    <n v="2"/>
    <s v="28-02-2026"/>
    <n v="9893"/>
    <s v="5101-01"/>
    <n v="0"/>
    <n v="26891"/>
    <s v="Centralización ventas febrero 2026  #37335 - valor neto"/>
    <n v="-26891"/>
    <s v="EERR"/>
    <n v="26891"/>
    <x v="123"/>
  </r>
  <r>
    <n v="2026"/>
    <n v="2"/>
    <s v="28-02-2026"/>
    <n v="9894"/>
    <s v="5101-01"/>
    <n v="0"/>
    <n v="33613"/>
    <s v="Centralización ventas febrero 2026  #37336 - valor neto"/>
    <n v="-33613"/>
    <s v="EERR"/>
    <n v="33613"/>
    <x v="123"/>
  </r>
  <r>
    <n v="2026"/>
    <n v="2"/>
    <s v="28-02-2026"/>
    <n v="9895"/>
    <s v="5101-01"/>
    <n v="0"/>
    <n v="25210"/>
    <s v="Centralización ventas febrero 2026  #37338 - valor neto"/>
    <n v="-25210"/>
    <s v="EERR"/>
    <n v="25210"/>
    <x v="123"/>
  </r>
  <r>
    <n v="2026"/>
    <n v="2"/>
    <s v="28-02-2026"/>
    <n v="9896"/>
    <s v="5101-01"/>
    <n v="0"/>
    <n v="96122"/>
    <s v="Centralización ventas febrero 2026  #37344 - valor neto"/>
    <n v="-96122"/>
    <s v="EERR"/>
    <n v="96122"/>
    <x v="123"/>
  </r>
  <r>
    <n v="2026"/>
    <n v="2"/>
    <s v="28-02-2026"/>
    <n v="9897"/>
    <s v="5101-01"/>
    <n v="0"/>
    <n v="85705"/>
    <s v="Centralización ventas febrero 2026  #37346 - valor neto"/>
    <n v="-85705"/>
    <s v="EERR"/>
    <n v="85705"/>
    <x v="123"/>
  </r>
  <r>
    <n v="2026"/>
    <n v="2"/>
    <s v="28-02-2026"/>
    <n v="9898"/>
    <s v="5101-01"/>
    <n v="0"/>
    <n v="29403"/>
    <s v="Centralización ventas febrero 2026  #37348 - valor neto"/>
    <n v="-29403"/>
    <s v="EERR"/>
    <n v="29403"/>
    <x v="123"/>
  </r>
  <r>
    <n v="2026"/>
    <n v="2"/>
    <s v="28-02-2026"/>
    <n v="9899"/>
    <s v="5101-01"/>
    <n v="0"/>
    <n v="25210"/>
    <s v="Centralización ventas febrero 2026  #37356 - valor neto"/>
    <n v="-25210"/>
    <s v="EERR"/>
    <n v="25210"/>
    <x v="123"/>
  </r>
  <r>
    <n v="2026"/>
    <n v="2"/>
    <s v="28-02-2026"/>
    <n v="9900"/>
    <s v="5101-01"/>
    <n v="0"/>
    <n v="25202"/>
    <s v="Centralización ventas febrero 2026  #37372 - valor neto"/>
    <n v="-25202"/>
    <s v="EERR"/>
    <n v="25202"/>
    <x v="123"/>
  </r>
  <r>
    <n v="2026"/>
    <n v="2"/>
    <s v="28-02-2026"/>
    <n v="9901"/>
    <s v="5101-01"/>
    <n v="0"/>
    <n v="25210"/>
    <s v="Centralización ventas febrero 2026  #37387 - valor neto"/>
    <n v="-25210"/>
    <s v="EERR"/>
    <n v="25210"/>
    <x v="123"/>
  </r>
  <r>
    <n v="2026"/>
    <n v="2"/>
    <s v="28-02-2026"/>
    <n v="9902"/>
    <s v="5101-01"/>
    <n v="0"/>
    <n v="100515"/>
    <s v="Centralización ventas febrero 2026  #37388 - valor neto"/>
    <n v="-100515"/>
    <s v="EERR"/>
    <n v="100515"/>
    <x v="123"/>
  </r>
  <r>
    <n v="2026"/>
    <n v="2"/>
    <s v="28-02-2026"/>
    <n v="9903"/>
    <s v="5101-01"/>
    <n v="0"/>
    <n v="25210"/>
    <s v="Centralización ventas febrero 2026  #37389 - valor neto"/>
    <n v="-25210"/>
    <s v="EERR"/>
    <n v="25210"/>
    <x v="123"/>
  </r>
  <r>
    <n v="2026"/>
    <n v="2"/>
    <s v="28-02-2026"/>
    <n v="9904"/>
    <s v="5101-01"/>
    <n v="0"/>
    <n v="25202"/>
    <s v="Centralización ventas febrero 2026  #37393 - valor neto"/>
    <n v="-25202"/>
    <s v="EERR"/>
    <n v="25202"/>
    <x v="123"/>
  </r>
  <r>
    <n v="2026"/>
    <n v="2"/>
    <s v="28-02-2026"/>
    <n v="9905"/>
    <s v="5101-01"/>
    <n v="0"/>
    <n v="29403"/>
    <s v="Centralización ventas febrero 2026  #37413 - valor neto"/>
    <n v="-29403"/>
    <s v="EERR"/>
    <n v="29403"/>
    <x v="123"/>
  </r>
  <r>
    <n v="2026"/>
    <n v="2"/>
    <s v="28-02-2026"/>
    <n v="9906"/>
    <s v="5101-01"/>
    <n v="0"/>
    <n v="25210"/>
    <s v="Centralización ventas febrero 2026  #37416 - valor neto"/>
    <n v="-25210"/>
    <s v="EERR"/>
    <n v="25210"/>
    <x v="123"/>
  </r>
  <r>
    <n v="2026"/>
    <n v="2"/>
    <s v="28-02-2026"/>
    <n v="9907"/>
    <s v="5101-01"/>
    <n v="0"/>
    <n v="16798"/>
    <s v="Centralización ventas febrero 2026  #37422 - valor neto"/>
    <n v="-16798"/>
    <s v="EERR"/>
    <n v="16798"/>
    <x v="123"/>
  </r>
  <r>
    <n v="2026"/>
    <n v="2"/>
    <s v="28-02-2026"/>
    <n v="9908"/>
    <s v="5101-01"/>
    <n v="0"/>
    <n v="31925"/>
    <s v="Centralización ventas febrero 2026  #37431 - valor neto"/>
    <n v="-31925"/>
    <s v="EERR"/>
    <n v="31925"/>
    <x v="123"/>
  </r>
  <r>
    <n v="2026"/>
    <n v="2"/>
    <s v="28-02-2026"/>
    <n v="9909"/>
    <s v="5101-01"/>
    <n v="0"/>
    <n v="48739"/>
    <s v="Centralización ventas febrero 2026  #37435 - valor neto"/>
    <n v="-48739"/>
    <s v="EERR"/>
    <n v="48739"/>
    <x v="123"/>
  </r>
  <r>
    <n v="2026"/>
    <n v="2"/>
    <s v="28-02-2026"/>
    <n v="9910"/>
    <s v="5101-01"/>
    <n v="0"/>
    <n v="27723"/>
    <s v="Centralización ventas febrero 2026  #37437 - valor neto"/>
    <n v="-27723"/>
    <s v="EERR"/>
    <n v="27723"/>
    <x v="123"/>
  </r>
  <r>
    <n v="2026"/>
    <n v="2"/>
    <s v="28-02-2026"/>
    <n v="9911"/>
    <s v="5101-01"/>
    <n v="0"/>
    <n v="42017"/>
    <s v="Centralización ventas febrero 2026  #37438 - valor neto"/>
    <n v="-42017"/>
    <s v="EERR"/>
    <n v="42017"/>
    <x v="123"/>
  </r>
  <r>
    <n v="2026"/>
    <n v="2"/>
    <s v="28-02-2026"/>
    <n v="9912"/>
    <s v="5101-01"/>
    <n v="0"/>
    <n v="25210"/>
    <s v="Centralización ventas febrero 2026  #37439 - valor neto"/>
    <n v="-25210"/>
    <s v="EERR"/>
    <n v="25210"/>
    <x v="123"/>
  </r>
  <r>
    <n v="2026"/>
    <n v="2"/>
    <s v="28-02-2026"/>
    <n v="9913"/>
    <s v="5101-01"/>
    <n v="0"/>
    <n v="25210"/>
    <s v="Centralización ventas febrero 2026  #37440 - valor neto"/>
    <n v="-25210"/>
    <s v="EERR"/>
    <n v="25210"/>
    <x v="123"/>
  </r>
  <r>
    <n v="2026"/>
    <n v="2"/>
    <s v="28-02-2026"/>
    <n v="9914"/>
    <s v="5101-01"/>
    <n v="0"/>
    <n v="25210"/>
    <s v="Centralización ventas febrero 2026  #37443 - valor neto"/>
    <n v="-25210"/>
    <s v="EERR"/>
    <n v="25210"/>
    <x v="123"/>
  </r>
  <r>
    <n v="2026"/>
    <n v="2"/>
    <s v="28-02-2026"/>
    <n v="9915"/>
    <s v="5101-01"/>
    <n v="0"/>
    <n v="33613"/>
    <s v="Centralización ventas febrero 2026  #37445 - valor neto"/>
    <n v="-33613"/>
    <s v="EERR"/>
    <n v="33613"/>
    <x v="123"/>
  </r>
  <r>
    <n v="2026"/>
    <n v="2"/>
    <s v="28-02-2026"/>
    <n v="9916"/>
    <s v="5101-01"/>
    <n v="0"/>
    <n v="33613"/>
    <s v="Centralización ventas febrero 2026  #37448 - valor neto"/>
    <n v="-33613"/>
    <s v="EERR"/>
    <n v="33613"/>
    <x v="123"/>
  </r>
  <r>
    <n v="2026"/>
    <n v="2"/>
    <s v="28-02-2026"/>
    <n v="9917"/>
    <s v="5101-01"/>
    <n v="0"/>
    <n v="24361"/>
    <s v="Centralización ventas febrero 2026  #37449 - valor neto"/>
    <n v="-24361"/>
    <s v="EERR"/>
    <n v="24361"/>
    <x v="123"/>
  </r>
  <r>
    <n v="2026"/>
    <n v="2"/>
    <s v="28-02-2026"/>
    <n v="9918"/>
    <s v="5101-01"/>
    <n v="0"/>
    <n v="42017"/>
    <s v="Centralización ventas febrero 2026  #37450 - valor neto"/>
    <n v="-42017"/>
    <s v="EERR"/>
    <n v="42017"/>
    <x v="123"/>
  </r>
  <r>
    <n v="2026"/>
    <n v="2"/>
    <s v="28-02-2026"/>
    <n v="9919"/>
    <s v="5101-01"/>
    <n v="0"/>
    <n v="36126"/>
    <s v="Centralización ventas febrero 2026  #37451 - valor neto"/>
    <n v="-36126"/>
    <s v="EERR"/>
    <n v="36126"/>
    <x v="123"/>
  </r>
  <r>
    <n v="2026"/>
    <n v="2"/>
    <s v="28-02-2026"/>
    <n v="9920"/>
    <s v="5101-01"/>
    <n v="0"/>
    <n v="27723"/>
    <s v="Centralización ventas febrero 2026  #37453 - valor neto"/>
    <n v="-27723"/>
    <s v="EERR"/>
    <n v="27723"/>
    <x v="123"/>
  </r>
  <r>
    <n v="2026"/>
    <n v="2"/>
    <s v="28-02-2026"/>
    <n v="9921"/>
    <s v="5101-01"/>
    <n v="0"/>
    <n v="25202"/>
    <s v="Centralización ventas febrero 2026  #37454 - valor neto"/>
    <n v="-25202"/>
    <s v="EERR"/>
    <n v="25202"/>
    <x v="123"/>
  </r>
  <r>
    <n v="2026"/>
    <n v="2"/>
    <s v="28-02-2026"/>
    <n v="9922"/>
    <s v="5101-01"/>
    <n v="0"/>
    <n v="25210"/>
    <s v="Centralización ventas febrero 2026  #37455 - valor neto"/>
    <n v="-25210"/>
    <s v="EERR"/>
    <n v="25210"/>
    <x v="123"/>
  </r>
  <r>
    <n v="2026"/>
    <n v="2"/>
    <s v="28-02-2026"/>
    <n v="9923"/>
    <s v="5101-01"/>
    <n v="0"/>
    <n v="50420"/>
    <s v="Centralización ventas febrero 2026  #37456 - valor neto"/>
    <n v="-50420"/>
    <s v="EERR"/>
    <n v="50420"/>
    <x v="123"/>
  </r>
  <r>
    <n v="2026"/>
    <n v="2"/>
    <s v="28-02-2026"/>
    <n v="9924"/>
    <s v="5101-01"/>
    <n v="0"/>
    <n v="25210"/>
    <s v="Centralización ventas febrero 2026  #37457 - valor neto"/>
    <n v="-25210"/>
    <s v="EERR"/>
    <n v="25210"/>
    <x v="123"/>
  </r>
  <r>
    <n v="2026"/>
    <n v="2"/>
    <s v="28-02-2026"/>
    <n v="9925"/>
    <s v="5101-01"/>
    <n v="0"/>
    <n v="185655"/>
    <s v="Centralización ventas febrero 2026  #37458 - valor neto"/>
    <n v="-185655"/>
    <s v="EERR"/>
    <n v="185655"/>
    <x v="123"/>
  </r>
  <r>
    <n v="2026"/>
    <n v="2"/>
    <s v="28-02-2026"/>
    <n v="9926"/>
    <s v="5101-01"/>
    <n v="0"/>
    <n v="36966"/>
    <s v="Centralización ventas febrero 2026  #37459 - valor neto"/>
    <n v="-36966"/>
    <s v="EERR"/>
    <n v="36966"/>
    <x v="123"/>
  </r>
  <r>
    <n v="2026"/>
    <n v="2"/>
    <s v="28-02-2026"/>
    <n v="9927"/>
    <s v="5101-01"/>
    <n v="0"/>
    <n v="25210"/>
    <s v="Centralización ventas febrero 2026  #37460 - valor neto"/>
    <n v="-25210"/>
    <s v="EERR"/>
    <n v="25210"/>
    <x v="123"/>
  </r>
  <r>
    <n v="2026"/>
    <n v="2"/>
    <s v="28-02-2026"/>
    <n v="9928"/>
    <s v="5101-01"/>
    <n v="0"/>
    <n v="25210"/>
    <s v="Centralización ventas febrero 2026  #37461 - valor neto"/>
    <n v="-25210"/>
    <s v="EERR"/>
    <n v="25210"/>
    <x v="123"/>
  </r>
  <r>
    <n v="2026"/>
    <n v="2"/>
    <s v="28-02-2026"/>
    <n v="9929"/>
    <s v="5101-01"/>
    <n v="0"/>
    <n v="60504"/>
    <s v="Centralización ventas febrero 2026  #37462 - valor neto"/>
    <n v="-60504"/>
    <s v="EERR"/>
    <n v="60504"/>
    <x v="123"/>
  </r>
  <r>
    <n v="2026"/>
    <n v="2"/>
    <s v="28-02-2026"/>
    <n v="9930"/>
    <s v="5101-01"/>
    <n v="0"/>
    <n v="25210"/>
    <s v="Centralización ventas febrero 2026  #37463 - valor neto"/>
    <n v="-25210"/>
    <s v="EERR"/>
    <n v="25210"/>
    <x v="123"/>
  </r>
  <r>
    <n v="2026"/>
    <n v="2"/>
    <s v="28-02-2026"/>
    <n v="9931"/>
    <s v="5101-01"/>
    <n v="0"/>
    <n v="248836"/>
    <s v="Centralización ventas febrero 2026  #37465 - valor neto"/>
    <n v="-248836"/>
    <s v="EERR"/>
    <n v="248836"/>
    <x v="123"/>
  </r>
  <r>
    <n v="2026"/>
    <n v="2"/>
    <s v="28-02-2026"/>
    <n v="9932"/>
    <s v="5101-01"/>
    <n v="0"/>
    <n v="25202"/>
    <s v="Centralización ventas febrero 2026  #37466 - valor neto"/>
    <n v="-25202"/>
    <s v="EERR"/>
    <n v="25202"/>
    <x v="123"/>
  </r>
  <r>
    <n v="2026"/>
    <n v="2"/>
    <s v="28-02-2026"/>
    <n v="9933"/>
    <s v="5101-01"/>
    <n v="0"/>
    <n v="25210"/>
    <s v="Centralización ventas febrero 2026  #37468 - valor neto"/>
    <n v="-25210"/>
    <s v="EERR"/>
    <n v="25210"/>
    <x v="123"/>
  </r>
  <r>
    <n v="2026"/>
    <n v="2"/>
    <s v="28-02-2026"/>
    <n v="9934"/>
    <s v="5101-01"/>
    <n v="0"/>
    <n v="25210"/>
    <s v="Centralización ventas febrero 2026  #37469 - valor neto"/>
    <n v="-25210"/>
    <s v="EERR"/>
    <n v="25210"/>
    <x v="123"/>
  </r>
  <r>
    <n v="2026"/>
    <n v="2"/>
    <s v="28-02-2026"/>
    <n v="9935"/>
    <s v="5101-01"/>
    <n v="0"/>
    <n v="18479"/>
    <s v="Centralización ventas febrero 2026  #37470 - valor neto"/>
    <n v="-18479"/>
    <s v="EERR"/>
    <n v="18479"/>
    <x v="123"/>
  </r>
  <r>
    <n v="2026"/>
    <n v="2"/>
    <s v="28-02-2026"/>
    <n v="9936"/>
    <s v="5101-01"/>
    <n v="0"/>
    <n v="25210"/>
    <s v="Centralización ventas febrero 2026  #37471 - valor neto"/>
    <n v="-25210"/>
    <s v="EERR"/>
    <n v="25210"/>
    <x v="123"/>
  </r>
  <r>
    <n v="2026"/>
    <n v="2"/>
    <s v="28-02-2026"/>
    <n v="9937"/>
    <s v="5101-01"/>
    <n v="0"/>
    <n v="29403"/>
    <s v="Centralización ventas febrero 2026  #37473 - valor neto"/>
    <n v="-29403"/>
    <s v="EERR"/>
    <n v="29403"/>
    <x v="123"/>
  </r>
  <r>
    <n v="2026"/>
    <n v="2"/>
    <s v="28-02-2026"/>
    <n v="9938"/>
    <s v="5101-01"/>
    <n v="0"/>
    <n v="25202"/>
    <s v="Centralización ventas febrero 2026  #37474 - valor neto"/>
    <n v="-25202"/>
    <s v="EERR"/>
    <n v="25202"/>
    <x v="123"/>
  </r>
  <r>
    <n v="2026"/>
    <n v="2"/>
    <s v="28-02-2026"/>
    <n v="9939"/>
    <s v="5101-01"/>
    <n v="0"/>
    <n v="28563"/>
    <s v="Centralización ventas febrero 2026  #37477 - valor neto"/>
    <n v="-28563"/>
    <s v="EERR"/>
    <n v="28563"/>
    <x v="123"/>
  </r>
  <r>
    <n v="2026"/>
    <n v="2"/>
    <s v="28-02-2026"/>
    <n v="9940"/>
    <s v="5101-01"/>
    <n v="0"/>
    <n v="25210"/>
    <s v="Centralización ventas febrero 2026  #37478 - valor neto"/>
    <n v="-25210"/>
    <s v="EERR"/>
    <n v="25210"/>
    <x v="123"/>
  </r>
  <r>
    <n v="2026"/>
    <n v="2"/>
    <s v="28-02-2026"/>
    <n v="9941"/>
    <s v="5101-01"/>
    <n v="0"/>
    <n v="25210"/>
    <s v="Centralización ventas febrero 2026  #37484 - valor neto"/>
    <n v="-25210"/>
    <s v="EERR"/>
    <n v="25210"/>
    <x v="123"/>
  </r>
  <r>
    <n v="2026"/>
    <n v="2"/>
    <s v="28-02-2026"/>
    <n v="9942"/>
    <s v="5101-01"/>
    <n v="0"/>
    <n v="33613"/>
    <s v="Centralización ventas febrero 2026  #37486 - valor neto"/>
    <n v="-33613"/>
    <s v="EERR"/>
    <n v="33613"/>
    <x v="123"/>
  </r>
  <r>
    <n v="2026"/>
    <n v="2"/>
    <s v="28-02-2026"/>
    <n v="9943"/>
    <s v="5101-01"/>
    <n v="0"/>
    <n v="63866"/>
    <s v="Centralización ventas febrero 2026  #37487 - valor neto"/>
    <n v="-63866"/>
    <s v="EERR"/>
    <n v="63866"/>
    <x v="123"/>
  </r>
  <r>
    <n v="2026"/>
    <n v="2"/>
    <s v="28-02-2026"/>
    <n v="9944"/>
    <s v="5101-01"/>
    <n v="0"/>
    <n v="25210"/>
    <s v="Centralización ventas febrero 2026  #37494 - valor neto"/>
    <n v="-25210"/>
    <s v="EERR"/>
    <n v="25210"/>
    <x v="123"/>
  </r>
  <r>
    <n v="2026"/>
    <n v="2"/>
    <s v="28-02-2026"/>
    <n v="9945"/>
    <s v="5101-01"/>
    <n v="0"/>
    <n v="25210"/>
    <s v="Centralización ventas febrero 2026  #37496 - valor neto"/>
    <n v="-25210"/>
    <s v="EERR"/>
    <n v="25210"/>
    <x v="123"/>
  </r>
  <r>
    <n v="2026"/>
    <n v="2"/>
    <s v="28-02-2026"/>
    <n v="9946"/>
    <s v="5101-01"/>
    <n v="0"/>
    <n v="417813"/>
    <s v="Centralización ventas febrero 2026  #37647 - valor neto"/>
    <n v="-417813"/>
    <s v="EERR"/>
    <n v="417813"/>
    <x v="123"/>
  </r>
  <r>
    <n v="2026"/>
    <n v="2"/>
    <s v="28-02-2026"/>
    <n v="9947"/>
    <s v="5101-01"/>
    <n v="0"/>
    <n v="21840"/>
    <s v="Centralización ventas febrero 2026  #37845 - valor neto"/>
    <n v="-21840"/>
    <s v="EERR"/>
    <n v="21840"/>
    <x v="123"/>
  </r>
  <r>
    <n v="2026"/>
    <n v="2"/>
    <s v="28-02-2026"/>
    <n v="9948"/>
    <s v="5101-01"/>
    <n v="0"/>
    <n v="168067"/>
    <s v="Centralización ventas febrero 2026  #37893 - valor neto"/>
    <n v="-168067"/>
    <s v="EERR"/>
    <n v="168067"/>
    <x v="123"/>
  </r>
  <r>
    <n v="2026"/>
    <n v="2"/>
    <s v="28-02-2026"/>
    <n v="9949"/>
    <s v="5101-01"/>
    <n v="0"/>
    <n v="21000"/>
    <s v="Centralización ventas febrero 2026  #37944 - valor neto"/>
    <n v="-21000"/>
    <s v="EERR"/>
    <n v="21000"/>
    <x v="123"/>
  </r>
  <r>
    <n v="2026"/>
    <n v="2"/>
    <s v="28-02-2026"/>
    <n v="9950"/>
    <s v="5101-01"/>
    <n v="0"/>
    <n v="50412"/>
    <s v="Centralización ventas febrero 2026  #37967 - valor neto"/>
    <n v="-50412"/>
    <s v="EERR"/>
    <n v="50412"/>
    <x v="123"/>
  </r>
  <r>
    <n v="2026"/>
    <n v="2"/>
    <s v="28-02-2026"/>
    <n v="9951"/>
    <s v="5101-01"/>
    <n v="50412"/>
    <n v="0"/>
    <s v="Centralización ventas febrero 2026  #4472 - valor neto"/>
    <n v="50412"/>
    <s v="EERR"/>
    <n v="-50412"/>
    <x v="123"/>
  </r>
  <r>
    <n v="2026"/>
    <n v="2"/>
    <s v="28-02-2026"/>
    <n v="9952"/>
    <s v="5101-01"/>
    <n v="25210"/>
    <n v="0"/>
    <s v="Centralización ventas febrero 2026  #4479 - valor neto"/>
    <n v="25210"/>
    <s v="EERR"/>
    <n v="-25210"/>
    <x v="123"/>
  </r>
  <r>
    <n v="2026"/>
    <n v="2"/>
    <s v="28-02-2026"/>
    <n v="9953"/>
    <s v="5101-01"/>
    <n v="101342"/>
    <n v="0"/>
    <s v="Centralización ventas febrero 2026  #4526 - valor neto"/>
    <n v="101342"/>
    <s v="EERR"/>
    <n v="-101342"/>
    <x v="123"/>
  </r>
  <r>
    <n v="2026"/>
    <n v="2"/>
    <s v="28-02-2026"/>
    <n v="9954"/>
    <s v="5101-01"/>
    <n v="0"/>
    <n v="133243343"/>
    <s v="Centralización ventas febrero 2026  #22026 - valor neto"/>
    <n v="-133243343"/>
    <s v="EERR"/>
    <n v="133243343"/>
    <x v="123"/>
  </r>
  <r>
    <n v="2026"/>
    <n v="2"/>
    <s v="28-02-2026"/>
    <n v="9955"/>
    <s v="5101-01"/>
    <n v="0"/>
    <n v="28704"/>
    <s v="Centralización ventas febrero 2026  #37325 - valor neto"/>
    <n v="-28704"/>
    <s v="EERR"/>
    <n v="28704"/>
    <x v="123"/>
  </r>
  <r>
    <n v="2026"/>
    <n v="2"/>
    <s v="28-02-2026"/>
    <n v="9956"/>
    <s v="5101-01"/>
    <n v="0"/>
    <n v="38336"/>
    <s v="Centralización ventas febrero 2026  #37327 - valor neto"/>
    <n v="-38336"/>
    <s v="EERR"/>
    <n v="38336"/>
    <x v="123"/>
  </r>
  <r>
    <n v="2026"/>
    <n v="2"/>
    <s v="28-02-2026"/>
    <n v="9957"/>
    <s v="5101-01"/>
    <n v="0"/>
    <n v="1262185"/>
    <s v="Centralización ventas febrero 2026  #37328 - valor neto"/>
    <n v="-1262185"/>
    <s v="EERR"/>
    <n v="1262185"/>
    <x v="123"/>
  </r>
  <r>
    <n v="2026"/>
    <n v="2"/>
    <s v="28-02-2026"/>
    <n v="9958"/>
    <s v="5101-01"/>
    <n v="0"/>
    <n v="26051"/>
    <s v="Centralización ventas febrero 2026  #37330 - valor neto"/>
    <n v="-26051"/>
    <s v="EERR"/>
    <n v="26051"/>
    <x v="123"/>
  </r>
  <r>
    <n v="2026"/>
    <n v="2"/>
    <s v="28-02-2026"/>
    <n v="9959"/>
    <s v="5101-01"/>
    <n v="0"/>
    <n v="25210"/>
    <s v="Centralización ventas febrero 2026  #37337 - valor neto"/>
    <n v="-25210"/>
    <s v="EERR"/>
    <n v="25210"/>
    <x v="123"/>
  </r>
  <r>
    <n v="2026"/>
    <n v="2"/>
    <s v="28-02-2026"/>
    <n v="9960"/>
    <s v="5101-01"/>
    <n v="0"/>
    <n v="26891"/>
    <s v="Centralización ventas febrero 2026  #37341 - valor neto"/>
    <n v="-26891"/>
    <s v="EERR"/>
    <n v="26891"/>
    <x v="123"/>
  </r>
  <r>
    <n v="2026"/>
    <n v="2"/>
    <s v="28-02-2026"/>
    <n v="9961"/>
    <s v="5101-01"/>
    <n v="0"/>
    <n v="36958"/>
    <s v="Centralización ventas febrero 2026  #37342 - valor neto"/>
    <n v="-36958"/>
    <s v="EERR"/>
    <n v="36958"/>
    <x v="123"/>
  </r>
  <r>
    <n v="2026"/>
    <n v="2"/>
    <s v="28-02-2026"/>
    <n v="9962"/>
    <s v="5101-01"/>
    <n v="0"/>
    <n v="26882"/>
    <s v="Centralización ventas febrero 2026  #37345 - valor neto"/>
    <n v="-26882"/>
    <s v="EERR"/>
    <n v="26882"/>
    <x v="123"/>
  </r>
  <r>
    <n v="2026"/>
    <n v="2"/>
    <s v="28-02-2026"/>
    <n v="9963"/>
    <s v="5101-01"/>
    <n v="0"/>
    <n v="23529"/>
    <s v="Centralización ventas febrero 2026  #37353 - valor neto"/>
    <n v="-23529"/>
    <s v="EERR"/>
    <n v="23529"/>
    <x v="123"/>
  </r>
  <r>
    <n v="2026"/>
    <n v="2"/>
    <s v="28-02-2026"/>
    <n v="9964"/>
    <s v="5101-01"/>
    <n v="0"/>
    <n v="25210"/>
    <s v="Centralización ventas febrero 2026  #37354 - valor neto"/>
    <n v="-25210"/>
    <s v="EERR"/>
    <n v="25210"/>
    <x v="123"/>
  </r>
  <r>
    <n v="2026"/>
    <n v="2"/>
    <s v="28-02-2026"/>
    <n v="9965"/>
    <s v="5101-01"/>
    <n v="0"/>
    <n v="184840"/>
    <s v="Centralización ventas febrero 2026  #37360 - valor neto"/>
    <n v="-184840"/>
    <s v="EERR"/>
    <n v="184840"/>
    <x v="123"/>
  </r>
  <r>
    <n v="2026"/>
    <n v="2"/>
    <s v="28-02-2026"/>
    <n v="9966"/>
    <s v="5101-01"/>
    <n v="0"/>
    <n v="21849"/>
    <s v="Centralización ventas febrero 2026  #37364 - valor neto"/>
    <n v="-21849"/>
    <s v="EERR"/>
    <n v="21849"/>
    <x v="123"/>
  </r>
  <r>
    <n v="2026"/>
    <n v="2"/>
    <s v="28-02-2026"/>
    <n v="9967"/>
    <s v="5101-01"/>
    <n v="0"/>
    <n v="27714"/>
    <s v="Centralización ventas febrero 2026  #37370 - valor neto"/>
    <n v="-27714"/>
    <s v="EERR"/>
    <n v="27714"/>
    <x v="123"/>
  </r>
  <r>
    <n v="2026"/>
    <n v="2"/>
    <s v="28-02-2026"/>
    <n v="9968"/>
    <s v="5101-01"/>
    <n v="0"/>
    <n v="234485"/>
    <s v="Centralización ventas febrero 2026  #37381 - valor neto"/>
    <n v="-234485"/>
    <s v="EERR"/>
    <n v="234485"/>
    <x v="123"/>
  </r>
  <r>
    <n v="2026"/>
    <n v="2"/>
    <s v="28-02-2026"/>
    <n v="9969"/>
    <s v="5101-01"/>
    <n v="0"/>
    <n v="516314"/>
    <s v="Centralización ventas febrero 2026  #37384 - valor neto"/>
    <n v="-516314"/>
    <s v="EERR"/>
    <n v="516314"/>
    <x v="123"/>
  </r>
  <r>
    <n v="2026"/>
    <n v="2"/>
    <s v="28-02-2026"/>
    <n v="9970"/>
    <s v="5101-01"/>
    <n v="0"/>
    <n v="42008"/>
    <s v="Centralización ventas febrero 2026  #37396 - valor neto"/>
    <n v="-42008"/>
    <s v="EERR"/>
    <n v="42008"/>
    <x v="123"/>
  </r>
  <r>
    <n v="2026"/>
    <n v="2"/>
    <s v="28-02-2026"/>
    <n v="9971"/>
    <s v="5101-01"/>
    <n v="0"/>
    <n v="33588"/>
    <s v="Centralización ventas febrero 2026  #37398 - valor neto"/>
    <n v="-33588"/>
    <s v="EERR"/>
    <n v="33588"/>
    <x v="123"/>
  </r>
  <r>
    <n v="2026"/>
    <n v="2"/>
    <s v="28-02-2026"/>
    <n v="9972"/>
    <s v="5101-01"/>
    <n v="0"/>
    <n v="104202"/>
    <s v="Centralización ventas febrero 2026  #37403 - valor neto"/>
    <n v="-104202"/>
    <s v="EERR"/>
    <n v="104202"/>
    <x v="123"/>
  </r>
  <r>
    <n v="2026"/>
    <n v="2"/>
    <s v="28-02-2026"/>
    <n v="9973"/>
    <s v="5101-01"/>
    <n v="0"/>
    <n v="59647"/>
    <s v="Centralización ventas febrero 2026  #37409 - valor neto"/>
    <n v="-59647"/>
    <s v="EERR"/>
    <n v="59647"/>
    <x v="123"/>
  </r>
  <r>
    <n v="2026"/>
    <n v="2"/>
    <s v="28-02-2026"/>
    <n v="9974"/>
    <s v="5101-01"/>
    <n v="0"/>
    <n v="33605"/>
    <s v="Centralización ventas febrero 2026  #37420 - valor neto"/>
    <n v="-33605"/>
    <s v="EERR"/>
    <n v="33605"/>
    <x v="123"/>
  </r>
  <r>
    <n v="2026"/>
    <n v="2"/>
    <s v="28-02-2026"/>
    <n v="9975"/>
    <s v="5101-01"/>
    <n v="0"/>
    <n v="36118"/>
    <s v="Centralización ventas febrero 2026  #37424 - valor neto"/>
    <n v="-36118"/>
    <s v="EERR"/>
    <n v="36118"/>
    <x v="123"/>
  </r>
  <r>
    <n v="2026"/>
    <n v="2"/>
    <s v="28-02-2026"/>
    <n v="9976"/>
    <s v="5101-01"/>
    <n v="0"/>
    <n v="25210"/>
    <s v="Centralización ventas febrero 2026  #37426 - valor neto"/>
    <n v="-25210"/>
    <s v="EERR"/>
    <n v="25210"/>
    <x v="123"/>
  </r>
  <r>
    <n v="2026"/>
    <n v="2"/>
    <s v="28-02-2026"/>
    <n v="9977"/>
    <s v="5101-01"/>
    <n v="0"/>
    <n v="29403"/>
    <s v="Centralización ventas febrero 2026  #37432 - valor neto"/>
    <n v="-29403"/>
    <s v="EERR"/>
    <n v="29403"/>
    <x v="123"/>
  </r>
  <r>
    <n v="2026"/>
    <n v="2"/>
    <s v="28-02-2026"/>
    <n v="9978"/>
    <s v="5101-01"/>
    <n v="0"/>
    <n v="25210"/>
    <s v="Centralización ventas febrero 2026  #37433 - valor neto"/>
    <n v="-25210"/>
    <s v="EERR"/>
    <n v="25210"/>
    <x v="123"/>
  </r>
  <r>
    <n v="2026"/>
    <n v="2"/>
    <s v="28-02-2026"/>
    <n v="9979"/>
    <s v="5101-01"/>
    <n v="0"/>
    <n v="27731"/>
    <s v="Centralización ventas febrero 2026  #37441 - valor neto"/>
    <n v="-27731"/>
    <s v="EERR"/>
    <n v="27731"/>
    <x v="123"/>
  </r>
  <r>
    <n v="2026"/>
    <n v="2"/>
    <s v="28-02-2026"/>
    <n v="9980"/>
    <s v="5101-01"/>
    <n v="0"/>
    <n v="99978"/>
    <s v="Centralización ventas febrero 2026  #37444 - valor neto"/>
    <n v="-99978"/>
    <s v="EERR"/>
    <n v="99978"/>
    <x v="123"/>
  </r>
  <r>
    <n v="2026"/>
    <n v="2"/>
    <s v="28-02-2026"/>
    <n v="9981"/>
    <s v="5101-01"/>
    <n v="0"/>
    <n v="23521"/>
    <s v="Centralización ventas febrero 2026  #37452 - valor neto"/>
    <n v="-23521"/>
    <s v="EERR"/>
    <n v="23521"/>
    <x v="123"/>
  </r>
  <r>
    <n v="2026"/>
    <n v="2"/>
    <s v="28-02-2026"/>
    <n v="9982"/>
    <s v="5101-01"/>
    <n v="0"/>
    <n v="81488"/>
    <s v="Centralización ventas febrero 2026  #37472 - valor neto"/>
    <n v="-81488"/>
    <s v="EERR"/>
    <n v="81488"/>
    <x v="123"/>
  </r>
  <r>
    <n v="2026"/>
    <n v="2"/>
    <s v="28-02-2026"/>
    <n v="9983"/>
    <s v="5101-01"/>
    <n v="0"/>
    <n v="25210"/>
    <s v="Centralización ventas febrero 2026  #37476 - valor neto"/>
    <n v="-25210"/>
    <s v="EERR"/>
    <n v="25210"/>
    <x v="123"/>
  </r>
  <r>
    <n v="2026"/>
    <n v="2"/>
    <s v="28-02-2026"/>
    <n v="9984"/>
    <s v="5101-01"/>
    <n v="0"/>
    <n v="36966"/>
    <s v="Centralización ventas febrero 2026  #37480 - valor neto"/>
    <n v="-36966"/>
    <s v="EERR"/>
    <n v="36966"/>
    <x v="123"/>
  </r>
  <r>
    <n v="2026"/>
    <n v="2"/>
    <s v="28-02-2026"/>
    <n v="9985"/>
    <s v="5101-01"/>
    <n v="0"/>
    <n v="33613"/>
    <s v="Centralización ventas febrero 2026  #37481 - valor neto"/>
    <n v="-33613"/>
    <s v="EERR"/>
    <n v="33613"/>
    <x v="123"/>
  </r>
  <r>
    <n v="2026"/>
    <n v="2"/>
    <s v="28-02-2026"/>
    <n v="9986"/>
    <s v="5101-01"/>
    <n v="0"/>
    <n v="18479"/>
    <s v="Centralización ventas febrero 2026  #37488 - valor neto"/>
    <n v="-18479"/>
    <s v="EERR"/>
    <n v="18479"/>
    <x v="123"/>
  </r>
  <r>
    <n v="2026"/>
    <n v="2"/>
    <s v="28-02-2026"/>
    <n v="9987"/>
    <s v="5101-01"/>
    <n v="0"/>
    <n v="234855"/>
    <s v="Centralización ventas febrero 2026  #37489 - valor neto"/>
    <n v="-234855"/>
    <s v="EERR"/>
    <n v="234855"/>
    <x v="123"/>
  </r>
  <r>
    <n v="2026"/>
    <n v="2"/>
    <s v="28-02-2026"/>
    <n v="9988"/>
    <s v="5101-01"/>
    <n v="0"/>
    <n v="26883"/>
    <s v="Centralización ventas febrero 2026  #37490 - valor neto"/>
    <n v="-26883"/>
    <s v="EERR"/>
    <n v="26883"/>
    <x v="123"/>
  </r>
  <r>
    <n v="2026"/>
    <n v="2"/>
    <s v="28-02-2026"/>
    <n v="9989"/>
    <s v="5101-01"/>
    <n v="0"/>
    <n v="25210"/>
    <s v="Centralización ventas febrero 2026  #37491 - valor neto"/>
    <n v="-25210"/>
    <s v="EERR"/>
    <n v="25210"/>
    <x v="123"/>
  </r>
  <r>
    <n v="2026"/>
    <n v="2"/>
    <s v="28-02-2026"/>
    <n v="9990"/>
    <s v="5101-01"/>
    <n v="0"/>
    <n v="18479"/>
    <s v="Centralización ventas febrero 2026  #37492 - valor neto"/>
    <n v="-18479"/>
    <s v="EERR"/>
    <n v="18479"/>
    <x v="123"/>
  </r>
  <r>
    <n v="2026"/>
    <n v="2"/>
    <s v="28-02-2026"/>
    <n v="9991"/>
    <s v="5101-01"/>
    <n v="0"/>
    <n v="24361"/>
    <s v="Centralización ventas febrero 2026  #37493 - valor neto"/>
    <n v="-24361"/>
    <s v="EERR"/>
    <n v="24361"/>
    <x v="123"/>
  </r>
  <r>
    <n v="2026"/>
    <n v="2"/>
    <s v="28-02-2026"/>
    <n v="9992"/>
    <s v="5101-01"/>
    <n v="0"/>
    <n v="29412"/>
    <s v="Centralización ventas febrero 2026  #37495 - valor neto"/>
    <n v="-29412"/>
    <s v="EERR"/>
    <n v="29412"/>
    <x v="123"/>
  </r>
  <r>
    <n v="2026"/>
    <n v="2"/>
    <s v="28-02-2026"/>
    <n v="9993"/>
    <s v="5101-01"/>
    <n v="0"/>
    <n v="18403"/>
    <s v="Centralización ventas febrero 2026  #37497 - valor neto"/>
    <n v="-18403"/>
    <s v="EERR"/>
    <n v="18403"/>
    <x v="123"/>
  </r>
  <r>
    <n v="2026"/>
    <n v="2"/>
    <s v="28-02-2026"/>
    <n v="9994"/>
    <s v="5101-01"/>
    <n v="0"/>
    <n v="30236"/>
    <s v="Centralización ventas febrero 2026  #37499 - valor neto"/>
    <n v="-30236"/>
    <s v="EERR"/>
    <n v="30236"/>
    <x v="123"/>
  </r>
  <r>
    <n v="2026"/>
    <n v="2"/>
    <s v="28-02-2026"/>
    <n v="9995"/>
    <s v="5101-01"/>
    <n v="0"/>
    <n v="50412"/>
    <s v="Centralización ventas febrero 2026  #37500 - valor neto"/>
    <n v="-50412"/>
    <s v="EERR"/>
    <n v="50412"/>
    <x v="123"/>
  </r>
  <r>
    <n v="2026"/>
    <n v="2"/>
    <s v="28-02-2026"/>
    <n v="9996"/>
    <s v="5101-01"/>
    <n v="0"/>
    <n v="18479"/>
    <s v="Centralización ventas febrero 2026  #37501 - valor neto"/>
    <n v="-18479"/>
    <s v="EERR"/>
    <n v="18479"/>
    <x v="123"/>
  </r>
  <r>
    <n v="2026"/>
    <n v="2"/>
    <s v="28-02-2026"/>
    <n v="9997"/>
    <s v="5101-01"/>
    <n v="0"/>
    <n v="35294"/>
    <s v="Centralización ventas febrero 2026  #37502 - valor neto"/>
    <n v="-35294"/>
    <s v="EERR"/>
    <n v="35294"/>
    <x v="123"/>
  </r>
  <r>
    <n v="2026"/>
    <n v="2"/>
    <s v="28-02-2026"/>
    <n v="9998"/>
    <s v="5101-01"/>
    <n v="0"/>
    <n v="45361"/>
    <s v="Centralización ventas febrero 2026  #37503 - valor neto"/>
    <n v="-45361"/>
    <s v="EERR"/>
    <n v="45361"/>
    <x v="123"/>
  </r>
  <r>
    <n v="2026"/>
    <n v="2"/>
    <s v="28-02-2026"/>
    <n v="9999"/>
    <s v="5101-01"/>
    <n v="0"/>
    <n v="26883"/>
    <s v="Centralización ventas febrero 2026  #37504 - valor neto"/>
    <n v="-26883"/>
    <s v="EERR"/>
    <n v="26883"/>
    <x v="123"/>
  </r>
  <r>
    <n v="2026"/>
    <n v="2"/>
    <s v="28-02-2026"/>
    <n v="10000"/>
    <s v="5101-01"/>
    <n v="0"/>
    <n v="50404"/>
    <s v="Centralización ventas febrero 2026  #37505 - valor neto"/>
    <n v="-50404"/>
    <s v="EERR"/>
    <n v="50404"/>
    <x v="123"/>
  </r>
  <r>
    <n v="2026"/>
    <n v="2"/>
    <s v="28-02-2026"/>
    <n v="10001"/>
    <s v="5101-01"/>
    <n v="0"/>
    <n v="481927"/>
    <s v="Centralización ventas febrero 2026  #37506 - valor neto"/>
    <n v="-481927"/>
    <s v="EERR"/>
    <n v="481927"/>
    <x v="123"/>
  </r>
  <r>
    <n v="2026"/>
    <n v="2"/>
    <s v="28-02-2026"/>
    <n v="10002"/>
    <s v="5101-01"/>
    <n v="0"/>
    <n v="24361"/>
    <s v="Centralización ventas febrero 2026  #37507 - valor neto"/>
    <n v="-24361"/>
    <s v="EERR"/>
    <n v="24361"/>
    <x v="123"/>
  </r>
  <r>
    <n v="2026"/>
    <n v="2"/>
    <s v="28-02-2026"/>
    <n v="10003"/>
    <s v="5101-01"/>
    <n v="0"/>
    <n v="24361"/>
    <s v="Centralización ventas febrero 2026  #37508 - valor neto"/>
    <n v="-24361"/>
    <s v="EERR"/>
    <n v="24361"/>
    <x v="123"/>
  </r>
  <r>
    <n v="2026"/>
    <n v="2"/>
    <s v="28-02-2026"/>
    <n v="10004"/>
    <s v="5101-01"/>
    <n v="0"/>
    <n v="32765"/>
    <s v="Centralización ventas febrero 2026  #37509 - valor neto"/>
    <n v="-32765"/>
    <s v="EERR"/>
    <n v="32765"/>
    <x v="123"/>
  </r>
  <r>
    <n v="2026"/>
    <n v="2"/>
    <s v="28-02-2026"/>
    <n v="10005"/>
    <s v="5101-01"/>
    <n v="0"/>
    <n v="18479"/>
    <s v="Centralización ventas febrero 2026  #37511 - valor neto"/>
    <n v="-18479"/>
    <s v="EERR"/>
    <n v="18479"/>
    <x v="123"/>
  </r>
  <r>
    <n v="2026"/>
    <n v="2"/>
    <s v="28-02-2026"/>
    <n v="10006"/>
    <s v="5101-01"/>
    <n v="0"/>
    <n v="112900"/>
    <s v="Centralización ventas febrero 2026  #37512 - valor neto"/>
    <n v="-112900"/>
    <s v="EERR"/>
    <n v="112900"/>
    <x v="123"/>
  </r>
  <r>
    <n v="2026"/>
    <n v="2"/>
    <s v="28-02-2026"/>
    <n v="10007"/>
    <s v="5101-01"/>
    <n v="0"/>
    <n v="42017"/>
    <s v="Centralización ventas febrero 2026  #37513 - valor neto"/>
    <n v="-42017"/>
    <s v="EERR"/>
    <n v="42017"/>
    <x v="123"/>
  </r>
  <r>
    <n v="2026"/>
    <n v="2"/>
    <s v="28-02-2026"/>
    <n v="10008"/>
    <s v="5101-01"/>
    <n v="0"/>
    <n v="31932"/>
    <s v="Centralización ventas febrero 2026  #37514 - valor neto"/>
    <n v="-31932"/>
    <s v="EERR"/>
    <n v="31932"/>
    <x v="123"/>
  </r>
  <r>
    <n v="2026"/>
    <n v="2"/>
    <s v="28-02-2026"/>
    <n v="10009"/>
    <s v="5101-01"/>
    <n v="0"/>
    <n v="110084"/>
    <s v="Centralización ventas febrero 2026  #37515 - valor neto"/>
    <n v="-110084"/>
    <s v="EERR"/>
    <n v="110084"/>
    <x v="123"/>
  </r>
  <r>
    <n v="2026"/>
    <n v="2"/>
    <s v="28-02-2026"/>
    <n v="10010"/>
    <s v="5101-01"/>
    <n v="0"/>
    <n v="36958"/>
    <s v="Centralización ventas febrero 2026  #37516 - valor neto"/>
    <n v="-36958"/>
    <s v="EERR"/>
    <n v="36958"/>
    <x v="123"/>
  </r>
  <r>
    <n v="2026"/>
    <n v="2"/>
    <s v="28-02-2026"/>
    <n v="10011"/>
    <s v="5101-01"/>
    <n v="0"/>
    <n v="126500"/>
    <s v="Centralización ventas febrero 2026  #37517 - valor neto"/>
    <n v="-126500"/>
    <s v="EERR"/>
    <n v="126500"/>
    <x v="123"/>
  </r>
  <r>
    <n v="2026"/>
    <n v="2"/>
    <s v="28-02-2026"/>
    <n v="10012"/>
    <s v="5101-01"/>
    <n v="0"/>
    <n v="73049"/>
    <s v="Centralización ventas febrero 2026  #37518 - valor neto"/>
    <n v="-73049"/>
    <s v="EERR"/>
    <n v="73049"/>
    <x v="123"/>
  </r>
  <r>
    <n v="2026"/>
    <n v="2"/>
    <s v="28-02-2026"/>
    <n v="10013"/>
    <s v="5101-01"/>
    <n v="0"/>
    <n v="99355"/>
    <s v="Centralización ventas febrero 2026  #37519 - valor neto"/>
    <n v="-99355"/>
    <s v="EERR"/>
    <n v="99355"/>
    <x v="123"/>
  </r>
  <r>
    <n v="2026"/>
    <n v="2"/>
    <s v="28-02-2026"/>
    <n v="10014"/>
    <s v="5101-01"/>
    <n v="0"/>
    <n v="20160"/>
    <s v="Centralización ventas febrero 2026  #37520 - valor neto"/>
    <n v="-20160"/>
    <s v="EERR"/>
    <n v="20160"/>
    <x v="123"/>
  </r>
  <r>
    <n v="2026"/>
    <n v="2"/>
    <s v="28-02-2026"/>
    <n v="10015"/>
    <s v="5101-01"/>
    <n v="0"/>
    <n v="25210"/>
    <s v="Centralización ventas febrero 2026  #37521 - valor neto"/>
    <n v="-25210"/>
    <s v="EERR"/>
    <n v="25210"/>
    <x v="123"/>
  </r>
  <r>
    <n v="2026"/>
    <n v="2"/>
    <s v="28-02-2026"/>
    <n v="10016"/>
    <s v="5101-01"/>
    <n v="0"/>
    <n v="33613"/>
    <s v="Centralización ventas febrero 2026  #37522 - valor neto"/>
    <n v="-33613"/>
    <s v="EERR"/>
    <n v="33613"/>
    <x v="123"/>
  </r>
  <r>
    <n v="2026"/>
    <n v="2"/>
    <s v="28-02-2026"/>
    <n v="10017"/>
    <s v="5101-01"/>
    <n v="0"/>
    <n v="50420"/>
    <s v="Centralización ventas febrero 2026  #37523 - valor neto"/>
    <n v="-50420"/>
    <s v="EERR"/>
    <n v="50420"/>
    <x v="123"/>
  </r>
  <r>
    <n v="2026"/>
    <n v="2"/>
    <s v="28-02-2026"/>
    <n v="10018"/>
    <s v="5101-01"/>
    <n v="0"/>
    <n v="58807"/>
    <s v="Centralización ventas febrero 2026  #37524 - valor neto"/>
    <n v="-58807"/>
    <s v="EERR"/>
    <n v="58807"/>
    <x v="123"/>
  </r>
  <r>
    <n v="2026"/>
    <n v="2"/>
    <s v="28-02-2026"/>
    <n v="10019"/>
    <s v="5101-01"/>
    <n v="0"/>
    <n v="109580"/>
    <s v="Centralización ventas febrero 2026  #37525 - valor neto"/>
    <n v="-109580"/>
    <s v="EERR"/>
    <n v="109580"/>
    <x v="123"/>
  </r>
  <r>
    <n v="2026"/>
    <n v="2"/>
    <s v="28-02-2026"/>
    <n v="10020"/>
    <s v="5101-01"/>
    <n v="0"/>
    <n v="33613"/>
    <s v="Centralización ventas febrero 2026  #37526 - valor neto"/>
    <n v="-33613"/>
    <s v="EERR"/>
    <n v="33613"/>
    <x v="123"/>
  </r>
  <r>
    <n v="2026"/>
    <n v="2"/>
    <s v="28-02-2026"/>
    <n v="10021"/>
    <s v="5101-01"/>
    <n v="0"/>
    <n v="25202"/>
    <s v="Centralización ventas febrero 2026  #37527 - valor neto"/>
    <n v="-25202"/>
    <s v="EERR"/>
    <n v="25202"/>
    <x v="123"/>
  </r>
  <r>
    <n v="2026"/>
    <n v="2"/>
    <s v="28-02-2026"/>
    <n v="10022"/>
    <s v="5101-01"/>
    <n v="0"/>
    <n v="18479"/>
    <s v="Centralización ventas febrero 2026  #37528 - valor neto"/>
    <n v="-18479"/>
    <s v="EERR"/>
    <n v="18479"/>
    <x v="123"/>
  </r>
  <r>
    <n v="2026"/>
    <n v="2"/>
    <s v="28-02-2026"/>
    <n v="10023"/>
    <s v="5101-01"/>
    <n v="0"/>
    <n v="25202"/>
    <s v="Centralización ventas febrero 2026  #37529 - valor neto"/>
    <n v="-25202"/>
    <s v="EERR"/>
    <n v="25202"/>
    <x v="123"/>
  </r>
  <r>
    <n v="2026"/>
    <n v="2"/>
    <s v="28-02-2026"/>
    <n v="10024"/>
    <s v="5101-01"/>
    <n v="0"/>
    <n v="25210"/>
    <s v="Centralización ventas febrero 2026  #37530 - valor neto"/>
    <n v="-25210"/>
    <s v="EERR"/>
    <n v="25210"/>
    <x v="123"/>
  </r>
  <r>
    <n v="2026"/>
    <n v="2"/>
    <s v="28-02-2026"/>
    <n v="10025"/>
    <s v="5101-01"/>
    <n v="0"/>
    <n v="25210"/>
    <s v="Centralización ventas febrero 2026  #37532 - valor neto"/>
    <n v="-25210"/>
    <s v="EERR"/>
    <n v="25210"/>
    <x v="123"/>
  </r>
  <r>
    <n v="2026"/>
    <n v="2"/>
    <s v="28-02-2026"/>
    <n v="10026"/>
    <s v="5101-01"/>
    <n v="0"/>
    <n v="75630"/>
    <s v="Centralización ventas febrero 2026  #37533 - valor neto"/>
    <n v="-75630"/>
    <s v="EERR"/>
    <n v="75630"/>
    <x v="123"/>
  </r>
  <r>
    <n v="2026"/>
    <n v="2"/>
    <s v="28-02-2026"/>
    <n v="10027"/>
    <s v="5101-01"/>
    <n v="0"/>
    <n v="25210"/>
    <s v="Centralización ventas febrero 2026  #37534 - valor neto"/>
    <n v="-25210"/>
    <s v="EERR"/>
    <n v="25210"/>
    <x v="123"/>
  </r>
  <r>
    <n v="2026"/>
    <n v="2"/>
    <s v="28-02-2026"/>
    <n v="10028"/>
    <s v="5101-01"/>
    <n v="0"/>
    <n v="50412"/>
    <s v="Centralización ventas febrero 2026  #37535 - valor neto"/>
    <n v="-50412"/>
    <s v="EERR"/>
    <n v="50412"/>
    <x v="123"/>
  </r>
  <r>
    <n v="2026"/>
    <n v="2"/>
    <s v="28-02-2026"/>
    <n v="10029"/>
    <s v="5101-01"/>
    <n v="0"/>
    <n v="50412"/>
    <s v="Centralización ventas febrero 2026  #37536 - valor neto"/>
    <n v="-50412"/>
    <s v="EERR"/>
    <n v="50412"/>
    <x v="123"/>
  </r>
  <r>
    <n v="2026"/>
    <n v="2"/>
    <s v="28-02-2026"/>
    <n v="10030"/>
    <s v="5101-01"/>
    <n v="0"/>
    <n v="50404"/>
    <s v="Centralización ventas febrero 2026  #37537 - valor neto"/>
    <n v="-50404"/>
    <s v="EERR"/>
    <n v="50404"/>
    <x v="123"/>
  </r>
  <r>
    <n v="2026"/>
    <n v="2"/>
    <s v="28-02-2026"/>
    <n v="10031"/>
    <s v="5101-01"/>
    <n v="0"/>
    <n v="36958"/>
    <s v="Centralización ventas febrero 2026  #37538 - valor neto"/>
    <n v="-36958"/>
    <s v="EERR"/>
    <n v="36958"/>
    <x v="123"/>
  </r>
  <r>
    <n v="2026"/>
    <n v="2"/>
    <s v="28-02-2026"/>
    <n v="10032"/>
    <s v="5101-01"/>
    <n v="0"/>
    <n v="28563"/>
    <s v="Centralización ventas febrero 2026  #37539 - valor neto"/>
    <n v="-28563"/>
    <s v="EERR"/>
    <n v="28563"/>
    <x v="123"/>
  </r>
  <r>
    <n v="2026"/>
    <n v="2"/>
    <s v="28-02-2026"/>
    <n v="10033"/>
    <s v="5101-01"/>
    <n v="0"/>
    <n v="67226"/>
    <s v="Centralización ventas febrero 2026  #37540 - valor neto"/>
    <n v="-67226"/>
    <s v="EERR"/>
    <n v="67226"/>
    <x v="123"/>
  </r>
  <r>
    <n v="2026"/>
    <n v="2"/>
    <s v="28-02-2026"/>
    <n v="10034"/>
    <s v="5101-01"/>
    <n v="0"/>
    <n v="33613"/>
    <s v="Centralización ventas febrero 2026  #37541 - valor neto"/>
    <n v="-33613"/>
    <s v="EERR"/>
    <n v="33613"/>
    <x v="123"/>
  </r>
  <r>
    <n v="2026"/>
    <n v="2"/>
    <s v="28-02-2026"/>
    <n v="10035"/>
    <s v="5101-01"/>
    <n v="0"/>
    <n v="107139"/>
    <s v="Centralización ventas febrero 2026  #37542 - valor neto"/>
    <n v="-107139"/>
    <s v="EERR"/>
    <n v="107139"/>
    <x v="123"/>
  </r>
  <r>
    <n v="2026"/>
    <n v="2"/>
    <s v="28-02-2026"/>
    <n v="10036"/>
    <s v="5101-01"/>
    <n v="0"/>
    <n v="25210"/>
    <s v="Centralización ventas febrero 2026  #37543 - valor neto"/>
    <n v="-25210"/>
    <s v="EERR"/>
    <n v="25210"/>
    <x v="123"/>
  </r>
  <r>
    <n v="2026"/>
    <n v="2"/>
    <s v="28-02-2026"/>
    <n v="10037"/>
    <s v="5101-01"/>
    <n v="0"/>
    <n v="48722"/>
    <s v="Centralización ventas febrero 2026  #37544 - valor neto"/>
    <n v="-48722"/>
    <s v="EERR"/>
    <n v="48722"/>
    <x v="123"/>
  </r>
  <r>
    <n v="2026"/>
    <n v="2"/>
    <s v="28-02-2026"/>
    <n v="10038"/>
    <s v="5101-01"/>
    <n v="0"/>
    <n v="22178"/>
    <s v="Centralización ventas febrero 2026  #37545 - valor neto"/>
    <n v="-22178"/>
    <s v="EERR"/>
    <n v="22178"/>
    <x v="123"/>
  </r>
  <r>
    <n v="2026"/>
    <n v="2"/>
    <s v="28-02-2026"/>
    <n v="10039"/>
    <s v="5101-01"/>
    <n v="0"/>
    <n v="33605"/>
    <s v="Centralización ventas febrero 2026  #37546 - valor neto"/>
    <n v="-33605"/>
    <s v="EERR"/>
    <n v="33605"/>
    <x v="123"/>
  </r>
  <r>
    <n v="2026"/>
    <n v="2"/>
    <s v="28-02-2026"/>
    <n v="10040"/>
    <s v="5101-01"/>
    <n v="0"/>
    <n v="62437"/>
    <s v="Centralización ventas febrero 2026  #37547 - valor neto"/>
    <n v="-62437"/>
    <s v="EERR"/>
    <n v="62437"/>
    <x v="123"/>
  </r>
  <r>
    <n v="2026"/>
    <n v="2"/>
    <s v="28-02-2026"/>
    <n v="10041"/>
    <s v="5101-01"/>
    <n v="0"/>
    <n v="25210"/>
    <s v="Centralización ventas febrero 2026  #37548 - valor neto"/>
    <n v="-25210"/>
    <s v="EERR"/>
    <n v="25210"/>
    <x v="123"/>
  </r>
  <r>
    <n v="2026"/>
    <n v="2"/>
    <s v="28-02-2026"/>
    <n v="10042"/>
    <s v="5101-01"/>
    <n v="0"/>
    <n v="42017"/>
    <s v="Centralización ventas febrero 2026  #37549 - valor neto"/>
    <n v="-42017"/>
    <s v="EERR"/>
    <n v="42017"/>
    <x v="123"/>
  </r>
  <r>
    <n v="2026"/>
    <n v="2"/>
    <s v="28-02-2026"/>
    <n v="10043"/>
    <s v="5101-01"/>
    <n v="0"/>
    <n v="25210"/>
    <s v="Centralización ventas febrero 2026  #37550 - valor neto"/>
    <n v="-25210"/>
    <s v="EERR"/>
    <n v="25210"/>
    <x v="123"/>
  </r>
  <r>
    <n v="2026"/>
    <n v="2"/>
    <s v="28-02-2026"/>
    <n v="10044"/>
    <s v="5101-01"/>
    <n v="0"/>
    <n v="18479"/>
    <s v="Centralización ventas febrero 2026  #37551 - valor neto"/>
    <n v="-18479"/>
    <s v="EERR"/>
    <n v="18479"/>
    <x v="123"/>
  </r>
  <r>
    <n v="2026"/>
    <n v="2"/>
    <s v="28-02-2026"/>
    <n v="10045"/>
    <s v="5101-01"/>
    <n v="0"/>
    <n v="57126"/>
    <s v="Centralización ventas febrero 2026  #37552 - valor neto"/>
    <n v="-57126"/>
    <s v="EERR"/>
    <n v="57126"/>
    <x v="123"/>
  </r>
  <r>
    <n v="2026"/>
    <n v="2"/>
    <s v="28-02-2026"/>
    <n v="10046"/>
    <s v="5101-01"/>
    <n v="0"/>
    <n v="36966"/>
    <s v="Centralización ventas febrero 2026  #37553 - valor neto"/>
    <n v="-36966"/>
    <s v="EERR"/>
    <n v="36966"/>
    <x v="123"/>
  </r>
  <r>
    <n v="2026"/>
    <n v="2"/>
    <s v="28-02-2026"/>
    <n v="10047"/>
    <s v="5101-01"/>
    <n v="0"/>
    <n v="42017"/>
    <s v="Centralización ventas febrero 2026  #37554 - valor neto"/>
    <n v="-42017"/>
    <s v="EERR"/>
    <n v="42017"/>
    <x v="123"/>
  </r>
  <r>
    <n v="2026"/>
    <n v="2"/>
    <s v="28-02-2026"/>
    <n v="10048"/>
    <s v="5101-01"/>
    <n v="0"/>
    <n v="105183"/>
    <s v="Centralización ventas febrero 2026  #37556 - valor neto"/>
    <n v="-105183"/>
    <s v="EERR"/>
    <n v="105183"/>
    <x v="123"/>
  </r>
  <r>
    <n v="2026"/>
    <n v="2"/>
    <s v="28-02-2026"/>
    <n v="10049"/>
    <s v="5101-01"/>
    <n v="0"/>
    <n v="105309"/>
    <s v="Centralización ventas febrero 2026  #37557 - valor neto"/>
    <n v="-105309"/>
    <s v="EERR"/>
    <n v="105309"/>
    <x v="123"/>
  </r>
  <r>
    <n v="2026"/>
    <n v="2"/>
    <s v="28-02-2026"/>
    <n v="10050"/>
    <s v="5101-01"/>
    <n v="0"/>
    <n v="40304"/>
    <s v="Centralización ventas febrero 2026  #37558 - valor neto"/>
    <n v="-40304"/>
    <s v="EERR"/>
    <n v="40304"/>
    <x v="123"/>
  </r>
  <r>
    <n v="2026"/>
    <n v="2"/>
    <s v="28-02-2026"/>
    <n v="10051"/>
    <s v="5101-01"/>
    <n v="0"/>
    <n v="24361"/>
    <s v="Centralización ventas febrero 2026  #37560 - valor neto"/>
    <n v="-24361"/>
    <s v="EERR"/>
    <n v="24361"/>
    <x v="123"/>
  </r>
  <r>
    <n v="2026"/>
    <n v="2"/>
    <s v="28-02-2026"/>
    <n v="10052"/>
    <s v="5101-01"/>
    <n v="0"/>
    <n v="67227"/>
    <s v="Centralización ventas febrero 2026  #37561 - valor neto"/>
    <n v="-67227"/>
    <s v="EERR"/>
    <n v="67227"/>
    <x v="123"/>
  </r>
  <r>
    <n v="2026"/>
    <n v="2"/>
    <s v="28-02-2026"/>
    <n v="10053"/>
    <s v="5101-01"/>
    <n v="0"/>
    <n v="13437"/>
    <s v="Centralización ventas febrero 2026  #37562 - valor neto"/>
    <n v="-13437"/>
    <s v="EERR"/>
    <n v="13437"/>
    <x v="123"/>
  </r>
  <r>
    <n v="2026"/>
    <n v="2"/>
    <s v="28-02-2026"/>
    <n v="10054"/>
    <s v="5101-01"/>
    <n v="0"/>
    <n v="25210"/>
    <s v="Centralización ventas febrero 2026  #37563 - valor neto"/>
    <n v="-25210"/>
    <s v="EERR"/>
    <n v="25210"/>
    <x v="123"/>
  </r>
  <r>
    <n v="2026"/>
    <n v="2"/>
    <s v="28-02-2026"/>
    <n v="10055"/>
    <s v="5101-01"/>
    <n v="0"/>
    <n v="33613"/>
    <s v="Centralización ventas febrero 2026  #37564 - valor neto"/>
    <n v="-33613"/>
    <s v="EERR"/>
    <n v="33613"/>
    <x v="123"/>
  </r>
  <r>
    <n v="2026"/>
    <n v="2"/>
    <s v="28-02-2026"/>
    <n v="10056"/>
    <s v="5101-01"/>
    <n v="0"/>
    <n v="115845"/>
    <s v="Centralización ventas febrero 2026  #37566 - valor neto"/>
    <n v="-115845"/>
    <s v="EERR"/>
    <n v="115845"/>
    <x v="123"/>
  </r>
  <r>
    <n v="2026"/>
    <n v="2"/>
    <s v="28-02-2026"/>
    <n v="10057"/>
    <s v="5101-01"/>
    <n v="0"/>
    <n v="4202"/>
    <s v="Centralización ventas febrero 2026  #37567 - valor neto"/>
    <n v="-4202"/>
    <s v="EERR"/>
    <n v="4202"/>
    <x v="123"/>
  </r>
  <r>
    <n v="2026"/>
    <n v="2"/>
    <s v="28-02-2026"/>
    <n v="10058"/>
    <s v="5101-01"/>
    <n v="0"/>
    <n v="228015"/>
    <s v="Centralización ventas febrero 2026  #37568 - valor neto"/>
    <n v="-228015"/>
    <s v="EERR"/>
    <n v="228015"/>
    <x v="123"/>
  </r>
  <r>
    <n v="2026"/>
    <n v="2"/>
    <s v="28-02-2026"/>
    <n v="10059"/>
    <s v="5101-01"/>
    <n v="0"/>
    <n v="41992"/>
    <s v="Centralización ventas febrero 2026  #37569 - valor neto"/>
    <n v="-41992"/>
    <s v="EERR"/>
    <n v="41992"/>
    <x v="123"/>
  </r>
  <r>
    <n v="2026"/>
    <n v="2"/>
    <s v="28-02-2026"/>
    <n v="10060"/>
    <s v="5101-01"/>
    <n v="0"/>
    <n v="122783"/>
    <s v="Centralización ventas febrero 2026  #37570 - valor neto"/>
    <n v="-122783"/>
    <s v="EERR"/>
    <n v="122783"/>
    <x v="123"/>
  </r>
  <r>
    <n v="2026"/>
    <n v="2"/>
    <s v="28-02-2026"/>
    <n v="10061"/>
    <s v="5101-01"/>
    <n v="0"/>
    <n v="31933"/>
    <s v="Centralización ventas febrero 2026  #37571 - valor neto"/>
    <n v="-31933"/>
    <s v="EERR"/>
    <n v="31933"/>
    <x v="123"/>
  </r>
  <r>
    <n v="2026"/>
    <n v="2"/>
    <s v="28-02-2026"/>
    <n v="10062"/>
    <s v="5101-01"/>
    <n v="0"/>
    <n v="53781"/>
    <s v="Centralización ventas febrero 2026  #37572 - valor neto"/>
    <n v="-53781"/>
    <s v="EERR"/>
    <n v="53781"/>
    <x v="123"/>
  </r>
  <r>
    <n v="2026"/>
    <n v="2"/>
    <s v="28-02-2026"/>
    <n v="10063"/>
    <s v="5101-01"/>
    <n v="0"/>
    <n v="25210"/>
    <s v="Centralización ventas febrero 2026  #37573 - valor neto"/>
    <n v="-25210"/>
    <s v="EERR"/>
    <n v="25210"/>
    <x v="123"/>
  </r>
  <r>
    <n v="2026"/>
    <n v="2"/>
    <s v="28-02-2026"/>
    <n v="10064"/>
    <s v="5101-01"/>
    <n v="0"/>
    <n v="120168"/>
    <s v="Centralización ventas febrero 2026  #37574 - valor neto"/>
    <n v="-120168"/>
    <s v="EERR"/>
    <n v="120168"/>
    <x v="123"/>
  </r>
  <r>
    <n v="2026"/>
    <n v="2"/>
    <s v="28-02-2026"/>
    <n v="10065"/>
    <s v="5101-01"/>
    <n v="0"/>
    <n v="12597"/>
    <s v="Centralización ventas febrero 2026  #37575 - valor neto"/>
    <n v="-12597"/>
    <s v="EERR"/>
    <n v="12597"/>
    <x v="123"/>
  </r>
  <r>
    <n v="2026"/>
    <n v="2"/>
    <s v="28-02-2026"/>
    <n v="10066"/>
    <s v="5101-01"/>
    <n v="0"/>
    <n v="42017"/>
    <s v="Centralización ventas febrero 2026  #37576 - valor neto"/>
    <n v="-42017"/>
    <s v="EERR"/>
    <n v="42017"/>
    <x v="123"/>
  </r>
  <r>
    <n v="2026"/>
    <n v="2"/>
    <s v="28-02-2026"/>
    <n v="10067"/>
    <s v="5101-01"/>
    <n v="0"/>
    <n v="28563"/>
    <s v="Centralización ventas febrero 2026  #37577 - valor neto"/>
    <n v="-28563"/>
    <s v="EERR"/>
    <n v="28563"/>
    <x v="123"/>
  </r>
  <r>
    <n v="2026"/>
    <n v="2"/>
    <s v="28-02-2026"/>
    <n v="10068"/>
    <s v="5101-01"/>
    <n v="0"/>
    <n v="42017"/>
    <s v="Centralización ventas febrero 2026  #37578 - valor neto"/>
    <n v="-42017"/>
    <s v="EERR"/>
    <n v="42017"/>
    <x v="123"/>
  </r>
  <r>
    <n v="2026"/>
    <n v="2"/>
    <s v="28-02-2026"/>
    <n v="10069"/>
    <s v="5101-01"/>
    <n v="0"/>
    <n v="25202"/>
    <s v="Centralización ventas febrero 2026  #37579 - valor neto"/>
    <n v="-25202"/>
    <s v="EERR"/>
    <n v="25202"/>
    <x v="123"/>
  </r>
  <r>
    <n v="2026"/>
    <n v="2"/>
    <s v="28-02-2026"/>
    <n v="10070"/>
    <s v="5101-01"/>
    <n v="0"/>
    <n v="25210"/>
    <s v="Centralización ventas febrero 2026  #37580 - valor neto"/>
    <n v="-25210"/>
    <s v="EERR"/>
    <n v="25210"/>
    <x v="123"/>
  </r>
  <r>
    <n v="2026"/>
    <n v="2"/>
    <s v="28-02-2026"/>
    <n v="10071"/>
    <s v="5101-01"/>
    <n v="0"/>
    <n v="357678"/>
    <s v="Centralización ventas febrero 2026  #37582 - valor neto"/>
    <n v="-357678"/>
    <s v="EERR"/>
    <n v="357678"/>
    <x v="123"/>
  </r>
  <r>
    <n v="2026"/>
    <n v="2"/>
    <s v="28-02-2026"/>
    <n v="10072"/>
    <s v="5101-01"/>
    <n v="0"/>
    <n v="107563"/>
    <s v="Centralización ventas febrero 2026  #37583 - valor neto"/>
    <n v="-107563"/>
    <s v="EERR"/>
    <n v="107563"/>
    <x v="123"/>
  </r>
  <r>
    <n v="2026"/>
    <n v="2"/>
    <s v="28-02-2026"/>
    <n v="10073"/>
    <s v="5101-01"/>
    <n v="0"/>
    <n v="25211"/>
    <s v="Centralización ventas febrero 2026  #37585 - valor neto"/>
    <n v="-25211"/>
    <s v="EERR"/>
    <n v="25211"/>
    <x v="123"/>
  </r>
  <r>
    <n v="2026"/>
    <n v="2"/>
    <s v="28-02-2026"/>
    <n v="10074"/>
    <s v="5101-01"/>
    <n v="0"/>
    <n v="25210"/>
    <s v="Centralización ventas febrero 2026  #37586 - valor neto"/>
    <n v="-25210"/>
    <s v="EERR"/>
    <n v="25210"/>
    <x v="123"/>
  </r>
  <r>
    <n v="2026"/>
    <n v="2"/>
    <s v="28-02-2026"/>
    <n v="10075"/>
    <s v="5101-01"/>
    <n v="0"/>
    <n v="92420"/>
    <s v="Centralización ventas febrero 2026  #37587 - valor neto"/>
    <n v="-92420"/>
    <s v="EERR"/>
    <n v="92420"/>
    <x v="123"/>
  </r>
  <r>
    <n v="2026"/>
    <n v="2"/>
    <s v="28-02-2026"/>
    <n v="10076"/>
    <s v="5101-01"/>
    <n v="0"/>
    <n v="79484"/>
    <s v="Centralización ventas febrero 2026  #37739 - valor neto"/>
    <n v="-79484"/>
    <s v="EERR"/>
    <n v="79484"/>
    <x v="123"/>
  </r>
  <r>
    <n v="2026"/>
    <n v="2"/>
    <s v="28-02-2026"/>
    <n v="10077"/>
    <s v="5101-01"/>
    <n v="0"/>
    <n v="31990"/>
    <s v="Centralización ventas febrero 2026  #37867 - valor neto"/>
    <n v="-31990"/>
    <s v="EERR"/>
    <n v="31990"/>
    <x v="123"/>
  </r>
  <r>
    <n v="2026"/>
    <n v="2"/>
    <s v="28-02-2026"/>
    <n v="10078"/>
    <s v="5101-01"/>
    <n v="0"/>
    <n v="137162"/>
    <s v="Centralización ventas febrero 2026  #37909 - valor neto"/>
    <n v="-137162"/>
    <s v="EERR"/>
    <n v="137162"/>
    <x v="123"/>
  </r>
  <r>
    <n v="2026"/>
    <n v="2"/>
    <s v="28-02-2026"/>
    <n v="10079"/>
    <s v="5101-01"/>
    <n v="0"/>
    <n v="79806"/>
    <s v="Centralización ventas febrero 2026  #37940 - valor neto"/>
    <n v="-79806"/>
    <s v="EERR"/>
    <n v="79806"/>
    <x v="123"/>
  </r>
  <r>
    <n v="2026"/>
    <n v="2"/>
    <s v="28-02-2026"/>
    <n v="10080"/>
    <s v="5101-01"/>
    <n v="0"/>
    <n v="1760759"/>
    <s v="Centralización ventas febrero 2026  #37946 - valor neto"/>
    <n v="-1760759"/>
    <s v="EERR"/>
    <n v="1760759"/>
    <x v="123"/>
  </r>
  <r>
    <n v="2026"/>
    <n v="2"/>
    <s v="28-02-2026"/>
    <n v="10081"/>
    <s v="5101-01"/>
    <n v="0"/>
    <n v="42017"/>
    <s v="Centralización ventas febrero 2026  #37952 - valor neto"/>
    <n v="-42017"/>
    <s v="EERR"/>
    <n v="42017"/>
    <x v="123"/>
  </r>
  <r>
    <n v="2026"/>
    <n v="2"/>
    <s v="28-02-2026"/>
    <n v="10082"/>
    <s v="5101-01"/>
    <n v="0"/>
    <n v="25210"/>
    <s v="Centralización ventas febrero 2026  #37588 - valor neto"/>
    <n v="-25210"/>
    <s v="EERR"/>
    <n v="25210"/>
    <x v="123"/>
  </r>
  <r>
    <n v="2026"/>
    <n v="2"/>
    <s v="28-02-2026"/>
    <n v="10083"/>
    <s v="5101-01"/>
    <n v="0"/>
    <n v="84034"/>
    <s v="Centralización ventas febrero 2026  #37589 - valor neto"/>
    <n v="-84034"/>
    <s v="EERR"/>
    <n v="84034"/>
    <x v="123"/>
  </r>
  <r>
    <n v="2026"/>
    <n v="2"/>
    <s v="28-02-2026"/>
    <n v="10084"/>
    <s v="5101-01"/>
    <n v="0"/>
    <n v="238452"/>
    <s v="Centralización ventas febrero 2026  #37591 - valor neto"/>
    <n v="-238452"/>
    <s v="EERR"/>
    <n v="238452"/>
    <x v="123"/>
  </r>
  <r>
    <n v="2026"/>
    <n v="2"/>
    <s v="28-02-2026"/>
    <n v="10085"/>
    <s v="5101-01"/>
    <n v="0"/>
    <n v="31084"/>
    <s v="Centralización ventas febrero 2026  #37592 - valor neto"/>
    <n v="-31084"/>
    <s v="EERR"/>
    <n v="31084"/>
    <x v="123"/>
  </r>
  <r>
    <n v="2026"/>
    <n v="2"/>
    <s v="28-02-2026"/>
    <n v="10086"/>
    <s v="5101-01"/>
    <n v="0"/>
    <n v="31084"/>
    <s v="Centralización ventas febrero 2026  #37593 - valor neto"/>
    <n v="-31084"/>
    <s v="EERR"/>
    <n v="31084"/>
    <x v="123"/>
  </r>
  <r>
    <n v="2026"/>
    <n v="2"/>
    <s v="28-02-2026"/>
    <n v="10087"/>
    <s v="5101-01"/>
    <n v="0"/>
    <n v="18479"/>
    <s v="Centralización ventas febrero 2026  #37594 - valor neto"/>
    <n v="-18479"/>
    <s v="EERR"/>
    <n v="18479"/>
    <x v="123"/>
  </r>
  <r>
    <n v="2026"/>
    <n v="2"/>
    <s v="28-02-2026"/>
    <n v="10088"/>
    <s v="5101-01"/>
    <n v="0"/>
    <n v="1169729"/>
    <s v="Centralización ventas febrero 2026  #37596 - valor neto"/>
    <n v="-1169729"/>
    <s v="EERR"/>
    <n v="1169729"/>
    <x v="123"/>
  </r>
  <r>
    <n v="2026"/>
    <n v="2"/>
    <s v="28-02-2026"/>
    <n v="10089"/>
    <s v="5101-01"/>
    <n v="0"/>
    <n v="58815"/>
    <s v="Centralización ventas febrero 2026  #37597 - valor neto"/>
    <n v="-58815"/>
    <s v="EERR"/>
    <n v="58815"/>
    <x v="123"/>
  </r>
  <r>
    <n v="2026"/>
    <n v="2"/>
    <s v="28-02-2026"/>
    <n v="10090"/>
    <s v="5101-01"/>
    <n v="0"/>
    <n v="33613"/>
    <s v="Centralización ventas febrero 2026  #37599 - valor neto"/>
    <n v="-33613"/>
    <s v="EERR"/>
    <n v="33613"/>
    <x v="123"/>
  </r>
  <r>
    <n v="2026"/>
    <n v="2"/>
    <s v="28-02-2026"/>
    <n v="10091"/>
    <s v="5101-01"/>
    <n v="0"/>
    <n v="50420"/>
    <s v="Centralización ventas febrero 2026  #37600 - valor neto"/>
    <n v="-50420"/>
    <s v="EERR"/>
    <n v="50420"/>
    <x v="123"/>
  </r>
  <r>
    <n v="2026"/>
    <n v="2"/>
    <s v="28-02-2026"/>
    <n v="10092"/>
    <s v="5101-01"/>
    <n v="0"/>
    <n v="33605"/>
    <s v="Centralización ventas febrero 2026  #37601 - valor neto"/>
    <n v="-33605"/>
    <s v="EERR"/>
    <n v="33605"/>
    <x v="123"/>
  </r>
  <r>
    <n v="2026"/>
    <n v="2"/>
    <s v="28-02-2026"/>
    <n v="10093"/>
    <s v="5101-01"/>
    <n v="0"/>
    <n v="18479"/>
    <s v="Centralización ventas febrero 2026  #37602 - valor neto"/>
    <n v="-18479"/>
    <s v="EERR"/>
    <n v="18479"/>
    <x v="123"/>
  </r>
  <r>
    <n v="2026"/>
    <n v="2"/>
    <s v="28-02-2026"/>
    <n v="10094"/>
    <s v="5101-01"/>
    <n v="0"/>
    <n v="124336"/>
    <s v="Centralización ventas febrero 2026  #37603 - valor neto"/>
    <n v="-124336"/>
    <s v="EERR"/>
    <n v="124336"/>
    <x v="123"/>
  </r>
  <r>
    <n v="2026"/>
    <n v="2"/>
    <s v="28-02-2026"/>
    <n v="10095"/>
    <s v="5101-01"/>
    <n v="0"/>
    <n v="12597"/>
    <s v="Centralización ventas febrero 2026  #37604 - valor neto"/>
    <n v="-12597"/>
    <s v="EERR"/>
    <n v="12597"/>
    <x v="123"/>
  </r>
  <r>
    <n v="2026"/>
    <n v="2"/>
    <s v="28-02-2026"/>
    <n v="10096"/>
    <s v="5101-01"/>
    <n v="0"/>
    <n v="52083"/>
    <s v="Centralización ventas febrero 2026  #37605 - valor neto"/>
    <n v="-52083"/>
    <s v="EERR"/>
    <n v="52083"/>
    <x v="123"/>
  </r>
  <r>
    <n v="2026"/>
    <n v="2"/>
    <s v="28-02-2026"/>
    <n v="10097"/>
    <s v="5101-01"/>
    <n v="0"/>
    <n v="24361"/>
    <s v="Centralización ventas febrero 2026  #37606 - valor neto"/>
    <n v="-24361"/>
    <s v="EERR"/>
    <n v="24361"/>
    <x v="123"/>
  </r>
  <r>
    <n v="2026"/>
    <n v="2"/>
    <s v="28-02-2026"/>
    <n v="10098"/>
    <s v="5101-01"/>
    <n v="0"/>
    <n v="29403"/>
    <s v="Centralización ventas febrero 2026  #37608 - valor neto"/>
    <n v="-29403"/>
    <s v="EERR"/>
    <n v="29403"/>
    <x v="123"/>
  </r>
  <r>
    <n v="2026"/>
    <n v="2"/>
    <s v="28-02-2026"/>
    <n v="10099"/>
    <s v="5101-01"/>
    <n v="0"/>
    <n v="26042"/>
    <s v="Centralización ventas febrero 2026  #37609 - valor neto"/>
    <n v="-26042"/>
    <s v="EERR"/>
    <n v="26042"/>
    <x v="123"/>
  </r>
  <r>
    <n v="2026"/>
    <n v="2"/>
    <s v="28-02-2026"/>
    <n v="10100"/>
    <s v="5101-01"/>
    <n v="0"/>
    <n v="30228"/>
    <s v="Centralización ventas febrero 2026  #37610 - valor neto"/>
    <n v="-30228"/>
    <s v="EERR"/>
    <n v="30228"/>
    <x v="123"/>
  </r>
  <r>
    <n v="2026"/>
    <n v="2"/>
    <s v="28-02-2026"/>
    <n v="10101"/>
    <s v="5101-01"/>
    <n v="0"/>
    <n v="28143"/>
    <s v="Centralización ventas febrero 2026  #37611 - valor neto"/>
    <n v="-28143"/>
    <s v="EERR"/>
    <n v="28143"/>
    <x v="123"/>
  </r>
  <r>
    <n v="2026"/>
    <n v="2"/>
    <s v="28-02-2026"/>
    <n v="10102"/>
    <s v="5101-01"/>
    <n v="0"/>
    <n v="47882"/>
    <s v="Centralización ventas febrero 2026  #37612 - valor neto"/>
    <n v="-47882"/>
    <s v="EERR"/>
    <n v="47882"/>
    <x v="123"/>
  </r>
  <r>
    <n v="2026"/>
    <n v="2"/>
    <s v="28-02-2026"/>
    <n v="10103"/>
    <s v="5101-01"/>
    <n v="0"/>
    <n v="31084"/>
    <s v="Centralización ventas febrero 2026  #37614 - valor neto"/>
    <n v="-31084"/>
    <s v="EERR"/>
    <n v="31084"/>
    <x v="123"/>
  </r>
  <r>
    <n v="2026"/>
    <n v="2"/>
    <s v="28-02-2026"/>
    <n v="10104"/>
    <s v="5101-01"/>
    <n v="0"/>
    <n v="24361"/>
    <s v="Centralización ventas febrero 2026  #37615 - valor neto"/>
    <n v="-24361"/>
    <s v="EERR"/>
    <n v="24361"/>
    <x v="123"/>
  </r>
  <r>
    <n v="2026"/>
    <n v="2"/>
    <s v="28-02-2026"/>
    <n v="10105"/>
    <s v="5101-01"/>
    <n v="0"/>
    <n v="25202"/>
    <s v="Centralización ventas febrero 2026  #37616 - valor neto"/>
    <n v="-25202"/>
    <s v="EERR"/>
    <n v="25202"/>
    <x v="123"/>
  </r>
  <r>
    <n v="2026"/>
    <n v="2"/>
    <s v="28-02-2026"/>
    <n v="10106"/>
    <s v="5101-01"/>
    <n v="0"/>
    <n v="18479"/>
    <s v="Centralización ventas febrero 2026  #37617 - valor neto"/>
    <n v="-18479"/>
    <s v="EERR"/>
    <n v="18479"/>
    <x v="123"/>
  </r>
  <r>
    <n v="2026"/>
    <n v="2"/>
    <s v="28-02-2026"/>
    <n v="10107"/>
    <s v="5101-01"/>
    <n v="0"/>
    <n v="18479"/>
    <s v="Centralización ventas febrero 2026  #37618 - valor neto"/>
    <n v="-18479"/>
    <s v="EERR"/>
    <n v="18479"/>
    <x v="123"/>
  </r>
  <r>
    <n v="2026"/>
    <n v="2"/>
    <s v="28-02-2026"/>
    <n v="10108"/>
    <s v="5101-01"/>
    <n v="0"/>
    <n v="26882"/>
    <s v="Centralización ventas febrero 2026  #37619 - valor neto"/>
    <n v="-26882"/>
    <s v="EERR"/>
    <n v="26882"/>
    <x v="123"/>
  </r>
  <r>
    <n v="2026"/>
    <n v="2"/>
    <s v="28-02-2026"/>
    <n v="10109"/>
    <s v="5101-01"/>
    <n v="0"/>
    <n v="21840"/>
    <s v="Centralización ventas febrero 2026  #37620 - valor neto"/>
    <n v="-21840"/>
    <s v="EERR"/>
    <n v="21840"/>
    <x v="123"/>
  </r>
  <r>
    <n v="2026"/>
    <n v="2"/>
    <s v="28-02-2026"/>
    <n v="10110"/>
    <s v="5101-01"/>
    <n v="0"/>
    <n v="25202"/>
    <s v="Centralización ventas febrero 2026  #37623 - valor neto"/>
    <n v="-25202"/>
    <s v="EERR"/>
    <n v="25202"/>
    <x v="123"/>
  </r>
  <r>
    <n v="2026"/>
    <n v="2"/>
    <s v="28-02-2026"/>
    <n v="10111"/>
    <s v="5101-01"/>
    <n v="0"/>
    <n v="21840"/>
    <s v="Centralización ventas febrero 2026  #37624 - valor neto"/>
    <n v="-21840"/>
    <s v="EERR"/>
    <n v="21840"/>
    <x v="123"/>
  </r>
  <r>
    <n v="2026"/>
    <n v="2"/>
    <s v="28-02-2026"/>
    <n v="10112"/>
    <s v="5101-01"/>
    <n v="0"/>
    <n v="32765"/>
    <s v="Centralización ventas febrero 2026  #37626 - valor neto"/>
    <n v="-32765"/>
    <s v="EERR"/>
    <n v="32765"/>
    <x v="123"/>
  </r>
  <r>
    <n v="2026"/>
    <n v="2"/>
    <s v="28-02-2026"/>
    <n v="10113"/>
    <s v="5101-01"/>
    <n v="0"/>
    <n v="51244"/>
    <s v="Centralización ventas febrero 2026  #37628 - valor neto"/>
    <n v="-51244"/>
    <s v="EERR"/>
    <n v="51244"/>
    <x v="123"/>
  </r>
  <r>
    <n v="2026"/>
    <n v="2"/>
    <s v="28-02-2026"/>
    <n v="10114"/>
    <s v="5101-01"/>
    <n v="0"/>
    <n v="119226"/>
    <s v="Centralización ventas febrero 2026  #37629 - valor neto"/>
    <n v="-119226"/>
    <s v="EERR"/>
    <n v="119226"/>
    <x v="123"/>
  </r>
  <r>
    <n v="2026"/>
    <n v="2"/>
    <s v="28-02-2026"/>
    <n v="10115"/>
    <s v="5101-01"/>
    <n v="0"/>
    <n v="51244"/>
    <s v="Centralización ventas febrero 2026  #37630 - valor neto"/>
    <n v="-51244"/>
    <s v="EERR"/>
    <n v="51244"/>
    <x v="123"/>
  </r>
  <r>
    <n v="2026"/>
    <n v="2"/>
    <s v="28-02-2026"/>
    <n v="10116"/>
    <s v="5101-01"/>
    <n v="0"/>
    <n v="33613"/>
    <s v="Centralización ventas febrero 2026  #37631 - valor neto"/>
    <n v="-33613"/>
    <s v="EERR"/>
    <n v="33613"/>
    <x v="123"/>
  </r>
  <r>
    <n v="2026"/>
    <n v="2"/>
    <s v="28-02-2026"/>
    <n v="10117"/>
    <s v="5101-01"/>
    <n v="0"/>
    <n v="21000"/>
    <s v="Centralización ventas febrero 2026  #37633 - valor neto"/>
    <n v="-21000"/>
    <s v="EERR"/>
    <n v="21000"/>
    <x v="123"/>
  </r>
  <r>
    <n v="2026"/>
    <n v="2"/>
    <s v="28-02-2026"/>
    <n v="10118"/>
    <s v="5101-01"/>
    <n v="0"/>
    <n v="25202"/>
    <s v="Centralización ventas febrero 2026  #37635 - valor neto"/>
    <n v="-25202"/>
    <s v="EERR"/>
    <n v="25202"/>
    <x v="123"/>
  </r>
  <r>
    <n v="2026"/>
    <n v="2"/>
    <s v="28-02-2026"/>
    <n v="10119"/>
    <s v="5101-01"/>
    <n v="0"/>
    <n v="51244"/>
    <s v="Centralización ventas febrero 2026  #37636 - valor neto"/>
    <n v="-51244"/>
    <s v="EERR"/>
    <n v="51244"/>
    <x v="123"/>
  </r>
  <r>
    <n v="2026"/>
    <n v="2"/>
    <s v="28-02-2026"/>
    <n v="10120"/>
    <s v="5101-01"/>
    <n v="0"/>
    <n v="36958"/>
    <s v="Centralización ventas febrero 2026  #37637 - valor neto"/>
    <n v="-36958"/>
    <s v="EERR"/>
    <n v="36958"/>
    <x v="123"/>
  </r>
  <r>
    <n v="2026"/>
    <n v="2"/>
    <s v="28-02-2026"/>
    <n v="10121"/>
    <s v="5101-01"/>
    <n v="0"/>
    <n v="18479"/>
    <s v="Centralización ventas febrero 2026  #37638 - valor neto"/>
    <n v="-18479"/>
    <s v="EERR"/>
    <n v="18479"/>
    <x v="123"/>
  </r>
  <r>
    <n v="2026"/>
    <n v="2"/>
    <s v="28-02-2026"/>
    <n v="10122"/>
    <s v="5101-01"/>
    <n v="0"/>
    <n v="12597"/>
    <s v="Centralización ventas febrero 2026  #37639 - valor neto"/>
    <n v="-12597"/>
    <s v="EERR"/>
    <n v="12597"/>
    <x v="123"/>
  </r>
  <r>
    <n v="2026"/>
    <n v="2"/>
    <s v="28-02-2026"/>
    <n v="10123"/>
    <s v="5101-01"/>
    <n v="0"/>
    <n v="142458"/>
    <s v="Centralización ventas febrero 2026  #37640 - valor neto"/>
    <n v="-142458"/>
    <s v="EERR"/>
    <n v="142458"/>
    <x v="123"/>
  </r>
  <r>
    <n v="2026"/>
    <n v="2"/>
    <s v="28-02-2026"/>
    <n v="10124"/>
    <s v="5101-01"/>
    <n v="0"/>
    <n v="12597"/>
    <s v="Centralización ventas febrero 2026  #37641 - valor neto"/>
    <n v="-12597"/>
    <s v="EERR"/>
    <n v="12597"/>
    <x v="123"/>
  </r>
  <r>
    <n v="2026"/>
    <n v="2"/>
    <s v="28-02-2026"/>
    <n v="10125"/>
    <s v="5101-01"/>
    <n v="0"/>
    <n v="18479"/>
    <s v="Centralización ventas febrero 2026  #37642 - valor neto"/>
    <n v="-18479"/>
    <s v="EERR"/>
    <n v="18479"/>
    <x v="123"/>
  </r>
  <r>
    <n v="2026"/>
    <n v="2"/>
    <s v="28-02-2026"/>
    <n v="10126"/>
    <s v="5101-01"/>
    <n v="0"/>
    <n v="27723"/>
    <s v="Centralización ventas febrero 2026  #37643 - valor neto"/>
    <n v="-27723"/>
    <s v="EERR"/>
    <n v="27723"/>
    <x v="123"/>
  </r>
  <r>
    <n v="2026"/>
    <n v="2"/>
    <s v="28-02-2026"/>
    <n v="10127"/>
    <s v="5101-01"/>
    <n v="0"/>
    <n v="25202"/>
    <s v="Centralización ventas febrero 2026  #37644 - valor neto"/>
    <n v="-25202"/>
    <s v="EERR"/>
    <n v="25202"/>
    <x v="123"/>
  </r>
  <r>
    <n v="2026"/>
    <n v="2"/>
    <s v="28-02-2026"/>
    <n v="10128"/>
    <s v="5101-01"/>
    <n v="0"/>
    <n v="135586"/>
    <s v="Centralización ventas febrero 2026  #37645 - valor neto"/>
    <n v="-135586"/>
    <s v="EERR"/>
    <n v="135586"/>
    <x v="123"/>
  </r>
  <r>
    <n v="2026"/>
    <n v="2"/>
    <s v="28-02-2026"/>
    <n v="10129"/>
    <s v="5101-01"/>
    <n v="0"/>
    <n v="119226"/>
    <s v="Centralización ventas febrero 2026  #37646 - valor neto"/>
    <n v="-119226"/>
    <s v="EERR"/>
    <n v="119226"/>
    <x v="123"/>
  </r>
  <r>
    <n v="2026"/>
    <n v="2"/>
    <s v="28-02-2026"/>
    <n v="10130"/>
    <s v="5101-01"/>
    <n v="0"/>
    <n v="16798"/>
    <s v="Centralización ventas febrero 2026  #37648 - valor neto"/>
    <n v="-16798"/>
    <s v="EERR"/>
    <n v="16798"/>
    <x v="123"/>
  </r>
  <r>
    <n v="2026"/>
    <n v="2"/>
    <s v="28-02-2026"/>
    <n v="10131"/>
    <s v="5101-01"/>
    <n v="0"/>
    <n v="16798"/>
    <s v="Centralización ventas febrero 2026  #37649 - valor neto"/>
    <n v="-16798"/>
    <s v="EERR"/>
    <n v="16798"/>
    <x v="123"/>
  </r>
  <r>
    <n v="2026"/>
    <n v="2"/>
    <s v="28-02-2026"/>
    <n v="10132"/>
    <s v="5101-01"/>
    <n v="0"/>
    <n v="24361"/>
    <s v="Centralización ventas febrero 2026  #37650 - valor neto"/>
    <n v="-24361"/>
    <s v="EERR"/>
    <n v="24361"/>
    <x v="123"/>
  </r>
  <r>
    <n v="2026"/>
    <n v="2"/>
    <s v="28-02-2026"/>
    <n v="10133"/>
    <s v="5101-01"/>
    <n v="0"/>
    <n v="16798"/>
    <s v="Centralización ventas febrero 2026  #37651 - valor neto"/>
    <n v="-16798"/>
    <s v="EERR"/>
    <n v="16798"/>
    <x v="123"/>
  </r>
  <r>
    <n v="2026"/>
    <n v="2"/>
    <s v="28-02-2026"/>
    <n v="10134"/>
    <s v="5101-01"/>
    <n v="0"/>
    <n v="16798"/>
    <s v="Centralización ventas febrero 2026  #37653 - valor neto"/>
    <n v="-16798"/>
    <s v="EERR"/>
    <n v="16798"/>
    <x v="123"/>
  </r>
  <r>
    <n v="2026"/>
    <n v="2"/>
    <s v="28-02-2026"/>
    <n v="10135"/>
    <s v="5101-01"/>
    <n v="0"/>
    <n v="30244"/>
    <s v="Centralización ventas febrero 2026  #37654 - valor neto"/>
    <n v="-30244"/>
    <s v="EERR"/>
    <n v="30244"/>
    <x v="123"/>
  </r>
  <r>
    <n v="2026"/>
    <n v="2"/>
    <s v="28-02-2026"/>
    <n v="10136"/>
    <s v="5101-01"/>
    <n v="0"/>
    <n v="25202"/>
    <s v="Centralización ventas febrero 2026  #37655 - valor neto"/>
    <n v="-25202"/>
    <s v="EERR"/>
    <n v="25202"/>
    <x v="123"/>
  </r>
  <r>
    <n v="2026"/>
    <n v="2"/>
    <s v="28-02-2026"/>
    <n v="10137"/>
    <s v="5101-01"/>
    <n v="0"/>
    <n v="81513"/>
    <s v="Centralización ventas febrero 2026  #37656 - valor neto"/>
    <n v="-81513"/>
    <s v="EERR"/>
    <n v="81513"/>
    <x v="123"/>
  </r>
  <r>
    <n v="2026"/>
    <n v="2"/>
    <s v="28-02-2026"/>
    <n v="10138"/>
    <s v="5101-01"/>
    <n v="0"/>
    <n v="26882"/>
    <s v="Centralización ventas febrero 2026  #37657 - valor neto"/>
    <n v="-26882"/>
    <s v="EERR"/>
    <n v="26882"/>
    <x v="123"/>
  </r>
  <r>
    <n v="2026"/>
    <n v="2"/>
    <s v="28-02-2026"/>
    <n v="10139"/>
    <s v="5101-01"/>
    <n v="0"/>
    <n v="1306237"/>
    <s v="Centralización ventas febrero 2026  #37658 - valor neto"/>
    <n v="-1306237"/>
    <s v="EERR"/>
    <n v="1306237"/>
    <x v="123"/>
  </r>
  <r>
    <n v="2026"/>
    <n v="2"/>
    <s v="28-02-2026"/>
    <n v="10140"/>
    <s v="5101-01"/>
    <n v="0"/>
    <n v="22681"/>
    <s v="Centralización ventas febrero 2026  #37660 - valor neto"/>
    <n v="-22681"/>
    <s v="EERR"/>
    <n v="22681"/>
    <x v="123"/>
  </r>
  <r>
    <n v="2026"/>
    <n v="2"/>
    <s v="28-02-2026"/>
    <n v="10141"/>
    <s v="5101-01"/>
    <n v="0"/>
    <n v="25202"/>
    <s v="Centralización ventas febrero 2026  #37661 - valor neto"/>
    <n v="-25202"/>
    <s v="EERR"/>
    <n v="25202"/>
    <x v="123"/>
  </r>
  <r>
    <n v="2026"/>
    <n v="2"/>
    <s v="28-02-2026"/>
    <n v="10142"/>
    <s v="5101-01"/>
    <n v="0"/>
    <n v="25193"/>
    <s v="Centralización ventas febrero 2026  #37662 - valor neto"/>
    <n v="-25193"/>
    <s v="EERR"/>
    <n v="25193"/>
    <x v="123"/>
  </r>
  <r>
    <n v="2026"/>
    <n v="2"/>
    <s v="28-02-2026"/>
    <n v="10143"/>
    <s v="5101-01"/>
    <n v="0"/>
    <n v="21000"/>
    <s v="Centralización ventas febrero 2026  #37663 - valor neto"/>
    <n v="-21000"/>
    <s v="EERR"/>
    <n v="21000"/>
    <x v="123"/>
  </r>
  <r>
    <n v="2026"/>
    <n v="2"/>
    <s v="28-02-2026"/>
    <n v="10144"/>
    <s v="5101-01"/>
    <n v="0"/>
    <n v="377549"/>
    <s v="Centralización ventas febrero 2026  #37665 - valor neto"/>
    <n v="-377549"/>
    <s v="EERR"/>
    <n v="377549"/>
    <x v="123"/>
  </r>
  <r>
    <n v="2026"/>
    <n v="2"/>
    <s v="28-02-2026"/>
    <n v="10145"/>
    <s v="5101-01"/>
    <n v="0"/>
    <n v="16798"/>
    <s v="Centralización ventas febrero 2026  #37666 - valor neto"/>
    <n v="-16798"/>
    <s v="EERR"/>
    <n v="16798"/>
    <x v="123"/>
  </r>
  <r>
    <n v="2026"/>
    <n v="2"/>
    <s v="28-02-2026"/>
    <n v="10146"/>
    <s v="5101-01"/>
    <n v="0"/>
    <n v="25202"/>
    <s v="Centralización ventas febrero 2026  #37667 - valor neto"/>
    <n v="-25202"/>
    <s v="EERR"/>
    <n v="25202"/>
    <x v="123"/>
  </r>
  <r>
    <n v="2026"/>
    <n v="2"/>
    <s v="28-02-2026"/>
    <n v="10147"/>
    <s v="5101-01"/>
    <n v="0"/>
    <n v="30236"/>
    <s v="Centralización ventas febrero 2026  #37668 - valor neto"/>
    <n v="-30236"/>
    <s v="EERR"/>
    <n v="30236"/>
    <x v="123"/>
  </r>
  <r>
    <n v="2026"/>
    <n v="2"/>
    <s v="28-02-2026"/>
    <n v="10148"/>
    <s v="5101-01"/>
    <n v="0"/>
    <n v="18479"/>
    <s v="Centralización ventas febrero 2026  #37669 - valor neto"/>
    <n v="-18479"/>
    <s v="EERR"/>
    <n v="18479"/>
    <x v="123"/>
  </r>
  <r>
    <n v="2026"/>
    <n v="2"/>
    <s v="28-02-2026"/>
    <n v="10149"/>
    <s v="5101-01"/>
    <n v="0"/>
    <n v="12597"/>
    <s v="Centralización ventas febrero 2026  #37670 - valor neto"/>
    <n v="-12597"/>
    <s v="EERR"/>
    <n v="12597"/>
    <x v="123"/>
  </r>
  <r>
    <n v="2026"/>
    <n v="2"/>
    <s v="28-02-2026"/>
    <n v="10150"/>
    <s v="5101-01"/>
    <n v="0"/>
    <n v="21000"/>
    <s v="Centralización ventas febrero 2026  #37671 - valor neto"/>
    <n v="-21000"/>
    <s v="EERR"/>
    <n v="21000"/>
    <x v="123"/>
  </r>
  <r>
    <n v="2026"/>
    <n v="2"/>
    <s v="28-02-2026"/>
    <n v="10151"/>
    <s v="5101-01"/>
    <n v="0"/>
    <n v="71369"/>
    <s v="Centralización ventas febrero 2026  #37672 - valor neto"/>
    <n v="-71369"/>
    <s v="EERR"/>
    <n v="71369"/>
    <x v="123"/>
  </r>
  <r>
    <n v="2026"/>
    <n v="2"/>
    <s v="28-02-2026"/>
    <n v="10152"/>
    <s v="5101-01"/>
    <n v="0"/>
    <n v="26882"/>
    <s v="Centralización ventas febrero 2026  #37673 - valor neto"/>
    <n v="-26882"/>
    <s v="EERR"/>
    <n v="26882"/>
    <x v="123"/>
  </r>
  <r>
    <n v="2026"/>
    <n v="2"/>
    <s v="28-02-2026"/>
    <n v="10153"/>
    <s v="5101-01"/>
    <n v="0"/>
    <n v="29403"/>
    <s v="Centralización ventas febrero 2026  #37674 - valor neto"/>
    <n v="-29403"/>
    <s v="EERR"/>
    <n v="29403"/>
    <x v="123"/>
  </r>
  <r>
    <n v="2026"/>
    <n v="2"/>
    <s v="28-02-2026"/>
    <n v="10154"/>
    <s v="5101-01"/>
    <n v="0"/>
    <n v="21000"/>
    <s v="Centralización ventas febrero 2026  #37675 - valor neto"/>
    <n v="-21000"/>
    <s v="EERR"/>
    <n v="21000"/>
    <x v="123"/>
  </r>
  <r>
    <n v="2026"/>
    <n v="2"/>
    <s v="28-02-2026"/>
    <n v="10155"/>
    <s v="5101-01"/>
    <n v="0"/>
    <n v="44529"/>
    <s v="Centralización ventas febrero 2026  #37676 - valor neto"/>
    <n v="-44529"/>
    <s v="EERR"/>
    <n v="44529"/>
    <x v="123"/>
  </r>
  <r>
    <n v="2026"/>
    <n v="2"/>
    <s v="28-02-2026"/>
    <n v="10156"/>
    <s v="5101-01"/>
    <n v="0"/>
    <n v="32765"/>
    <s v="Centralización ventas febrero 2026  #37677 - valor neto"/>
    <n v="-32765"/>
    <s v="EERR"/>
    <n v="32765"/>
    <x v="123"/>
  </r>
  <r>
    <n v="2026"/>
    <n v="2"/>
    <s v="28-02-2026"/>
    <n v="10157"/>
    <s v="5101-01"/>
    <n v="0"/>
    <n v="25202"/>
    <s v="Centralización ventas febrero 2026  #37678 - valor neto"/>
    <n v="-25202"/>
    <s v="EERR"/>
    <n v="25202"/>
    <x v="123"/>
  </r>
  <r>
    <n v="2026"/>
    <n v="2"/>
    <s v="28-02-2026"/>
    <n v="10158"/>
    <s v="5101-01"/>
    <n v="0"/>
    <n v="84025"/>
    <s v="Centralización ventas febrero 2026  #37679 - valor neto"/>
    <n v="-84025"/>
    <s v="EERR"/>
    <n v="84025"/>
    <x v="123"/>
  </r>
  <r>
    <n v="2026"/>
    <n v="2"/>
    <s v="28-02-2026"/>
    <n v="10159"/>
    <s v="5101-01"/>
    <n v="0"/>
    <n v="29403"/>
    <s v="Centralización ventas febrero 2026  #37681 - valor neto"/>
    <n v="-29403"/>
    <s v="EERR"/>
    <n v="29403"/>
    <x v="123"/>
  </r>
  <r>
    <n v="2026"/>
    <n v="2"/>
    <s v="28-02-2026"/>
    <n v="10160"/>
    <s v="5101-01"/>
    <n v="0"/>
    <n v="33605"/>
    <s v="Centralización ventas febrero 2026  #37682 - valor neto"/>
    <n v="-33605"/>
    <s v="EERR"/>
    <n v="33605"/>
    <x v="123"/>
  </r>
  <r>
    <n v="2026"/>
    <n v="2"/>
    <s v="28-02-2026"/>
    <n v="10161"/>
    <s v="5101-01"/>
    <n v="0"/>
    <n v="63017"/>
    <s v="Centralización ventas febrero 2026  #37683 - valor neto"/>
    <n v="-63017"/>
    <s v="EERR"/>
    <n v="63017"/>
    <x v="123"/>
  </r>
  <r>
    <n v="2026"/>
    <n v="2"/>
    <s v="28-02-2026"/>
    <n v="10162"/>
    <s v="5101-01"/>
    <n v="0"/>
    <n v="143587"/>
    <s v="Centralización ventas febrero 2026  #37684 - valor neto"/>
    <n v="-143587"/>
    <s v="EERR"/>
    <n v="143587"/>
    <x v="123"/>
  </r>
  <r>
    <n v="2026"/>
    <n v="2"/>
    <s v="28-02-2026"/>
    <n v="10163"/>
    <s v="5101-01"/>
    <n v="0"/>
    <n v="46210"/>
    <s v="Centralización ventas febrero 2026  #37685 - valor neto"/>
    <n v="-46210"/>
    <s v="EERR"/>
    <n v="46210"/>
    <x v="123"/>
  </r>
  <r>
    <n v="2026"/>
    <n v="2"/>
    <s v="28-02-2026"/>
    <n v="10164"/>
    <s v="5101-01"/>
    <n v="0"/>
    <n v="26882"/>
    <s v="Centralización ventas febrero 2026  #37686 - valor neto"/>
    <n v="-26882"/>
    <s v="EERR"/>
    <n v="26882"/>
    <x v="123"/>
  </r>
  <r>
    <n v="2026"/>
    <n v="2"/>
    <s v="28-02-2026"/>
    <n v="10165"/>
    <s v="5101-01"/>
    <n v="0"/>
    <n v="25202"/>
    <s v="Centralización ventas febrero 2026  #37687 - valor neto"/>
    <n v="-25202"/>
    <s v="EERR"/>
    <n v="25202"/>
    <x v="123"/>
  </r>
  <r>
    <n v="2026"/>
    <n v="2"/>
    <s v="28-02-2026"/>
    <n v="10166"/>
    <s v="5101-01"/>
    <n v="0"/>
    <n v="19319"/>
    <s v="Centralización ventas febrero 2026  #37688 - valor neto"/>
    <n v="-19319"/>
    <s v="EERR"/>
    <n v="19319"/>
    <x v="123"/>
  </r>
  <r>
    <n v="2026"/>
    <n v="2"/>
    <s v="28-02-2026"/>
    <n v="10167"/>
    <s v="5101-01"/>
    <n v="0"/>
    <n v="231441"/>
    <s v="Centralización ventas febrero 2026  #37690 - valor neto"/>
    <n v="-231441"/>
    <s v="EERR"/>
    <n v="231441"/>
    <x v="123"/>
  </r>
  <r>
    <n v="2026"/>
    <n v="2"/>
    <s v="28-02-2026"/>
    <n v="10168"/>
    <s v="5101-01"/>
    <n v="0"/>
    <n v="278194"/>
    <s v="Centralización ventas febrero 2026  #37691 - valor neto"/>
    <n v="-278194"/>
    <s v="EERR"/>
    <n v="278194"/>
    <x v="123"/>
  </r>
  <r>
    <n v="2026"/>
    <n v="2"/>
    <s v="28-02-2026"/>
    <n v="10169"/>
    <s v="5101-01"/>
    <n v="0"/>
    <n v="31924"/>
    <s v="Centralización ventas febrero 2026  #37692 - valor neto"/>
    <n v="-31924"/>
    <s v="EERR"/>
    <n v="31924"/>
    <x v="123"/>
  </r>
  <r>
    <n v="2026"/>
    <n v="2"/>
    <s v="28-02-2026"/>
    <n v="10170"/>
    <s v="5101-01"/>
    <n v="0"/>
    <n v="16798"/>
    <s v="Centralización ventas febrero 2026  #37693 - valor neto"/>
    <n v="-16798"/>
    <s v="EERR"/>
    <n v="16798"/>
    <x v="123"/>
  </r>
  <r>
    <n v="2026"/>
    <n v="2"/>
    <s v="28-02-2026"/>
    <n v="10171"/>
    <s v="5101-01"/>
    <n v="0"/>
    <n v="1535130"/>
    <s v="Centralización ventas febrero 2026  #37694 - valor neto"/>
    <n v="-1535130"/>
    <s v="EERR"/>
    <n v="1535130"/>
    <x v="123"/>
  </r>
  <r>
    <n v="2026"/>
    <n v="2"/>
    <s v="28-02-2026"/>
    <n v="10172"/>
    <s v="5101-01"/>
    <n v="0"/>
    <n v="28144"/>
    <s v="Centralización ventas febrero 2026  #37695 - valor neto"/>
    <n v="-28144"/>
    <s v="EERR"/>
    <n v="28144"/>
    <x v="123"/>
  </r>
  <r>
    <n v="2026"/>
    <n v="2"/>
    <s v="28-02-2026"/>
    <n v="10173"/>
    <s v="5101-01"/>
    <n v="0"/>
    <n v="25210"/>
    <s v="Centralización ventas febrero 2026  #37696 - valor neto"/>
    <n v="-25210"/>
    <s v="EERR"/>
    <n v="25210"/>
    <x v="123"/>
  </r>
  <r>
    <n v="2026"/>
    <n v="2"/>
    <s v="28-02-2026"/>
    <n v="10174"/>
    <s v="5101-01"/>
    <n v="0"/>
    <n v="34422"/>
    <s v="Centralización ventas febrero 2026  #37697 - valor neto"/>
    <n v="-34422"/>
    <s v="EERR"/>
    <n v="34422"/>
    <x v="123"/>
  </r>
  <r>
    <n v="2026"/>
    <n v="2"/>
    <s v="28-02-2026"/>
    <n v="10175"/>
    <s v="5101-01"/>
    <n v="0"/>
    <n v="25210"/>
    <s v="Centralización ventas febrero 2026  #37699 - valor neto"/>
    <n v="-25210"/>
    <s v="EERR"/>
    <n v="25210"/>
    <x v="123"/>
  </r>
  <r>
    <n v="2026"/>
    <n v="2"/>
    <s v="28-02-2026"/>
    <n v="10176"/>
    <s v="5101-01"/>
    <n v="0"/>
    <n v="18479"/>
    <s v="Centralización ventas febrero 2026  #37700 - valor neto"/>
    <n v="-18479"/>
    <s v="EERR"/>
    <n v="18479"/>
    <x v="123"/>
  </r>
  <r>
    <n v="2026"/>
    <n v="2"/>
    <s v="28-02-2026"/>
    <n v="10177"/>
    <s v="5101-01"/>
    <n v="0"/>
    <n v="18479"/>
    <s v="Centralización ventas febrero 2026  #37701 - valor neto"/>
    <n v="-18479"/>
    <s v="EERR"/>
    <n v="18479"/>
    <x v="123"/>
  </r>
  <r>
    <n v="2026"/>
    <n v="2"/>
    <s v="28-02-2026"/>
    <n v="10178"/>
    <s v="5101-01"/>
    <n v="0"/>
    <n v="21000"/>
    <s v="Centralización ventas febrero 2026  #37702 - valor neto"/>
    <n v="-21000"/>
    <s v="EERR"/>
    <n v="21000"/>
    <x v="123"/>
  </r>
  <r>
    <n v="2026"/>
    <n v="2"/>
    <s v="28-02-2026"/>
    <n v="10179"/>
    <s v="5101-01"/>
    <n v="0"/>
    <n v="16798"/>
    <s v="Centralización ventas febrero 2026  #37703 - valor neto"/>
    <n v="-16798"/>
    <s v="EERR"/>
    <n v="16798"/>
    <x v="123"/>
  </r>
  <r>
    <n v="2026"/>
    <n v="2"/>
    <s v="28-02-2026"/>
    <n v="10180"/>
    <s v="5101-01"/>
    <n v="0"/>
    <n v="24361"/>
    <s v="Centralización ventas febrero 2026  #37704 - valor neto"/>
    <n v="-24361"/>
    <s v="EERR"/>
    <n v="24361"/>
    <x v="123"/>
  </r>
  <r>
    <n v="2026"/>
    <n v="2"/>
    <s v="28-02-2026"/>
    <n v="10181"/>
    <s v="5101-01"/>
    <n v="0"/>
    <n v="25210"/>
    <s v="Centralización ventas febrero 2026  #37705 - valor neto"/>
    <n v="-25210"/>
    <s v="EERR"/>
    <n v="25210"/>
    <x v="123"/>
  </r>
  <r>
    <n v="2026"/>
    <n v="2"/>
    <s v="28-02-2026"/>
    <n v="10182"/>
    <s v="5101-01"/>
    <n v="0"/>
    <n v="30235"/>
    <s v="Centralización ventas febrero 2026  #37706 - valor neto"/>
    <n v="-30235"/>
    <s v="EERR"/>
    <n v="30235"/>
    <x v="123"/>
  </r>
  <r>
    <n v="2026"/>
    <n v="2"/>
    <s v="28-02-2026"/>
    <n v="10183"/>
    <s v="5101-01"/>
    <n v="0"/>
    <n v="61328"/>
    <s v="Centralización ventas febrero 2026  #37707 - valor neto"/>
    <n v="-61328"/>
    <s v="EERR"/>
    <n v="61328"/>
    <x v="123"/>
  </r>
  <r>
    <n v="2026"/>
    <n v="2"/>
    <s v="28-02-2026"/>
    <n v="10184"/>
    <s v="5101-01"/>
    <n v="0"/>
    <n v="16798"/>
    <s v="Centralización ventas febrero 2026  #37708 - valor neto"/>
    <n v="-16798"/>
    <s v="EERR"/>
    <n v="16798"/>
    <x v="123"/>
  </r>
  <r>
    <n v="2026"/>
    <n v="2"/>
    <s v="28-02-2026"/>
    <n v="10185"/>
    <s v="5101-01"/>
    <n v="0"/>
    <n v="25202"/>
    <s v="Centralización ventas febrero 2026  #37709 - valor neto"/>
    <n v="-25202"/>
    <s v="EERR"/>
    <n v="25202"/>
    <x v="123"/>
  </r>
  <r>
    <n v="2026"/>
    <n v="2"/>
    <s v="28-02-2026"/>
    <n v="10186"/>
    <s v="5101-01"/>
    <n v="0"/>
    <n v="119226"/>
    <s v="Centralización ventas febrero 2026  #37710 - valor neto"/>
    <n v="-119226"/>
    <s v="EERR"/>
    <n v="119226"/>
    <x v="123"/>
  </r>
  <r>
    <n v="2026"/>
    <n v="2"/>
    <s v="28-02-2026"/>
    <n v="10187"/>
    <s v="5101-01"/>
    <n v="0"/>
    <n v="21000"/>
    <s v="Centralización ventas febrero 2026  #37711 - valor neto"/>
    <n v="-21000"/>
    <s v="EERR"/>
    <n v="21000"/>
    <x v="123"/>
  </r>
  <r>
    <n v="2026"/>
    <n v="2"/>
    <s v="28-02-2026"/>
    <n v="10188"/>
    <s v="5101-01"/>
    <n v="0"/>
    <n v="12597"/>
    <s v="Centralización ventas febrero 2026  #37712 - valor neto"/>
    <n v="-12597"/>
    <s v="EERR"/>
    <n v="12597"/>
    <x v="123"/>
  </r>
  <r>
    <n v="2026"/>
    <n v="2"/>
    <s v="28-02-2026"/>
    <n v="10189"/>
    <s v="5101-01"/>
    <n v="0"/>
    <n v="95381"/>
    <s v="Centralización ventas febrero 2026  #37713 - valor neto"/>
    <n v="-95381"/>
    <s v="EERR"/>
    <n v="95381"/>
    <x v="123"/>
  </r>
  <r>
    <n v="2026"/>
    <n v="2"/>
    <s v="28-02-2026"/>
    <n v="10190"/>
    <s v="5101-01"/>
    <n v="0"/>
    <n v="22681"/>
    <s v="Centralización ventas febrero 2026  #37714 - valor neto"/>
    <n v="-22681"/>
    <s v="EERR"/>
    <n v="22681"/>
    <x v="123"/>
  </r>
  <r>
    <n v="2026"/>
    <n v="2"/>
    <s v="28-02-2026"/>
    <n v="10191"/>
    <s v="5101-01"/>
    <n v="0"/>
    <n v="596129"/>
    <s v="Centralización ventas febrero 2026  #37715 - valor neto"/>
    <n v="-596129"/>
    <s v="EERR"/>
    <n v="596129"/>
    <x v="123"/>
  </r>
  <r>
    <n v="2026"/>
    <n v="2"/>
    <s v="28-02-2026"/>
    <n v="10192"/>
    <s v="5101-01"/>
    <n v="0"/>
    <n v="21000"/>
    <s v="Centralización ventas febrero 2026  #37716 - valor neto"/>
    <n v="-21000"/>
    <s v="EERR"/>
    <n v="21000"/>
    <x v="123"/>
  </r>
  <r>
    <n v="2026"/>
    <n v="2"/>
    <s v="28-02-2026"/>
    <n v="10193"/>
    <s v="5101-01"/>
    <n v="0"/>
    <n v="360863"/>
    <s v="Centralización ventas febrero 2026  #37717 - valor neto"/>
    <n v="-360863"/>
    <s v="EERR"/>
    <n v="360863"/>
    <x v="123"/>
  </r>
  <r>
    <n v="2026"/>
    <n v="2"/>
    <s v="28-02-2026"/>
    <n v="10194"/>
    <s v="5101-01"/>
    <n v="0"/>
    <n v="107563"/>
    <s v="Centralización ventas febrero 2026  #37718 - valor neto"/>
    <n v="-107563"/>
    <s v="EERR"/>
    <n v="107563"/>
    <x v="123"/>
  </r>
  <r>
    <n v="2026"/>
    <n v="2"/>
    <s v="28-02-2026"/>
    <n v="10195"/>
    <s v="5101-01"/>
    <n v="0"/>
    <n v="19319"/>
    <s v="Centralización ventas febrero 2026  #37719 - valor neto"/>
    <n v="-19319"/>
    <s v="EERR"/>
    <n v="19319"/>
    <x v="123"/>
  </r>
  <r>
    <n v="2026"/>
    <n v="2"/>
    <s v="28-02-2026"/>
    <n v="10196"/>
    <s v="5101-01"/>
    <n v="0"/>
    <n v="75622"/>
    <s v="Centralización ventas febrero 2026  #37720 - valor neto"/>
    <n v="-75622"/>
    <s v="EERR"/>
    <n v="75622"/>
    <x v="123"/>
  </r>
  <r>
    <n v="2026"/>
    <n v="2"/>
    <s v="28-02-2026"/>
    <n v="10197"/>
    <s v="5101-01"/>
    <n v="0"/>
    <n v="21000"/>
    <s v="Centralización ventas febrero 2026  #37721 - valor neto"/>
    <n v="-21000"/>
    <s v="EERR"/>
    <n v="21000"/>
    <x v="123"/>
  </r>
  <r>
    <n v="2026"/>
    <n v="2"/>
    <s v="28-02-2026"/>
    <n v="10198"/>
    <s v="5101-01"/>
    <n v="0"/>
    <n v="33613"/>
    <s v="Centralización ventas febrero 2026  #37722 - valor neto"/>
    <n v="-33613"/>
    <s v="EERR"/>
    <n v="33613"/>
    <x v="123"/>
  </r>
  <r>
    <n v="2026"/>
    <n v="2"/>
    <s v="28-02-2026"/>
    <n v="10199"/>
    <s v="5101-01"/>
    <n v="0"/>
    <n v="27723"/>
    <s v="Centralización ventas febrero 2026  #37723 - valor neto"/>
    <n v="-27723"/>
    <s v="EERR"/>
    <n v="27723"/>
    <x v="123"/>
  </r>
  <r>
    <n v="2026"/>
    <n v="2"/>
    <s v="28-02-2026"/>
    <n v="10200"/>
    <s v="5101-01"/>
    <n v="0"/>
    <n v="21000"/>
    <s v="Centralización ventas febrero 2026  #37724 - valor neto"/>
    <n v="-21000"/>
    <s v="EERR"/>
    <n v="21000"/>
    <x v="123"/>
  </r>
  <r>
    <n v="2026"/>
    <n v="2"/>
    <s v="28-02-2026"/>
    <n v="10201"/>
    <s v="5101-01"/>
    <n v="0"/>
    <n v="18479"/>
    <s v="Centralización ventas febrero 2026  #37726 - valor neto"/>
    <n v="-18479"/>
    <s v="EERR"/>
    <n v="18479"/>
    <x v="123"/>
  </r>
  <r>
    <n v="2026"/>
    <n v="2"/>
    <s v="28-02-2026"/>
    <n v="10202"/>
    <s v="5101-01"/>
    <n v="0"/>
    <n v="91554"/>
    <s v="Centralización ventas febrero 2026  #37727 - valor neto"/>
    <n v="-91554"/>
    <s v="EERR"/>
    <n v="91554"/>
    <x v="123"/>
  </r>
  <r>
    <n v="2026"/>
    <n v="2"/>
    <s v="28-02-2026"/>
    <n v="10203"/>
    <s v="5101-01"/>
    <n v="0"/>
    <n v="24346"/>
    <s v="Centralización ventas febrero 2026  #37728 - valor neto"/>
    <n v="-24346"/>
    <s v="EERR"/>
    <n v="24346"/>
    <x v="123"/>
  </r>
  <r>
    <n v="2026"/>
    <n v="2"/>
    <s v="28-02-2026"/>
    <n v="10204"/>
    <s v="5101-01"/>
    <n v="0"/>
    <n v="36950"/>
    <s v="Centralización ventas febrero 2026  #37729 - valor neto"/>
    <n v="-36950"/>
    <s v="EERR"/>
    <n v="36950"/>
    <x v="123"/>
  </r>
  <r>
    <n v="2026"/>
    <n v="2"/>
    <s v="28-02-2026"/>
    <n v="10205"/>
    <s v="5101-01"/>
    <n v="0"/>
    <n v="29403"/>
    <s v="Centralización ventas febrero 2026  #37731 - valor neto"/>
    <n v="-29403"/>
    <s v="EERR"/>
    <n v="29403"/>
    <x v="123"/>
  </r>
  <r>
    <n v="2026"/>
    <n v="2"/>
    <s v="28-02-2026"/>
    <n v="10206"/>
    <s v="5101-01"/>
    <n v="0"/>
    <n v="25202"/>
    <s v="Centralización ventas febrero 2026  #37732 - valor neto"/>
    <n v="-25202"/>
    <s v="EERR"/>
    <n v="25202"/>
    <x v="123"/>
  </r>
  <r>
    <n v="2026"/>
    <n v="2"/>
    <s v="28-02-2026"/>
    <n v="10207"/>
    <s v="5101-01"/>
    <n v="0"/>
    <n v="12597"/>
    <s v="Centralización ventas febrero 2026  #37733 - valor neto"/>
    <n v="-12597"/>
    <s v="EERR"/>
    <n v="12597"/>
    <x v="123"/>
  </r>
  <r>
    <n v="2026"/>
    <n v="2"/>
    <s v="28-02-2026"/>
    <n v="10208"/>
    <s v="5101-01"/>
    <n v="0"/>
    <n v="357678"/>
    <s v="Centralización ventas febrero 2026  #37735 - valor neto"/>
    <n v="-357678"/>
    <s v="EERR"/>
    <n v="357678"/>
    <x v="123"/>
  </r>
  <r>
    <n v="2026"/>
    <n v="2"/>
    <s v="28-02-2026"/>
    <n v="10209"/>
    <s v="5101-01"/>
    <n v="0"/>
    <n v="19319"/>
    <s v="Centralización ventas febrero 2026  #37736 - valor neto"/>
    <n v="-19319"/>
    <s v="EERR"/>
    <n v="19319"/>
    <x v="123"/>
  </r>
  <r>
    <n v="2026"/>
    <n v="2"/>
    <s v="28-02-2026"/>
    <n v="10210"/>
    <s v="5101-01"/>
    <n v="0"/>
    <n v="25202"/>
    <s v="Centralización ventas febrero 2026  #37737 - valor neto"/>
    <n v="-25202"/>
    <s v="EERR"/>
    <n v="25202"/>
    <x v="123"/>
  </r>
  <r>
    <n v="2026"/>
    <n v="2"/>
    <s v="28-02-2026"/>
    <n v="10211"/>
    <s v="5101-01"/>
    <n v="0"/>
    <n v="36974"/>
    <s v="Centralización ventas febrero 2026  #37738 - valor neto"/>
    <n v="-36974"/>
    <s v="EERR"/>
    <n v="36974"/>
    <x v="123"/>
  </r>
  <r>
    <n v="2026"/>
    <n v="2"/>
    <s v="28-02-2026"/>
    <n v="10212"/>
    <s v="5101-01"/>
    <n v="0"/>
    <n v="27722"/>
    <s v="Centralización ventas febrero 2026  #37740 - valor neto"/>
    <n v="-27722"/>
    <s v="EERR"/>
    <n v="27722"/>
    <x v="123"/>
  </r>
  <r>
    <n v="2026"/>
    <n v="2"/>
    <s v="28-02-2026"/>
    <n v="10213"/>
    <s v="5101-01"/>
    <n v="0"/>
    <n v="58824"/>
    <s v="Centralización ventas febrero 2026  #37741 - valor neto"/>
    <n v="-58824"/>
    <s v="EERR"/>
    <n v="58824"/>
    <x v="123"/>
  </r>
  <r>
    <n v="2026"/>
    <n v="2"/>
    <s v="28-02-2026"/>
    <n v="10214"/>
    <s v="5101-01"/>
    <n v="0"/>
    <n v="36126"/>
    <s v="Centralización ventas febrero 2026  #37742 - valor neto"/>
    <n v="-36126"/>
    <s v="EERR"/>
    <n v="36126"/>
    <x v="123"/>
  </r>
  <r>
    <n v="2026"/>
    <n v="2"/>
    <s v="28-02-2026"/>
    <n v="10215"/>
    <s v="5101-01"/>
    <n v="0"/>
    <n v="15118"/>
    <s v="Centralización ventas febrero 2026  #37743 - valor neto"/>
    <n v="-15118"/>
    <s v="EERR"/>
    <n v="15118"/>
    <x v="123"/>
  </r>
  <r>
    <n v="2026"/>
    <n v="2"/>
    <s v="28-02-2026"/>
    <n v="10216"/>
    <s v="5101-01"/>
    <n v="0"/>
    <n v="21000"/>
    <s v="Centralización ventas febrero 2026  #37744 - valor neto"/>
    <n v="-21000"/>
    <s v="EERR"/>
    <n v="21000"/>
    <x v="123"/>
  </r>
  <r>
    <n v="2026"/>
    <n v="2"/>
    <s v="28-02-2026"/>
    <n v="10217"/>
    <s v="5101-01"/>
    <n v="0"/>
    <n v="21000"/>
    <s v="Centralización ventas febrero 2026  #37745 - valor neto"/>
    <n v="-21000"/>
    <s v="EERR"/>
    <n v="21000"/>
    <x v="123"/>
  </r>
  <r>
    <n v="2026"/>
    <n v="2"/>
    <s v="28-02-2026"/>
    <n v="10218"/>
    <s v="5101-01"/>
    <n v="0"/>
    <n v="139097"/>
    <s v="Centralización ventas febrero 2026  #37746 - valor neto"/>
    <n v="-139097"/>
    <s v="EERR"/>
    <n v="139097"/>
    <x v="123"/>
  </r>
  <r>
    <n v="2026"/>
    <n v="2"/>
    <s v="28-02-2026"/>
    <n v="10219"/>
    <s v="5101-01"/>
    <n v="0"/>
    <n v="33605"/>
    <s v="Centralización ventas febrero 2026  #37747 - valor neto"/>
    <n v="-33605"/>
    <s v="EERR"/>
    <n v="33605"/>
    <x v="123"/>
  </r>
  <r>
    <n v="2026"/>
    <n v="2"/>
    <s v="28-02-2026"/>
    <n v="10220"/>
    <s v="5101-01"/>
    <n v="0"/>
    <n v="43689"/>
    <s v="Centralización ventas febrero 2026  #37748 - valor neto"/>
    <n v="-43689"/>
    <s v="EERR"/>
    <n v="43689"/>
    <x v="123"/>
  </r>
  <r>
    <n v="2026"/>
    <n v="2"/>
    <s v="28-02-2026"/>
    <n v="10221"/>
    <s v="5101-01"/>
    <n v="0"/>
    <n v="21000"/>
    <s v="Centralización ventas febrero 2026  #37749 - valor neto"/>
    <n v="-21000"/>
    <s v="EERR"/>
    <n v="21000"/>
    <x v="123"/>
  </r>
  <r>
    <n v="2026"/>
    <n v="2"/>
    <s v="28-02-2026"/>
    <n v="10222"/>
    <s v="5101-01"/>
    <n v="0"/>
    <n v="26882"/>
    <s v="Centralización ventas febrero 2026  #37750 - valor neto"/>
    <n v="-26882"/>
    <s v="EERR"/>
    <n v="26882"/>
    <x v="123"/>
  </r>
  <r>
    <n v="2026"/>
    <n v="2"/>
    <s v="28-02-2026"/>
    <n v="10223"/>
    <s v="5101-01"/>
    <n v="0"/>
    <n v="33605"/>
    <s v="Centralización ventas febrero 2026  #37751 - valor neto"/>
    <n v="-33605"/>
    <s v="EERR"/>
    <n v="33605"/>
    <x v="123"/>
  </r>
  <r>
    <n v="2026"/>
    <n v="2"/>
    <s v="28-02-2026"/>
    <n v="10224"/>
    <s v="5101-01"/>
    <n v="0"/>
    <n v="39487"/>
    <s v="Centralización ventas febrero 2026  #37752 - valor neto"/>
    <n v="-39487"/>
    <s v="EERR"/>
    <n v="39487"/>
    <x v="123"/>
  </r>
  <r>
    <n v="2026"/>
    <n v="2"/>
    <s v="28-02-2026"/>
    <n v="10225"/>
    <s v="5101-01"/>
    <n v="0"/>
    <n v="244426"/>
    <s v="Centralización ventas febrero 2026  #37753 - valor neto"/>
    <n v="-244426"/>
    <s v="EERR"/>
    <n v="244426"/>
    <x v="123"/>
  </r>
  <r>
    <n v="2026"/>
    <n v="2"/>
    <s v="28-02-2026"/>
    <n v="10226"/>
    <s v="5101-01"/>
    <n v="0"/>
    <n v="41151"/>
    <s v="Centralización ventas febrero 2026  #37754 - valor neto"/>
    <n v="-41151"/>
    <s v="EERR"/>
    <n v="41151"/>
    <x v="123"/>
  </r>
  <r>
    <n v="2026"/>
    <n v="2"/>
    <s v="28-02-2026"/>
    <n v="10227"/>
    <s v="5101-01"/>
    <n v="0"/>
    <n v="36126"/>
    <s v="Centralización ventas febrero 2026  #37755 - valor neto"/>
    <n v="-36126"/>
    <s v="EERR"/>
    <n v="36126"/>
    <x v="123"/>
  </r>
  <r>
    <n v="2026"/>
    <n v="2"/>
    <s v="28-02-2026"/>
    <n v="10228"/>
    <s v="5101-01"/>
    <n v="0"/>
    <n v="18479"/>
    <s v="Centralización ventas febrero 2026  #37756 - valor neto"/>
    <n v="-18479"/>
    <s v="EERR"/>
    <n v="18479"/>
    <x v="123"/>
  </r>
  <r>
    <n v="2026"/>
    <n v="2"/>
    <s v="28-02-2026"/>
    <n v="10229"/>
    <s v="5101-01"/>
    <n v="0"/>
    <n v="19319"/>
    <s v="Centralización ventas febrero 2026  #37757 - valor neto"/>
    <n v="-19319"/>
    <s v="EERR"/>
    <n v="19319"/>
    <x v="123"/>
  </r>
  <r>
    <n v="2026"/>
    <n v="2"/>
    <s v="28-02-2026"/>
    <n v="10230"/>
    <s v="5101-01"/>
    <n v="0"/>
    <n v="18479"/>
    <s v="Centralización ventas febrero 2026  #37759 - valor neto"/>
    <n v="-18479"/>
    <s v="EERR"/>
    <n v="18479"/>
    <x v="123"/>
  </r>
  <r>
    <n v="2026"/>
    <n v="2"/>
    <s v="28-02-2026"/>
    <n v="10231"/>
    <s v="5101-01"/>
    <n v="0"/>
    <n v="734984"/>
    <s v="Centralización ventas febrero 2026  #37760 - valor neto"/>
    <n v="-734984"/>
    <s v="EERR"/>
    <n v="734984"/>
    <x v="123"/>
  </r>
  <r>
    <n v="2026"/>
    <n v="2"/>
    <s v="28-02-2026"/>
    <n v="10232"/>
    <s v="5101-01"/>
    <n v="0"/>
    <n v="21000"/>
    <s v="Centralización ventas febrero 2026  #37761 - valor neto"/>
    <n v="-21000"/>
    <s v="EERR"/>
    <n v="21000"/>
    <x v="123"/>
  </r>
  <r>
    <n v="2026"/>
    <n v="2"/>
    <s v="28-02-2026"/>
    <n v="10233"/>
    <s v="5101-01"/>
    <n v="0"/>
    <n v="29412"/>
    <s v="Centralización ventas febrero 2026  #37762 - valor neto"/>
    <n v="-29412"/>
    <s v="EERR"/>
    <n v="29412"/>
    <x v="123"/>
  </r>
  <r>
    <n v="2026"/>
    <n v="2"/>
    <s v="28-02-2026"/>
    <n v="10234"/>
    <s v="5101-01"/>
    <n v="0"/>
    <n v="24361"/>
    <s v="Centralización ventas febrero 2026  #37763 - valor neto"/>
    <n v="-24361"/>
    <s v="EERR"/>
    <n v="24361"/>
    <x v="123"/>
  </r>
  <r>
    <n v="2026"/>
    <n v="2"/>
    <s v="28-02-2026"/>
    <n v="10235"/>
    <s v="5101-01"/>
    <n v="0"/>
    <n v="21000"/>
    <s v="Centralización ventas febrero 2026  #37764 - valor neto"/>
    <n v="-21000"/>
    <s v="EERR"/>
    <n v="21000"/>
    <x v="123"/>
  </r>
  <r>
    <n v="2026"/>
    <n v="2"/>
    <s v="28-02-2026"/>
    <n v="10236"/>
    <s v="5101-01"/>
    <n v="0"/>
    <n v="18479"/>
    <s v="Centralización ventas febrero 2026  #37766 - valor neto"/>
    <n v="-18479"/>
    <s v="EERR"/>
    <n v="18479"/>
    <x v="123"/>
  </r>
  <r>
    <n v="2026"/>
    <n v="2"/>
    <s v="28-02-2026"/>
    <n v="10237"/>
    <s v="5101-01"/>
    <n v="0"/>
    <n v="397420"/>
    <s v="Centralización ventas febrero 2026  #37767 - valor neto"/>
    <n v="-397420"/>
    <s v="EERR"/>
    <n v="397420"/>
    <x v="123"/>
  </r>
  <r>
    <n v="2026"/>
    <n v="2"/>
    <s v="28-02-2026"/>
    <n v="10238"/>
    <s v="5101-01"/>
    <n v="0"/>
    <n v="21000"/>
    <s v="Centralización ventas febrero 2026  #37768 - valor neto"/>
    <n v="-21000"/>
    <s v="EERR"/>
    <n v="21000"/>
    <x v="123"/>
  </r>
  <r>
    <n v="2026"/>
    <n v="2"/>
    <s v="28-02-2026"/>
    <n v="10239"/>
    <s v="5101-01"/>
    <n v="0"/>
    <n v="67210"/>
    <s v="Centralización ventas febrero 2026  #37769 - valor neto"/>
    <n v="-67210"/>
    <s v="EERR"/>
    <n v="67210"/>
    <x v="123"/>
  </r>
  <r>
    <n v="2026"/>
    <n v="2"/>
    <s v="28-02-2026"/>
    <n v="10240"/>
    <s v="5101-01"/>
    <n v="0"/>
    <n v="29403"/>
    <s v="Centralización ventas febrero 2026  #37770 - valor neto"/>
    <n v="-29403"/>
    <s v="EERR"/>
    <n v="29403"/>
    <x v="123"/>
  </r>
  <r>
    <n v="2026"/>
    <n v="2"/>
    <s v="28-02-2026"/>
    <n v="10241"/>
    <s v="5101-01"/>
    <n v="0"/>
    <n v="31084"/>
    <s v="Centralización ventas febrero 2026  #37771 - valor neto"/>
    <n v="-31084"/>
    <s v="EERR"/>
    <n v="31084"/>
    <x v="123"/>
  </r>
  <r>
    <n v="2026"/>
    <n v="2"/>
    <s v="28-02-2026"/>
    <n v="10242"/>
    <s v="5101-01"/>
    <n v="0"/>
    <n v="29403"/>
    <s v="Centralización ventas febrero 2026  #37772 - valor neto"/>
    <n v="-29403"/>
    <s v="EERR"/>
    <n v="29403"/>
    <x v="123"/>
  </r>
  <r>
    <n v="2026"/>
    <n v="2"/>
    <s v="28-02-2026"/>
    <n v="10243"/>
    <s v="5101-01"/>
    <n v="0"/>
    <n v="37807"/>
    <s v="Centralización ventas febrero 2026  #37773 - valor neto"/>
    <n v="-37807"/>
    <s v="EERR"/>
    <n v="37807"/>
    <x v="123"/>
  </r>
  <r>
    <n v="2026"/>
    <n v="2"/>
    <s v="28-02-2026"/>
    <n v="10244"/>
    <s v="5101-01"/>
    <n v="0"/>
    <n v="79484"/>
    <s v="Centralización ventas febrero 2026  #37774 - valor neto"/>
    <n v="-79484"/>
    <s v="EERR"/>
    <n v="79484"/>
    <x v="123"/>
  </r>
  <r>
    <n v="2026"/>
    <n v="2"/>
    <s v="28-02-2026"/>
    <n v="10245"/>
    <s v="5101-01"/>
    <n v="0"/>
    <n v="46210"/>
    <s v="Centralización ventas febrero 2026  #37775 - valor neto"/>
    <n v="-46210"/>
    <s v="EERR"/>
    <n v="46210"/>
    <x v="123"/>
  </r>
  <r>
    <n v="2026"/>
    <n v="2"/>
    <s v="28-02-2026"/>
    <n v="10246"/>
    <s v="5101-01"/>
    <n v="0"/>
    <n v="58479"/>
    <s v="Centralización ventas febrero 2026  #37776 - valor neto"/>
    <n v="-58479"/>
    <s v="EERR"/>
    <n v="58479"/>
    <x v="123"/>
  </r>
  <r>
    <n v="2026"/>
    <n v="2"/>
    <s v="28-02-2026"/>
    <n v="10247"/>
    <s v="5101-01"/>
    <n v="0"/>
    <n v="2000000"/>
    <s v="Centralización ventas febrero 2026  #37777 - valor neto"/>
    <n v="-2000000"/>
    <s v="EERR"/>
    <n v="2000000"/>
    <x v="123"/>
  </r>
  <r>
    <n v="2026"/>
    <n v="2"/>
    <s v="28-02-2026"/>
    <n v="10248"/>
    <s v="5101-01"/>
    <n v="0"/>
    <n v="28555"/>
    <s v="Centralización ventas febrero 2026  #37778 - valor neto"/>
    <n v="-28555"/>
    <s v="EERR"/>
    <n v="28555"/>
    <x v="123"/>
  </r>
  <r>
    <n v="2026"/>
    <n v="2"/>
    <s v="28-02-2026"/>
    <n v="10249"/>
    <s v="5101-01"/>
    <n v="0"/>
    <n v="33605"/>
    <s v="Centralización ventas febrero 2026  #37779 - valor neto"/>
    <n v="-33605"/>
    <s v="EERR"/>
    <n v="33605"/>
    <x v="123"/>
  </r>
  <r>
    <n v="2026"/>
    <n v="2"/>
    <s v="28-02-2026"/>
    <n v="10250"/>
    <s v="5101-01"/>
    <n v="0"/>
    <n v="42017"/>
    <s v="Centralización ventas febrero 2026  #37780 - valor neto"/>
    <n v="-42017"/>
    <s v="EERR"/>
    <n v="42017"/>
    <x v="123"/>
  </r>
  <r>
    <n v="2026"/>
    <n v="2"/>
    <s v="28-02-2026"/>
    <n v="10251"/>
    <s v="5101-01"/>
    <n v="0"/>
    <n v="42017"/>
    <s v="Centralización ventas febrero 2026  #37781 - valor neto"/>
    <n v="-42017"/>
    <s v="EERR"/>
    <n v="42017"/>
    <x v="123"/>
  </r>
  <r>
    <n v="2026"/>
    <n v="2"/>
    <s v="28-02-2026"/>
    <n v="10252"/>
    <s v="5101-01"/>
    <n v="0"/>
    <n v="51210"/>
    <s v="Centralización ventas febrero 2026  #37782 - valor neto"/>
    <n v="-51210"/>
    <s v="EERR"/>
    <n v="51210"/>
    <x v="123"/>
  </r>
  <r>
    <n v="2026"/>
    <n v="2"/>
    <s v="28-02-2026"/>
    <n v="10253"/>
    <s v="5101-01"/>
    <n v="0"/>
    <n v="24361"/>
    <s v="Centralización ventas febrero 2026  #37783 - valor neto"/>
    <n v="-24361"/>
    <s v="EERR"/>
    <n v="24361"/>
    <x v="123"/>
  </r>
  <r>
    <n v="2026"/>
    <n v="2"/>
    <s v="28-02-2026"/>
    <n v="10254"/>
    <s v="5101-01"/>
    <n v="0"/>
    <n v="95381"/>
    <s v="Centralización ventas febrero 2026  #37784 - valor neto"/>
    <n v="-95381"/>
    <s v="EERR"/>
    <n v="95381"/>
    <x v="123"/>
  </r>
  <r>
    <n v="2026"/>
    <n v="2"/>
    <s v="28-02-2026"/>
    <n v="10255"/>
    <s v="5101-01"/>
    <n v="0"/>
    <n v="83458"/>
    <s v="Centralización ventas febrero 2026  #37785 - valor neto"/>
    <n v="-83458"/>
    <s v="EERR"/>
    <n v="83458"/>
    <x v="123"/>
  </r>
  <r>
    <n v="2026"/>
    <n v="2"/>
    <s v="28-02-2026"/>
    <n v="10256"/>
    <s v="5101-01"/>
    <n v="0"/>
    <n v="198710"/>
    <s v="Centralización ventas febrero 2026  #37786 - valor neto"/>
    <n v="-198710"/>
    <s v="EERR"/>
    <n v="198710"/>
    <x v="123"/>
  </r>
  <r>
    <n v="2026"/>
    <n v="2"/>
    <s v="28-02-2026"/>
    <n v="10257"/>
    <s v="5101-01"/>
    <n v="0"/>
    <n v="146908"/>
    <s v="Centralización ventas febrero 2026  #37787 - valor neto"/>
    <n v="-146908"/>
    <s v="EERR"/>
    <n v="146908"/>
    <x v="123"/>
  </r>
  <r>
    <n v="2026"/>
    <n v="2"/>
    <s v="28-02-2026"/>
    <n v="10258"/>
    <s v="5101-01"/>
    <n v="0"/>
    <n v="184448"/>
    <s v="Centralización ventas febrero 2026  #37788 - valor neto"/>
    <n v="-184448"/>
    <s v="EERR"/>
    <n v="184448"/>
    <x v="123"/>
  </r>
  <r>
    <n v="2026"/>
    <n v="2"/>
    <s v="28-02-2026"/>
    <n v="10259"/>
    <s v="5101-01"/>
    <n v="0"/>
    <n v="357678"/>
    <s v="Centralización ventas febrero 2026  #37792 - valor neto"/>
    <n v="-357678"/>
    <s v="EERR"/>
    <n v="357678"/>
    <x v="123"/>
  </r>
  <r>
    <n v="2026"/>
    <n v="2"/>
    <s v="28-02-2026"/>
    <n v="10260"/>
    <s v="5101-01"/>
    <n v="0"/>
    <n v="21000"/>
    <s v="Centralización ventas febrero 2026  #37793 - valor neto"/>
    <n v="-21000"/>
    <s v="EERR"/>
    <n v="21000"/>
    <x v="123"/>
  </r>
  <r>
    <n v="2026"/>
    <n v="2"/>
    <s v="28-02-2026"/>
    <n v="10261"/>
    <s v="5101-01"/>
    <n v="0"/>
    <n v="33605"/>
    <s v="Centralización ventas febrero 2026  #37794 - valor neto"/>
    <n v="-33605"/>
    <s v="EERR"/>
    <n v="33605"/>
    <x v="123"/>
  </r>
  <r>
    <n v="2026"/>
    <n v="2"/>
    <s v="28-02-2026"/>
    <n v="10262"/>
    <s v="5101-01"/>
    <n v="0"/>
    <n v="25210"/>
    <s v="Centralización ventas febrero 2026  #37811 - valor neto"/>
    <n v="-25210"/>
    <s v="EERR"/>
    <n v="25210"/>
    <x v="123"/>
  </r>
  <r>
    <n v="2026"/>
    <n v="2"/>
    <s v="28-02-2026"/>
    <n v="10263"/>
    <s v="5101-01"/>
    <n v="0"/>
    <n v="25210"/>
    <s v="Centralización ventas febrero 2026  #37812 - valor neto"/>
    <n v="-25210"/>
    <s v="EERR"/>
    <n v="25210"/>
    <x v="123"/>
  </r>
  <r>
    <n v="2026"/>
    <n v="2"/>
    <s v="28-02-2026"/>
    <n v="10264"/>
    <s v="5101-01"/>
    <n v="0"/>
    <n v="40336"/>
    <s v="Centralización ventas febrero 2026  #37827 - valor neto"/>
    <n v="-40336"/>
    <s v="EERR"/>
    <n v="40336"/>
    <x v="123"/>
  </r>
  <r>
    <n v="2026"/>
    <n v="2"/>
    <s v="28-02-2026"/>
    <n v="10265"/>
    <s v="5101-01"/>
    <n v="0"/>
    <n v="16798"/>
    <s v="Centralización ventas febrero 2026  #37842 - valor neto"/>
    <n v="-16798"/>
    <s v="EERR"/>
    <n v="16798"/>
    <x v="123"/>
  </r>
  <r>
    <n v="2026"/>
    <n v="2"/>
    <s v="28-02-2026"/>
    <n v="10266"/>
    <s v="5101-01"/>
    <n v="0"/>
    <n v="117631"/>
    <s v="Centralización ventas febrero 2026  #37884 - valor neto"/>
    <n v="-117631"/>
    <s v="EERR"/>
    <n v="117631"/>
    <x v="123"/>
  </r>
  <r>
    <n v="2026"/>
    <n v="2"/>
    <s v="28-02-2026"/>
    <n v="10267"/>
    <s v="5101-01"/>
    <n v="0"/>
    <n v="471114"/>
    <s v="Centralización ventas febrero 2026  #37885 - valor neto"/>
    <n v="-471114"/>
    <s v="EERR"/>
    <n v="471114"/>
    <x v="123"/>
  </r>
  <r>
    <n v="2026"/>
    <n v="2"/>
    <s v="28-02-2026"/>
    <n v="10268"/>
    <s v="5101-01"/>
    <n v="0"/>
    <n v="188961"/>
    <s v="Centralización ventas febrero 2026  #37886 - valor neto"/>
    <n v="-188961"/>
    <s v="EERR"/>
    <n v="188961"/>
    <x v="123"/>
  </r>
  <r>
    <n v="2026"/>
    <n v="2"/>
    <s v="28-02-2026"/>
    <n v="10269"/>
    <s v="5101-01"/>
    <n v="0"/>
    <n v="35294"/>
    <s v="Centralización ventas febrero 2026  #37896 - valor neto"/>
    <n v="-35294"/>
    <s v="EERR"/>
    <n v="35294"/>
    <x v="123"/>
  </r>
  <r>
    <n v="2026"/>
    <n v="2"/>
    <s v="28-02-2026"/>
    <n v="10270"/>
    <s v="5101-01"/>
    <n v="0"/>
    <n v="12597"/>
    <s v="Centralización ventas febrero 2026  #37929 - valor neto"/>
    <n v="-12597"/>
    <s v="EERR"/>
    <n v="12597"/>
    <x v="123"/>
  </r>
  <r>
    <n v="2026"/>
    <n v="2"/>
    <s v="28-02-2026"/>
    <n v="10271"/>
    <s v="5101-01"/>
    <n v="0"/>
    <n v="1704484"/>
    <s v="Centralización ventas febrero 2026  #37947 - valor neto"/>
    <n v="-1704484"/>
    <s v="EERR"/>
    <n v="1704484"/>
    <x v="123"/>
  </r>
  <r>
    <n v="2026"/>
    <n v="2"/>
    <s v="28-02-2026"/>
    <n v="10272"/>
    <s v="5101-01"/>
    <n v="0"/>
    <n v="135238"/>
    <s v="Centralización ventas febrero 2026  #37948 - valor neto"/>
    <n v="-135238"/>
    <s v="EERR"/>
    <n v="135238"/>
    <x v="123"/>
  </r>
  <r>
    <n v="2026"/>
    <n v="2"/>
    <s v="28-02-2026"/>
    <n v="10273"/>
    <s v="5101-01"/>
    <n v="0"/>
    <n v="112000"/>
    <s v="Centralización ventas febrero 2026  #37949 - valor neto"/>
    <n v="-112000"/>
    <s v="EERR"/>
    <n v="112000"/>
    <x v="123"/>
  </r>
  <r>
    <n v="2026"/>
    <n v="2"/>
    <s v="28-02-2026"/>
    <n v="10274"/>
    <s v="5101-01"/>
    <n v="0"/>
    <n v="61320"/>
    <s v="Centralización ventas febrero 2026  #37951 - valor neto"/>
    <n v="-61320"/>
    <s v="EERR"/>
    <n v="61320"/>
    <x v="123"/>
  </r>
  <r>
    <n v="2026"/>
    <n v="2"/>
    <s v="28-02-2026"/>
    <n v="10275"/>
    <s v="5101-01"/>
    <n v="0"/>
    <n v="31084"/>
    <s v="Centralización ventas febrero 2026  #37954 - valor neto"/>
    <n v="-31084"/>
    <s v="EERR"/>
    <n v="31084"/>
    <x v="123"/>
  </r>
  <r>
    <n v="2026"/>
    <n v="2"/>
    <s v="28-02-2026"/>
    <n v="10276"/>
    <s v="5101-01"/>
    <n v="0"/>
    <n v="31084"/>
    <s v="Centralización ventas febrero 2026  #37955 - valor neto"/>
    <n v="-31084"/>
    <s v="EERR"/>
    <n v="31084"/>
    <x v="123"/>
  </r>
  <r>
    <n v="2026"/>
    <n v="2"/>
    <s v="28-02-2026"/>
    <n v="10277"/>
    <s v="5101-01"/>
    <n v="0"/>
    <n v="32765"/>
    <s v="Centralización ventas febrero 2026  #37956 - valor neto"/>
    <n v="-32765"/>
    <s v="EERR"/>
    <n v="32765"/>
    <x v="123"/>
  </r>
  <r>
    <n v="2026"/>
    <n v="2"/>
    <s v="28-02-2026"/>
    <n v="10278"/>
    <s v="5101-01"/>
    <n v="0"/>
    <n v="26882"/>
    <s v="Centralización ventas febrero 2026  #37957 - valor neto"/>
    <n v="-26882"/>
    <s v="EERR"/>
    <n v="26882"/>
    <x v="123"/>
  </r>
  <r>
    <n v="2026"/>
    <n v="2"/>
    <s v="28-02-2026"/>
    <n v="10279"/>
    <s v="5101-01"/>
    <n v="0"/>
    <n v="18479"/>
    <s v="Centralización ventas febrero 2026  #37958 - valor neto"/>
    <n v="-18479"/>
    <s v="EERR"/>
    <n v="18479"/>
    <x v="123"/>
  </r>
  <r>
    <n v="2026"/>
    <n v="2"/>
    <s v="28-02-2026"/>
    <n v="10280"/>
    <s v="5101-01"/>
    <n v="0"/>
    <n v="27723"/>
    <s v="Centralización ventas febrero 2026  #37960 - valor neto"/>
    <n v="-27723"/>
    <s v="EERR"/>
    <n v="27723"/>
    <x v="123"/>
  </r>
  <r>
    <n v="2026"/>
    <n v="2"/>
    <s v="28-02-2026"/>
    <n v="10281"/>
    <s v="5101-01"/>
    <n v="0"/>
    <n v="46210"/>
    <s v="Centralización ventas febrero 2026  #37961 - valor neto"/>
    <n v="-46210"/>
    <s v="EERR"/>
    <n v="46210"/>
    <x v="123"/>
  </r>
  <r>
    <n v="2026"/>
    <n v="2"/>
    <s v="28-02-2026"/>
    <n v="10282"/>
    <s v="5101-01"/>
    <n v="8395"/>
    <n v="0"/>
    <s v="Centralización ventas febrero 2026  #4464 - valor neto"/>
    <n v="8395"/>
    <s v="EERR"/>
    <n v="-8395"/>
    <x v="123"/>
  </r>
  <r>
    <n v="2026"/>
    <n v="2"/>
    <s v="28-02-2026"/>
    <n v="10283"/>
    <s v="5101-01"/>
    <n v="8395"/>
    <n v="0"/>
    <s v="Centralización ventas febrero 2026  #4465 - valor neto"/>
    <n v="8395"/>
    <s v="EERR"/>
    <n v="-8395"/>
    <x v="123"/>
  </r>
  <r>
    <n v="2026"/>
    <n v="2"/>
    <s v="28-02-2026"/>
    <n v="10284"/>
    <s v="5101-01"/>
    <n v="8395"/>
    <n v="0"/>
    <s v="Centralización ventas febrero 2026  #4466 - valor neto"/>
    <n v="8395"/>
    <s v="EERR"/>
    <n v="-8395"/>
    <x v="123"/>
  </r>
  <r>
    <n v="2026"/>
    <n v="2"/>
    <s v="28-02-2026"/>
    <n v="10285"/>
    <s v="5101-01"/>
    <n v="33605"/>
    <n v="0"/>
    <s v="Centralización ventas febrero 2026  #4467 - valor neto"/>
    <n v="33605"/>
    <s v="EERR"/>
    <n v="-33605"/>
    <x v="123"/>
  </r>
  <r>
    <n v="2026"/>
    <n v="2"/>
    <s v="28-02-2026"/>
    <n v="10286"/>
    <s v="5101-01"/>
    <n v="33605"/>
    <n v="0"/>
    <s v="Centralización ventas febrero 2026  #4468 - valor neto"/>
    <n v="33605"/>
    <s v="EERR"/>
    <n v="-33605"/>
    <x v="123"/>
  </r>
  <r>
    <n v="2026"/>
    <n v="2"/>
    <s v="28-02-2026"/>
    <n v="10287"/>
    <s v="5101-01"/>
    <n v="3792"/>
    <n v="0"/>
    <s v="Centralización ventas febrero 2026  #4469 - valor neto"/>
    <n v="3792"/>
    <s v="EERR"/>
    <n v="-3792"/>
    <x v="123"/>
  </r>
  <r>
    <n v="2026"/>
    <n v="2"/>
    <s v="28-02-2026"/>
    <n v="10288"/>
    <s v="5101-01"/>
    <n v="32765"/>
    <n v="0"/>
    <s v="Centralización ventas febrero 2026  #4470 - valor neto"/>
    <n v="32765"/>
    <s v="EERR"/>
    <n v="-32765"/>
    <x v="123"/>
  </r>
  <r>
    <n v="2026"/>
    <n v="2"/>
    <s v="28-02-2026"/>
    <n v="10289"/>
    <s v="5101-01"/>
    <n v="18479"/>
    <n v="0"/>
    <s v="Centralización ventas febrero 2026  #4471 - valor neto"/>
    <n v="18479"/>
    <s v="EERR"/>
    <n v="-18479"/>
    <x v="123"/>
  </r>
  <r>
    <n v="2026"/>
    <n v="2"/>
    <s v="28-02-2026"/>
    <n v="10290"/>
    <s v="5101-01"/>
    <n v="33605"/>
    <n v="0"/>
    <s v="Centralización ventas febrero 2026  #4473 - valor neto"/>
    <n v="33605"/>
    <s v="EERR"/>
    <n v="-33605"/>
    <x v="123"/>
  </r>
  <r>
    <n v="2026"/>
    <n v="2"/>
    <s v="28-02-2026"/>
    <n v="10291"/>
    <s v="5101-01"/>
    <n v="36966"/>
    <n v="0"/>
    <s v="Centralización ventas febrero 2026  #4474 - valor neto"/>
    <n v="36966"/>
    <s v="EERR"/>
    <n v="-36966"/>
    <x v="123"/>
  </r>
  <r>
    <n v="2026"/>
    <n v="2"/>
    <s v="28-02-2026"/>
    <n v="10292"/>
    <s v="5101-01"/>
    <n v="22900"/>
    <n v="0"/>
    <s v="Centralización ventas febrero 2026  #4475 - valor neto"/>
    <n v="22900"/>
    <s v="EERR"/>
    <n v="-22900"/>
    <x v="123"/>
  </r>
  <r>
    <n v="2026"/>
    <n v="2"/>
    <s v="28-02-2026"/>
    <n v="10293"/>
    <s v="5101-01"/>
    <n v="15954"/>
    <n v="0"/>
    <s v="Centralización ventas febrero 2026  #4476 - valor neto"/>
    <n v="15954"/>
    <s v="EERR"/>
    <n v="-15954"/>
    <x v="123"/>
  </r>
  <r>
    <n v="2026"/>
    <n v="2"/>
    <s v="28-02-2026"/>
    <n v="10294"/>
    <s v="5101-01"/>
    <n v="19311"/>
    <n v="0"/>
    <s v="Centralización ventas febrero 2026  #4477 - valor neto"/>
    <n v="19311"/>
    <s v="EERR"/>
    <n v="-19311"/>
    <x v="123"/>
  </r>
  <r>
    <n v="2026"/>
    <n v="2"/>
    <s v="28-02-2026"/>
    <n v="10295"/>
    <s v="5101-01"/>
    <n v="19312"/>
    <n v="0"/>
    <s v="Centralización ventas febrero 2026  #4478 - valor neto"/>
    <n v="19312"/>
    <s v="EERR"/>
    <n v="-19312"/>
    <x v="123"/>
  </r>
  <r>
    <n v="2026"/>
    <n v="2"/>
    <s v="28-02-2026"/>
    <n v="10296"/>
    <s v="5101-01"/>
    <n v="50420"/>
    <n v="0"/>
    <s v="Centralización ventas febrero 2026  #4480 - valor neto"/>
    <n v="50420"/>
    <s v="EERR"/>
    <n v="-50420"/>
    <x v="123"/>
  </r>
  <r>
    <n v="2026"/>
    <n v="2"/>
    <s v="28-02-2026"/>
    <n v="10297"/>
    <s v="5101-01"/>
    <n v="20151"/>
    <n v="0"/>
    <s v="Centralización ventas febrero 2026  #4481 - valor neto"/>
    <n v="20151"/>
    <s v="EERR"/>
    <n v="-20151"/>
    <x v="123"/>
  </r>
  <r>
    <n v="2026"/>
    <n v="2"/>
    <s v="28-02-2026"/>
    <n v="10298"/>
    <s v="5101-01"/>
    <n v="20151"/>
    <n v="0"/>
    <s v="Centralización ventas febrero 2026  #4482 - valor neto"/>
    <n v="20151"/>
    <s v="EERR"/>
    <n v="-20151"/>
    <x v="123"/>
  </r>
  <r>
    <n v="2026"/>
    <n v="2"/>
    <s v="28-02-2026"/>
    <n v="10299"/>
    <s v="5101-01"/>
    <n v="84028"/>
    <n v="0"/>
    <s v="Centralización ventas febrero 2026  #4483 - valor neto"/>
    <n v="84028"/>
    <s v="EERR"/>
    <n v="-84028"/>
    <x v="123"/>
  </r>
  <r>
    <n v="2026"/>
    <n v="2"/>
    <s v="28-02-2026"/>
    <n v="10300"/>
    <s v="5101-01"/>
    <n v="19311"/>
    <n v="0"/>
    <s v="Centralización ventas febrero 2026  #4484 - valor neto"/>
    <n v="19311"/>
    <s v="EERR"/>
    <n v="-19311"/>
    <x v="123"/>
  </r>
  <r>
    <n v="2026"/>
    <n v="2"/>
    <s v="28-02-2026"/>
    <n v="10301"/>
    <s v="5101-01"/>
    <n v="19311"/>
    <n v="0"/>
    <s v="Centralización ventas febrero 2026  #4485 - valor neto"/>
    <n v="19311"/>
    <s v="EERR"/>
    <n v="-19311"/>
    <x v="123"/>
  </r>
  <r>
    <n v="2026"/>
    <n v="2"/>
    <s v="28-02-2026"/>
    <n v="10302"/>
    <s v="5101-01"/>
    <n v="19311"/>
    <n v="0"/>
    <s v="Centralización ventas febrero 2026  #4486 - valor neto"/>
    <n v="19311"/>
    <s v="EERR"/>
    <n v="-19311"/>
    <x v="123"/>
  </r>
  <r>
    <n v="2026"/>
    <n v="2"/>
    <s v="28-02-2026"/>
    <n v="10303"/>
    <s v="5101-01"/>
    <n v="33605"/>
    <n v="0"/>
    <s v="Centralización ventas febrero 2026  #4487 - valor neto"/>
    <n v="33605"/>
    <s v="EERR"/>
    <n v="-33605"/>
    <x v="123"/>
  </r>
  <r>
    <n v="2026"/>
    <n v="2"/>
    <s v="28-02-2026"/>
    <n v="10304"/>
    <s v="5101-01"/>
    <n v="33605"/>
    <n v="0"/>
    <s v="Centralización ventas febrero 2026  #4488 - valor neto"/>
    <n v="33605"/>
    <s v="EERR"/>
    <n v="-33605"/>
    <x v="123"/>
  </r>
  <r>
    <n v="2026"/>
    <n v="2"/>
    <s v="28-02-2026"/>
    <n v="10305"/>
    <s v="5101-01"/>
    <n v="33605"/>
    <n v="0"/>
    <s v="Centralización ventas febrero 2026  #4489 - valor neto"/>
    <n v="33605"/>
    <s v="EERR"/>
    <n v="-33605"/>
    <x v="123"/>
  </r>
  <r>
    <n v="2026"/>
    <n v="2"/>
    <s v="28-02-2026"/>
    <n v="10306"/>
    <s v="5101-01"/>
    <n v="28546"/>
    <n v="0"/>
    <s v="Centralización ventas febrero 2026  #4490 - valor neto"/>
    <n v="28546"/>
    <s v="EERR"/>
    <n v="-28546"/>
    <x v="123"/>
  </r>
  <r>
    <n v="2026"/>
    <n v="2"/>
    <s v="28-02-2026"/>
    <n v="10307"/>
    <s v="5101-01"/>
    <n v="418301"/>
    <n v="0"/>
    <s v="Centralización ventas febrero 2026  #4491 - valor neto"/>
    <n v="418301"/>
    <s v="EERR"/>
    <n v="-418301"/>
    <x v="123"/>
  </r>
  <r>
    <n v="2026"/>
    <n v="2"/>
    <s v="28-02-2026"/>
    <n v="10308"/>
    <s v="5101-01"/>
    <n v="20992"/>
    <n v="0"/>
    <s v="Centralización ventas febrero 2026  #4492 - valor neto"/>
    <n v="20992"/>
    <s v="EERR"/>
    <n v="-20992"/>
    <x v="123"/>
  </r>
  <r>
    <n v="2026"/>
    <n v="2"/>
    <s v="28-02-2026"/>
    <n v="10309"/>
    <s v="5101-01"/>
    <n v="12597"/>
    <n v="0"/>
    <s v="Centralización ventas febrero 2026  #4493 - valor neto"/>
    <n v="12597"/>
    <s v="EERR"/>
    <n v="-12597"/>
    <x v="123"/>
  </r>
  <r>
    <n v="2026"/>
    <n v="2"/>
    <s v="28-02-2026"/>
    <n v="10310"/>
    <s v="5101-01"/>
    <n v="32748"/>
    <n v="0"/>
    <s v="Centralización ventas febrero 2026  #4494 - valor neto"/>
    <n v="32748"/>
    <s v="EERR"/>
    <n v="-32748"/>
    <x v="123"/>
  </r>
  <r>
    <n v="2026"/>
    <n v="2"/>
    <s v="28-02-2026"/>
    <n v="10311"/>
    <s v="5101-01"/>
    <n v="21000"/>
    <n v="0"/>
    <s v="Centralización ventas febrero 2026  #4495 - valor neto"/>
    <n v="21000"/>
    <s v="EERR"/>
    <n v="-21000"/>
    <x v="123"/>
  </r>
  <r>
    <n v="2026"/>
    <n v="2"/>
    <s v="28-02-2026"/>
    <n v="10312"/>
    <s v="5101-01"/>
    <n v="33605"/>
    <n v="0"/>
    <s v="Centralización ventas febrero 2026  #4496 - valor neto"/>
    <n v="33605"/>
    <s v="EERR"/>
    <n v="-33605"/>
    <x v="123"/>
  </r>
  <r>
    <n v="2026"/>
    <n v="2"/>
    <s v="28-02-2026"/>
    <n v="10313"/>
    <s v="5101-01"/>
    <n v="25210"/>
    <n v="0"/>
    <s v="Centralización ventas febrero 2026  #4497 - valor neto"/>
    <n v="25210"/>
    <s v="EERR"/>
    <n v="-25210"/>
    <x v="123"/>
  </r>
  <r>
    <n v="2026"/>
    <n v="2"/>
    <s v="28-02-2026"/>
    <n v="10314"/>
    <s v="5101-01"/>
    <n v="23529"/>
    <n v="0"/>
    <s v="Centralización ventas febrero 2026  #4498 - valor neto"/>
    <n v="23529"/>
    <s v="EERR"/>
    <n v="-23529"/>
    <x v="123"/>
  </r>
  <r>
    <n v="2026"/>
    <n v="2"/>
    <s v="28-02-2026"/>
    <n v="10315"/>
    <s v="5101-01"/>
    <n v="33681"/>
    <n v="0"/>
    <s v="Centralización ventas febrero 2026  #4499 - valor neto"/>
    <n v="33681"/>
    <s v="EERR"/>
    <n v="-33681"/>
    <x v="123"/>
  </r>
  <r>
    <n v="2026"/>
    <n v="2"/>
    <s v="28-02-2026"/>
    <n v="10316"/>
    <s v="5101-01"/>
    <n v="25210"/>
    <n v="0"/>
    <s v="Centralización ventas febrero 2026  #4500 - valor neto"/>
    <n v="25210"/>
    <s v="EERR"/>
    <n v="-25210"/>
    <x v="123"/>
  </r>
  <r>
    <n v="2026"/>
    <n v="2"/>
    <s v="28-02-2026"/>
    <n v="10317"/>
    <s v="5101-01"/>
    <n v="19311"/>
    <n v="0"/>
    <s v="Centralización ventas febrero 2026  #4502 - valor neto"/>
    <n v="19311"/>
    <s v="EERR"/>
    <n v="-19311"/>
    <x v="123"/>
  </r>
  <r>
    <n v="2026"/>
    <n v="2"/>
    <s v="28-02-2026"/>
    <n v="10318"/>
    <s v="5101-01"/>
    <n v="33613"/>
    <n v="0"/>
    <s v="Centralización ventas febrero 2026  #4503 - valor neto"/>
    <n v="33613"/>
    <s v="EERR"/>
    <n v="-33613"/>
    <x v="123"/>
  </r>
  <r>
    <n v="2026"/>
    <n v="2"/>
    <s v="28-02-2026"/>
    <n v="10319"/>
    <s v="5101-01"/>
    <n v="103345"/>
    <n v="0"/>
    <s v="Centralización ventas febrero 2026  #4504 - valor neto"/>
    <n v="103345"/>
    <s v="EERR"/>
    <n v="-103345"/>
    <x v="123"/>
  </r>
  <r>
    <n v="2026"/>
    <n v="2"/>
    <s v="28-02-2026"/>
    <n v="10320"/>
    <s v="5101-01"/>
    <n v="12597"/>
    <n v="0"/>
    <s v="Centralización ventas febrero 2026  #4505 - valor neto"/>
    <n v="12597"/>
    <s v="EERR"/>
    <n v="-12597"/>
    <x v="123"/>
  </r>
  <r>
    <n v="2026"/>
    <n v="2"/>
    <s v="28-02-2026"/>
    <n v="10321"/>
    <s v="5101-01"/>
    <n v="45378"/>
    <n v="0"/>
    <s v="Centralización ventas febrero 2026  #4506 - valor neto"/>
    <n v="45378"/>
    <s v="EERR"/>
    <n v="-45378"/>
    <x v="123"/>
  </r>
  <r>
    <n v="2026"/>
    <n v="2"/>
    <s v="28-02-2026"/>
    <n v="10322"/>
    <s v="5101-01"/>
    <n v="15118"/>
    <n v="0"/>
    <s v="Centralización ventas febrero 2026  #4507 - valor neto"/>
    <n v="15118"/>
    <s v="EERR"/>
    <n v="-15118"/>
    <x v="123"/>
  </r>
  <r>
    <n v="2026"/>
    <n v="2"/>
    <s v="28-02-2026"/>
    <n v="10323"/>
    <s v="5101-01"/>
    <n v="19311"/>
    <n v="0"/>
    <s v="Centralización ventas febrero 2026  #4508 - valor neto"/>
    <n v="19311"/>
    <s v="EERR"/>
    <n v="-19311"/>
    <x v="123"/>
  </r>
  <r>
    <n v="2026"/>
    <n v="2"/>
    <s v="28-02-2026"/>
    <n v="10324"/>
    <s v="5101-01"/>
    <n v="42857"/>
    <n v="0"/>
    <s v="Centralización ventas febrero 2026  #4509 - valor neto"/>
    <n v="42857"/>
    <s v="EERR"/>
    <n v="-42857"/>
    <x v="123"/>
  </r>
  <r>
    <n v="2026"/>
    <n v="2"/>
    <s v="28-02-2026"/>
    <n v="10325"/>
    <s v="5101-01"/>
    <n v="35252"/>
    <n v="0"/>
    <s v="Centralización ventas febrero 2026  #4511 - valor neto"/>
    <n v="35252"/>
    <s v="EERR"/>
    <n v="-35252"/>
    <x v="123"/>
  </r>
  <r>
    <n v="2026"/>
    <n v="2"/>
    <s v="28-02-2026"/>
    <n v="10326"/>
    <s v="5101-01"/>
    <n v="28563"/>
    <n v="0"/>
    <s v="Centralización ventas febrero 2026  #4512 - valor neto"/>
    <n v="28563"/>
    <s v="EERR"/>
    <n v="-28563"/>
    <x v="123"/>
  </r>
  <r>
    <n v="2026"/>
    <n v="2"/>
    <s v="28-02-2026"/>
    <n v="10327"/>
    <s v="5101-01"/>
    <n v="33613"/>
    <n v="0"/>
    <s v="Centralización ventas febrero 2026  #4513 - valor neto"/>
    <n v="33613"/>
    <s v="EERR"/>
    <n v="-33613"/>
    <x v="123"/>
  </r>
  <r>
    <n v="2026"/>
    <n v="2"/>
    <s v="28-02-2026"/>
    <n v="10328"/>
    <s v="5101-01"/>
    <n v="33613"/>
    <n v="0"/>
    <s v="Centralización ventas febrero 2026  #4514 - valor neto"/>
    <n v="33613"/>
    <s v="EERR"/>
    <n v="-33613"/>
    <x v="123"/>
  </r>
  <r>
    <n v="2026"/>
    <n v="2"/>
    <s v="28-02-2026"/>
    <n v="10329"/>
    <s v="5101-01"/>
    <n v="19677"/>
    <n v="0"/>
    <s v="Centralización ventas febrero 2026  #4515 - valor neto"/>
    <n v="19677"/>
    <s v="EERR"/>
    <n v="-19677"/>
    <x v="123"/>
  </r>
  <r>
    <n v="2026"/>
    <n v="2"/>
    <s v="28-02-2026"/>
    <n v="10330"/>
    <s v="5101-01"/>
    <n v="25210"/>
    <n v="0"/>
    <s v="Centralización ventas febrero 2026  #4516 - valor neto"/>
    <n v="25210"/>
    <s v="EERR"/>
    <n v="-25210"/>
    <x v="123"/>
  </r>
  <r>
    <n v="2026"/>
    <n v="2"/>
    <s v="28-02-2026"/>
    <n v="10331"/>
    <s v="5101-01"/>
    <n v="7978"/>
    <n v="0"/>
    <s v="Centralización ventas febrero 2026  #4517 - valor neto"/>
    <n v="7978"/>
    <s v="EERR"/>
    <n v="-7978"/>
    <x v="123"/>
  </r>
  <r>
    <n v="2026"/>
    <n v="2"/>
    <s v="28-02-2026"/>
    <n v="10332"/>
    <s v="5101-01"/>
    <n v="16382"/>
    <n v="0"/>
    <s v="Centralización ventas febrero 2026  #4518 - valor neto"/>
    <n v="16382"/>
    <s v="EERR"/>
    <n v="-16382"/>
    <x v="123"/>
  </r>
  <r>
    <n v="2026"/>
    <n v="2"/>
    <s v="28-02-2026"/>
    <n v="10333"/>
    <s v="5101-01"/>
    <n v="19311"/>
    <n v="0"/>
    <s v="Centralización ventas febrero 2026  #4519 - valor neto"/>
    <n v="19311"/>
    <s v="EERR"/>
    <n v="-19311"/>
    <x v="123"/>
  </r>
  <r>
    <n v="2026"/>
    <n v="2"/>
    <s v="28-02-2026"/>
    <n v="10334"/>
    <s v="5101-01"/>
    <n v="29395"/>
    <n v="0"/>
    <s v="Centralización ventas febrero 2026  #4521 - valor neto"/>
    <n v="29395"/>
    <s v="EERR"/>
    <n v="-29395"/>
    <x v="123"/>
  </r>
  <r>
    <n v="2026"/>
    <n v="2"/>
    <s v="28-02-2026"/>
    <n v="10335"/>
    <s v="5101-01"/>
    <n v="25202"/>
    <n v="0"/>
    <s v="Centralización ventas febrero 2026  #4522 - valor neto"/>
    <n v="25202"/>
    <s v="EERR"/>
    <n v="-25202"/>
    <x v="123"/>
  </r>
  <r>
    <n v="2026"/>
    <n v="2"/>
    <s v="28-02-2026"/>
    <n v="10336"/>
    <s v="5101-01"/>
    <n v="12597"/>
    <n v="0"/>
    <s v="Centralización ventas febrero 2026  #4523 - valor neto"/>
    <n v="12597"/>
    <s v="EERR"/>
    <n v="-12597"/>
    <x v="123"/>
  </r>
  <r>
    <n v="2026"/>
    <n v="2"/>
    <s v="28-02-2026"/>
    <n v="10337"/>
    <s v="5101-01"/>
    <n v="21000"/>
    <n v="0"/>
    <s v="Centralización ventas febrero 2026  #4524 - valor neto"/>
    <n v="21000"/>
    <s v="EERR"/>
    <n v="-21000"/>
    <x v="123"/>
  </r>
  <r>
    <n v="2026"/>
    <n v="2"/>
    <s v="28-02-2026"/>
    <n v="10338"/>
    <s v="5101-01"/>
    <n v="0"/>
    <n v="43681"/>
    <s v="Centralización ventas febrero 2026  #37339 - valor neto"/>
    <n v="-43681"/>
    <s v="EERR"/>
    <n v="43681"/>
    <x v="123"/>
  </r>
  <r>
    <n v="2026"/>
    <n v="2"/>
    <s v="28-02-2026"/>
    <n v="10339"/>
    <s v="5101-01"/>
    <n v="0"/>
    <n v="33613"/>
    <s v="Centralización ventas febrero 2026  #37347 - valor neto"/>
    <n v="-33613"/>
    <s v="EERR"/>
    <n v="33613"/>
    <x v="123"/>
  </r>
  <r>
    <n v="2026"/>
    <n v="2"/>
    <s v="28-02-2026"/>
    <n v="10340"/>
    <s v="5101-01"/>
    <n v="0"/>
    <n v="28563"/>
    <s v="Centralización ventas febrero 2026  #37349 - valor neto"/>
    <n v="-28563"/>
    <s v="EERR"/>
    <n v="28563"/>
    <x v="123"/>
  </r>
  <r>
    <n v="2026"/>
    <n v="2"/>
    <s v="28-02-2026"/>
    <n v="10341"/>
    <s v="5101-01"/>
    <n v="0"/>
    <n v="168730"/>
    <s v="Centralización ventas febrero 2026  #37350 - valor neto"/>
    <n v="-168730"/>
    <s v="EERR"/>
    <n v="168730"/>
    <x v="123"/>
  </r>
  <r>
    <n v="2026"/>
    <n v="2"/>
    <s v="28-02-2026"/>
    <n v="10342"/>
    <s v="5101-01"/>
    <n v="0"/>
    <n v="72313"/>
    <s v="Centralización ventas febrero 2026  #37407 - valor neto"/>
    <n v="-72313"/>
    <s v="EERR"/>
    <n v="72313"/>
    <x v="123"/>
  </r>
  <r>
    <n v="2026"/>
    <n v="2"/>
    <s v="28-02-2026"/>
    <n v="10343"/>
    <s v="5101-01"/>
    <n v="0"/>
    <n v="36974"/>
    <s v="Centralización ventas febrero 2026  #37411 - valor neto"/>
    <n v="-36974"/>
    <s v="EERR"/>
    <n v="36974"/>
    <x v="123"/>
  </r>
  <r>
    <n v="2026"/>
    <n v="2"/>
    <s v="28-02-2026"/>
    <n v="10344"/>
    <s v="5101-01"/>
    <n v="0"/>
    <n v="31053"/>
    <s v="Centralización ventas febrero 2026  #37417 - valor neto"/>
    <n v="-31053"/>
    <s v="EERR"/>
    <n v="31053"/>
    <x v="123"/>
  </r>
  <r>
    <n v="2026"/>
    <n v="2"/>
    <s v="28-02-2026"/>
    <n v="10345"/>
    <s v="5101-01"/>
    <n v="0"/>
    <n v="15118"/>
    <s v="Centralización ventas febrero 2026  #37419 - valor neto"/>
    <n v="-15118"/>
    <s v="EERR"/>
    <n v="15118"/>
    <x v="123"/>
  </r>
  <r>
    <n v="2026"/>
    <n v="2"/>
    <s v="28-02-2026"/>
    <n v="10346"/>
    <s v="5101-01"/>
    <n v="0"/>
    <n v="39908"/>
    <s v="Centralización ventas febrero 2026  #37421 - valor neto"/>
    <n v="-39908"/>
    <s v="EERR"/>
    <n v="39908"/>
    <x v="123"/>
  </r>
  <r>
    <n v="2026"/>
    <n v="2"/>
    <s v="28-02-2026"/>
    <n v="10347"/>
    <s v="5101-01"/>
    <n v="0"/>
    <n v="31076"/>
    <s v="Centralización ventas febrero 2026  #37423 - valor neto"/>
    <n v="-31076"/>
    <s v="EERR"/>
    <n v="31076"/>
    <x v="123"/>
  </r>
  <r>
    <n v="2026"/>
    <n v="2"/>
    <s v="28-02-2026"/>
    <n v="10348"/>
    <s v="5101-01"/>
    <n v="0"/>
    <n v="21000"/>
    <s v="Centralización ventas febrero 2026  #37425 - valor neto"/>
    <n v="-21000"/>
    <s v="EERR"/>
    <n v="21000"/>
    <x v="123"/>
  </r>
  <r>
    <n v="2026"/>
    <n v="2"/>
    <s v="28-02-2026"/>
    <n v="10349"/>
    <s v="5101-01"/>
    <n v="0"/>
    <n v="25210"/>
    <s v="Centralización ventas febrero 2026  #37429 - valor neto"/>
    <n v="-25210"/>
    <s v="EERR"/>
    <n v="25210"/>
    <x v="123"/>
  </r>
  <r>
    <n v="2026"/>
    <n v="2"/>
    <s v="28-02-2026"/>
    <n v="10350"/>
    <s v="5101-01"/>
    <n v="0"/>
    <n v="25210"/>
    <s v="Centralización ventas febrero 2026  #37436 - valor neto"/>
    <n v="-25210"/>
    <s v="EERR"/>
    <n v="25210"/>
    <x v="123"/>
  </r>
  <r>
    <n v="2026"/>
    <n v="2"/>
    <s v="28-02-2026"/>
    <n v="10351"/>
    <s v="5101-01"/>
    <n v="0"/>
    <n v="33613"/>
    <s v="Centralización ventas febrero 2026  #37442 - valor neto"/>
    <n v="-33613"/>
    <s v="EERR"/>
    <n v="33613"/>
    <x v="123"/>
  </r>
  <r>
    <n v="2026"/>
    <n v="2"/>
    <s v="28-02-2026"/>
    <n v="10352"/>
    <s v="5101-01"/>
    <n v="0"/>
    <n v="50404"/>
    <s v="Centralización ventas febrero 2026  #37446 - valor neto"/>
    <n v="-50404"/>
    <s v="EERR"/>
    <n v="50404"/>
    <x v="123"/>
  </r>
  <r>
    <n v="2026"/>
    <n v="2"/>
    <s v="28-02-2026"/>
    <n v="10353"/>
    <s v="5101-01"/>
    <n v="0"/>
    <n v="27723"/>
    <s v="Centralización ventas febrero 2026  #37447 - valor neto"/>
    <n v="-27723"/>
    <s v="EERR"/>
    <n v="27723"/>
    <x v="123"/>
  </r>
  <r>
    <n v="2026"/>
    <n v="2"/>
    <s v="28-02-2026"/>
    <n v="10354"/>
    <s v="5101-01"/>
    <n v="0"/>
    <n v="28563"/>
    <s v="Centralización ventas febrero 2026  #37464 - valor neto"/>
    <n v="-28563"/>
    <s v="EERR"/>
    <n v="28563"/>
    <x v="123"/>
  </r>
  <r>
    <n v="2026"/>
    <n v="2"/>
    <s v="28-02-2026"/>
    <n v="10355"/>
    <s v="5101-01"/>
    <n v="0"/>
    <n v="25210"/>
    <s v="Centralización ventas febrero 2026  #37475 - valor neto"/>
    <n v="-25210"/>
    <s v="EERR"/>
    <n v="25210"/>
    <x v="123"/>
  </r>
  <r>
    <n v="2026"/>
    <n v="2"/>
    <s v="28-02-2026"/>
    <n v="10356"/>
    <s v="5101-01"/>
    <n v="0"/>
    <n v="25210"/>
    <s v="Centralización ventas febrero 2026  #37479 - valor neto"/>
    <n v="-25210"/>
    <s v="EERR"/>
    <n v="25210"/>
    <x v="123"/>
  </r>
  <r>
    <n v="2026"/>
    <n v="2"/>
    <s v="28-02-2026"/>
    <n v="10357"/>
    <s v="5101-01"/>
    <n v="0"/>
    <n v="33613"/>
    <s v="Centralización ventas febrero 2026  #37482 - valor neto"/>
    <n v="-33613"/>
    <s v="EERR"/>
    <n v="33613"/>
    <x v="123"/>
  </r>
  <r>
    <n v="2026"/>
    <n v="2"/>
    <s v="28-02-2026"/>
    <n v="10358"/>
    <s v="5101-01"/>
    <n v="0"/>
    <n v="25210"/>
    <s v="Centralización ventas febrero 2026  #37483 - valor neto"/>
    <n v="-25210"/>
    <s v="EERR"/>
    <n v="25210"/>
    <x v="123"/>
  </r>
  <r>
    <n v="2026"/>
    <n v="2"/>
    <s v="28-02-2026"/>
    <n v="10359"/>
    <s v="5101-01"/>
    <n v="0"/>
    <n v="33613"/>
    <s v="Centralización ventas febrero 2026  #37485 - valor neto"/>
    <n v="-33613"/>
    <s v="EERR"/>
    <n v="33613"/>
    <x v="123"/>
  </r>
  <r>
    <n v="2026"/>
    <n v="2"/>
    <s v="28-02-2026"/>
    <n v="10360"/>
    <s v="5101-01"/>
    <n v="0"/>
    <n v="21000"/>
    <s v="Centralización ventas febrero 2026  #37498 - valor neto"/>
    <n v="-21000"/>
    <s v="EERR"/>
    <n v="21000"/>
    <x v="123"/>
  </r>
  <r>
    <n v="2026"/>
    <n v="2"/>
    <s v="28-02-2026"/>
    <n v="10361"/>
    <s v="5101-01"/>
    <n v="0"/>
    <n v="100210"/>
    <s v="Centralización ventas febrero 2026  #37510 - valor neto"/>
    <n v="-100210"/>
    <s v="EERR"/>
    <n v="100210"/>
    <x v="123"/>
  </r>
  <r>
    <n v="2026"/>
    <n v="2"/>
    <s v="28-02-2026"/>
    <n v="10362"/>
    <s v="5101-01"/>
    <n v="0"/>
    <n v="29412"/>
    <s v="Centralización ventas febrero 2026  #37531 - valor neto"/>
    <n v="-29412"/>
    <s v="EERR"/>
    <n v="29412"/>
    <x v="123"/>
  </r>
  <r>
    <n v="2026"/>
    <n v="2"/>
    <s v="28-02-2026"/>
    <n v="10363"/>
    <s v="5101-01"/>
    <n v="0"/>
    <n v="33605"/>
    <s v="Centralización ventas febrero 2026  #37555 - valor neto"/>
    <n v="-33605"/>
    <s v="EERR"/>
    <n v="33605"/>
    <x v="123"/>
  </r>
  <r>
    <n v="2026"/>
    <n v="2"/>
    <s v="28-02-2026"/>
    <n v="10364"/>
    <s v="5101-01"/>
    <n v="0"/>
    <n v="39487"/>
    <s v="Centralización ventas febrero 2026  #37559 - valor neto"/>
    <n v="-39487"/>
    <s v="EERR"/>
    <n v="39487"/>
    <x v="123"/>
  </r>
  <r>
    <n v="2026"/>
    <n v="2"/>
    <s v="28-02-2026"/>
    <n v="10365"/>
    <s v="5101-01"/>
    <n v="0"/>
    <n v="21849"/>
    <s v="Centralización ventas febrero 2026  #37565 - valor neto"/>
    <n v="-21849"/>
    <s v="EERR"/>
    <n v="21849"/>
    <x v="123"/>
  </r>
  <r>
    <n v="2026"/>
    <n v="2"/>
    <s v="28-02-2026"/>
    <n v="10366"/>
    <s v="5101-01"/>
    <n v="0"/>
    <n v="12597"/>
    <s v="Centralización ventas febrero 2026  #37581 - valor neto"/>
    <n v="-12597"/>
    <s v="EERR"/>
    <n v="12597"/>
    <x v="123"/>
  </r>
  <r>
    <n v="2026"/>
    <n v="2"/>
    <s v="28-02-2026"/>
    <n v="10367"/>
    <s v="5101-01"/>
    <n v="0"/>
    <n v="32756"/>
    <s v="Centralización ventas febrero 2026  #37584 - valor neto"/>
    <n v="-32756"/>
    <s v="EERR"/>
    <n v="32756"/>
    <x v="123"/>
  </r>
  <r>
    <n v="2026"/>
    <n v="2"/>
    <s v="28-02-2026"/>
    <n v="10368"/>
    <s v="5101-01"/>
    <n v="0"/>
    <n v="18479"/>
    <s v="Centralización ventas febrero 2026  #37590 - valor neto"/>
    <n v="-18479"/>
    <s v="EERR"/>
    <n v="18479"/>
    <x v="123"/>
  </r>
  <r>
    <n v="2026"/>
    <n v="2"/>
    <s v="28-02-2026"/>
    <n v="10369"/>
    <s v="5101-01"/>
    <n v="0"/>
    <n v="25210"/>
    <s v="Centralización ventas febrero 2026  #37595 - valor neto"/>
    <n v="-25210"/>
    <s v="EERR"/>
    <n v="25210"/>
    <x v="123"/>
  </r>
  <r>
    <n v="2026"/>
    <n v="2"/>
    <s v="28-02-2026"/>
    <n v="10370"/>
    <s v="5101-01"/>
    <n v="0"/>
    <n v="27715"/>
    <s v="Centralización ventas febrero 2026  #37598 - valor neto"/>
    <n v="-27715"/>
    <s v="EERR"/>
    <n v="27715"/>
    <x v="123"/>
  </r>
  <r>
    <n v="2026"/>
    <n v="2"/>
    <s v="28-02-2026"/>
    <n v="10371"/>
    <s v="5101-01"/>
    <n v="0"/>
    <n v="39487"/>
    <s v="Centralización ventas febrero 2026  #37613 - valor neto"/>
    <n v="-39487"/>
    <s v="EERR"/>
    <n v="39487"/>
    <x v="123"/>
  </r>
  <r>
    <n v="2026"/>
    <n v="2"/>
    <s v="28-02-2026"/>
    <n v="10372"/>
    <s v="5101-01"/>
    <n v="0"/>
    <n v="516645"/>
    <s v="Centralización ventas febrero 2026  #37622 - valor neto"/>
    <n v="-516645"/>
    <s v="EERR"/>
    <n v="516645"/>
    <x v="123"/>
  </r>
  <r>
    <n v="2026"/>
    <n v="2"/>
    <s v="28-02-2026"/>
    <n v="10373"/>
    <s v="5101-01"/>
    <n v="0"/>
    <n v="18479"/>
    <s v="Centralización ventas febrero 2026  #37625 - valor neto"/>
    <n v="-18479"/>
    <s v="EERR"/>
    <n v="18479"/>
    <x v="123"/>
  </r>
  <r>
    <n v="2026"/>
    <n v="2"/>
    <s v="28-02-2026"/>
    <n v="10374"/>
    <s v="5101-01"/>
    <n v="0"/>
    <n v="30244"/>
    <s v="Centralización ventas febrero 2026  #37627 - valor neto"/>
    <n v="-30244"/>
    <s v="EERR"/>
    <n v="30244"/>
    <x v="123"/>
  </r>
  <r>
    <n v="2026"/>
    <n v="2"/>
    <s v="28-02-2026"/>
    <n v="10375"/>
    <s v="5101-01"/>
    <n v="0"/>
    <n v="18479"/>
    <s v="Centralización ventas febrero 2026  #37632 - valor neto"/>
    <n v="-18479"/>
    <s v="EERR"/>
    <n v="18479"/>
    <x v="123"/>
  </r>
  <r>
    <n v="2026"/>
    <n v="2"/>
    <s v="28-02-2026"/>
    <n v="10376"/>
    <s v="5101-01"/>
    <n v="0"/>
    <n v="163866"/>
    <s v="Centralización ventas febrero 2026  #37634 - valor neto"/>
    <n v="-163866"/>
    <s v="EERR"/>
    <n v="163866"/>
    <x v="123"/>
  </r>
  <r>
    <n v="2026"/>
    <n v="2"/>
    <s v="28-02-2026"/>
    <n v="10377"/>
    <s v="5101-01"/>
    <n v="0"/>
    <n v="26866"/>
    <s v="Centralización ventas febrero 2026  #37652 - valor neto"/>
    <n v="-26866"/>
    <s v="EERR"/>
    <n v="26866"/>
    <x v="123"/>
  </r>
  <r>
    <n v="2026"/>
    <n v="2"/>
    <s v="28-02-2026"/>
    <n v="10378"/>
    <s v="5101-01"/>
    <n v="0"/>
    <n v="24361"/>
    <s v="Centralización ventas febrero 2026  #37659 - valor neto"/>
    <n v="-24361"/>
    <s v="EERR"/>
    <n v="24361"/>
    <x v="123"/>
  </r>
  <r>
    <n v="2026"/>
    <n v="2"/>
    <s v="28-02-2026"/>
    <n v="10379"/>
    <s v="5101-01"/>
    <n v="0"/>
    <n v="21000"/>
    <s v="Centralización ventas febrero 2026  #37664 - valor neto"/>
    <n v="-21000"/>
    <s v="EERR"/>
    <n v="21000"/>
    <x v="123"/>
  </r>
  <r>
    <n v="2026"/>
    <n v="2"/>
    <s v="28-02-2026"/>
    <n v="10380"/>
    <s v="5101-01"/>
    <n v="0"/>
    <n v="25210"/>
    <s v="Centralización ventas febrero 2026  #37680 - valor neto"/>
    <n v="-25210"/>
    <s v="EERR"/>
    <n v="25210"/>
    <x v="123"/>
  </r>
  <r>
    <n v="2026"/>
    <n v="2"/>
    <s v="28-02-2026"/>
    <n v="10381"/>
    <s v="5101-01"/>
    <n v="0"/>
    <n v="75622"/>
    <s v="Centralización ventas febrero 2026  #37689 - valor neto"/>
    <n v="-75622"/>
    <s v="EERR"/>
    <n v="75622"/>
    <x v="123"/>
  </r>
  <r>
    <n v="2026"/>
    <n v="2"/>
    <s v="28-02-2026"/>
    <n v="10382"/>
    <s v="5101-01"/>
    <n v="0"/>
    <n v="58807"/>
    <s v="Centralización ventas febrero 2026  #37698 - valor neto"/>
    <n v="-58807"/>
    <s v="EERR"/>
    <n v="58807"/>
    <x v="123"/>
  </r>
  <r>
    <n v="2026"/>
    <n v="2"/>
    <s v="28-02-2026"/>
    <n v="10383"/>
    <s v="5101-01"/>
    <n v="0"/>
    <n v="93613"/>
    <s v="Centralización ventas febrero 2026  #37725 - valor neto"/>
    <n v="-93613"/>
    <s v="EERR"/>
    <n v="93613"/>
    <x v="123"/>
  </r>
  <r>
    <n v="2026"/>
    <n v="2"/>
    <s v="28-02-2026"/>
    <n v="10384"/>
    <s v="5101-01"/>
    <n v="0"/>
    <n v="21000"/>
    <s v="Centralización ventas febrero 2026  #37734 - valor neto"/>
    <n v="-21000"/>
    <s v="EERR"/>
    <n v="21000"/>
    <x v="123"/>
  </r>
  <r>
    <n v="2026"/>
    <n v="2"/>
    <s v="28-02-2026"/>
    <n v="10385"/>
    <s v="5101-01"/>
    <n v="0"/>
    <n v="18479"/>
    <s v="Centralización ventas febrero 2026  #37758 - valor neto"/>
    <n v="-18479"/>
    <s v="EERR"/>
    <n v="18479"/>
    <x v="123"/>
  </r>
  <r>
    <n v="2026"/>
    <n v="2"/>
    <s v="28-02-2026"/>
    <n v="10386"/>
    <s v="5101-01"/>
    <n v="0"/>
    <n v="25202"/>
    <s v="Centralización ventas febrero 2026  #37765 - valor neto"/>
    <n v="-25202"/>
    <s v="EERR"/>
    <n v="25202"/>
    <x v="123"/>
  </r>
  <r>
    <n v="2026"/>
    <n v="2"/>
    <s v="28-02-2026"/>
    <n v="10387"/>
    <s v="5101-01"/>
    <n v="0"/>
    <n v="21000"/>
    <s v="Centralización ventas febrero 2026  #37790 - valor neto"/>
    <n v="-21000"/>
    <s v="EERR"/>
    <n v="21000"/>
    <x v="123"/>
  </r>
  <r>
    <n v="2026"/>
    <n v="2"/>
    <s v="28-02-2026"/>
    <n v="10388"/>
    <s v="5101-01"/>
    <n v="0"/>
    <n v="25202"/>
    <s v="Centralización ventas febrero 2026  #37791 - valor neto"/>
    <n v="-25202"/>
    <s v="EERR"/>
    <n v="25202"/>
    <x v="123"/>
  </r>
  <r>
    <n v="2026"/>
    <n v="2"/>
    <s v="28-02-2026"/>
    <n v="10389"/>
    <s v="5101-01"/>
    <n v="0"/>
    <n v="28143"/>
    <s v="Centralización ventas febrero 2026  #37795 - valor neto"/>
    <n v="-28143"/>
    <s v="EERR"/>
    <n v="28143"/>
    <x v="123"/>
  </r>
  <r>
    <n v="2026"/>
    <n v="2"/>
    <s v="28-02-2026"/>
    <n v="10390"/>
    <s v="5101-01"/>
    <n v="0"/>
    <n v="24361"/>
    <s v="Centralización ventas febrero 2026  #37796 - valor neto"/>
    <n v="-24361"/>
    <s v="EERR"/>
    <n v="24361"/>
    <x v="123"/>
  </r>
  <r>
    <n v="2026"/>
    <n v="2"/>
    <s v="28-02-2026"/>
    <n v="10391"/>
    <s v="5101-01"/>
    <n v="0"/>
    <n v="18479"/>
    <s v="Centralización ventas febrero 2026  #37797 - valor neto"/>
    <n v="-18479"/>
    <s v="EERR"/>
    <n v="18479"/>
    <x v="123"/>
  </r>
  <r>
    <n v="2026"/>
    <n v="2"/>
    <s v="28-02-2026"/>
    <n v="10392"/>
    <s v="5101-01"/>
    <n v="0"/>
    <n v="59639"/>
    <s v="Centralización ventas febrero 2026  #37798 - valor neto"/>
    <n v="-59639"/>
    <s v="EERR"/>
    <n v="59639"/>
    <x v="123"/>
  </r>
  <r>
    <n v="2026"/>
    <n v="2"/>
    <s v="28-02-2026"/>
    <n v="10393"/>
    <s v="5101-01"/>
    <n v="0"/>
    <n v="25202"/>
    <s v="Centralización ventas febrero 2026  #37799 - valor neto"/>
    <n v="-25202"/>
    <s v="EERR"/>
    <n v="25202"/>
    <x v="123"/>
  </r>
  <r>
    <n v="2026"/>
    <n v="2"/>
    <s v="28-02-2026"/>
    <n v="10394"/>
    <s v="5101-01"/>
    <n v="0"/>
    <n v="24361"/>
    <s v="Centralización ventas febrero 2026  #37800 - valor neto"/>
    <n v="-24361"/>
    <s v="EERR"/>
    <n v="24361"/>
    <x v="123"/>
  </r>
  <r>
    <n v="2026"/>
    <n v="2"/>
    <s v="28-02-2026"/>
    <n v="10395"/>
    <s v="5101-01"/>
    <n v="0"/>
    <n v="139097"/>
    <s v="Centralización ventas febrero 2026  #37801 - valor neto"/>
    <n v="-139097"/>
    <s v="EERR"/>
    <n v="139097"/>
    <x v="123"/>
  </r>
  <r>
    <n v="2026"/>
    <n v="2"/>
    <s v="28-02-2026"/>
    <n v="10396"/>
    <s v="5101-01"/>
    <n v="0"/>
    <n v="24361"/>
    <s v="Centralización ventas febrero 2026  #37802 - valor neto"/>
    <n v="-24361"/>
    <s v="EERR"/>
    <n v="24361"/>
    <x v="123"/>
  </r>
  <r>
    <n v="2026"/>
    <n v="2"/>
    <s v="28-02-2026"/>
    <n v="10397"/>
    <s v="5101-01"/>
    <n v="0"/>
    <n v="58815"/>
    <s v="Centralización ventas febrero 2026  #37803 - valor neto"/>
    <n v="-58815"/>
    <s v="EERR"/>
    <n v="58815"/>
    <x v="123"/>
  </r>
  <r>
    <n v="2026"/>
    <n v="2"/>
    <s v="28-02-2026"/>
    <n v="10398"/>
    <s v="5101-01"/>
    <n v="0"/>
    <n v="50420"/>
    <s v="Centralización ventas febrero 2026  #37804 - valor neto"/>
    <n v="-50420"/>
    <s v="EERR"/>
    <n v="50420"/>
    <x v="123"/>
  </r>
  <r>
    <n v="2026"/>
    <n v="2"/>
    <s v="28-02-2026"/>
    <n v="10399"/>
    <s v="5101-01"/>
    <n v="0"/>
    <n v="50420"/>
    <s v="Centralización ventas febrero 2026  #37805 - valor neto"/>
    <n v="-50420"/>
    <s v="EERR"/>
    <n v="50420"/>
    <x v="123"/>
  </r>
  <r>
    <n v="2026"/>
    <n v="2"/>
    <s v="28-02-2026"/>
    <n v="10400"/>
    <s v="5101-01"/>
    <n v="0"/>
    <n v="1305942"/>
    <s v="Centralización ventas febrero 2026  #37806 - valor neto"/>
    <n v="-1305942"/>
    <s v="EERR"/>
    <n v="1305942"/>
    <x v="123"/>
  </r>
  <r>
    <n v="2026"/>
    <n v="2"/>
    <s v="28-02-2026"/>
    <n v="10401"/>
    <s v="5101-01"/>
    <n v="0"/>
    <n v="36958"/>
    <s v="Centralización ventas febrero 2026  #37807 - valor neto"/>
    <n v="-36958"/>
    <s v="EERR"/>
    <n v="36958"/>
    <x v="123"/>
  </r>
  <r>
    <n v="2026"/>
    <n v="2"/>
    <s v="28-02-2026"/>
    <n v="10402"/>
    <s v="5101-01"/>
    <n v="0"/>
    <n v="46210"/>
    <s v="Centralización ventas febrero 2026  #37808 - valor neto"/>
    <n v="-46210"/>
    <s v="EERR"/>
    <n v="46210"/>
    <x v="123"/>
  </r>
  <r>
    <n v="2026"/>
    <n v="2"/>
    <s v="28-02-2026"/>
    <n v="10403"/>
    <s v="5101-01"/>
    <n v="0"/>
    <n v="675613"/>
    <s v="Centralización ventas febrero 2026  #37809 - valor neto"/>
    <n v="-675613"/>
    <s v="EERR"/>
    <n v="675613"/>
    <x v="123"/>
  </r>
  <r>
    <n v="2026"/>
    <n v="2"/>
    <s v="28-02-2026"/>
    <n v="10404"/>
    <s v="5101-01"/>
    <n v="0"/>
    <n v="70588"/>
    <s v="Centralización ventas febrero 2026  #37810 - valor neto"/>
    <n v="-70588"/>
    <s v="EERR"/>
    <n v="70588"/>
    <x v="123"/>
  </r>
  <r>
    <n v="2026"/>
    <n v="2"/>
    <s v="28-02-2026"/>
    <n v="10405"/>
    <s v="5101-01"/>
    <n v="0"/>
    <n v="357678"/>
    <s v="Centralización ventas febrero 2026  #37813 - valor neto"/>
    <n v="-357678"/>
    <s v="EERR"/>
    <n v="357678"/>
    <x v="123"/>
  </r>
  <r>
    <n v="2026"/>
    <n v="2"/>
    <s v="28-02-2026"/>
    <n v="10406"/>
    <s v="5101-01"/>
    <n v="0"/>
    <n v="42849"/>
    <s v="Centralización ventas febrero 2026  #37814 - valor neto"/>
    <n v="-42849"/>
    <s v="EERR"/>
    <n v="42849"/>
    <x v="123"/>
  </r>
  <r>
    <n v="2026"/>
    <n v="2"/>
    <s v="28-02-2026"/>
    <n v="10407"/>
    <s v="5101-01"/>
    <n v="0"/>
    <n v="42017"/>
    <s v="Centralización ventas febrero 2026  #37815 - valor neto"/>
    <n v="-42017"/>
    <s v="EERR"/>
    <n v="42017"/>
    <x v="123"/>
  </r>
  <r>
    <n v="2026"/>
    <n v="2"/>
    <s v="28-02-2026"/>
    <n v="10408"/>
    <s v="5101-01"/>
    <n v="0"/>
    <n v="21000"/>
    <s v="Centralización ventas febrero 2026  #37817 - valor neto"/>
    <n v="-21000"/>
    <s v="EERR"/>
    <n v="21000"/>
    <x v="123"/>
  </r>
  <r>
    <n v="2026"/>
    <n v="2"/>
    <s v="28-02-2026"/>
    <n v="10409"/>
    <s v="5101-01"/>
    <n v="0"/>
    <n v="356790"/>
    <s v="Centralización ventas febrero 2026  #37818 - valor neto"/>
    <n v="-356790"/>
    <s v="EERR"/>
    <n v="356790"/>
    <x v="123"/>
  </r>
  <r>
    <n v="2026"/>
    <n v="2"/>
    <s v="28-02-2026"/>
    <n v="10410"/>
    <s v="5101-01"/>
    <n v="0"/>
    <n v="27723"/>
    <s v="Centralización ventas febrero 2026  #37819 - valor neto"/>
    <n v="-27723"/>
    <s v="EERR"/>
    <n v="27723"/>
    <x v="123"/>
  </r>
  <r>
    <n v="2026"/>
    <n v="2"/>
    <s v="28-02-2026"/>
    <n v="10411"/>
    <s v="5101-01"/>
    <n v="0"/>
    <n v="21000"/>
    <s v="Centralización ventas febrero 2026  #37820 - valor neto"/>
    <n v="-21000"/>
    <s v="EERR"/>
    <n v="21000"/>
    <x v="123"/>
  </r>
  <r>
    <n v="2026"/>
    <n v="2"/>
    <s v="28-02-2026"/>
    <n v="10412"/>
    <s v="5101-01"/>
    <n v="0"/>
    <n v="566472"/>
    <s v="Centralización ventas febrero 2026  #37821 - valor neto"/>
    <n v="-566472"/>
    <s v="EERR"/>
    <n v="566472"/>
    <x v="123"/>
  </r>
  <r>
    <n v="2026"/>
    <n v="2"/>
    <s v="28-02-2026"/>
    <n v="10413"/>
    <s v="5101-01"/>
    <n v="0"/>
    <n v="33605"/>
    <s v="Centralización ventas febrero 2026  #37822 - valor neto"/>
    <n v="-33605"/>
    <s v="EERR"/>
    <n v="33605"/>
    <x v="123"/>
  </r>
  <r>
    <n v="2026"/>
    <n v="2"/>
    <s v="28-02-2026"/>
    <n v="10414"/>
    <s v="5101-01"/>
    <n v="0"/>
    <n v="18479"/>
    <s v="Centralización ventas febrero 2026  #37823 - valor neto"/>
    <n v="-18479"/>
    <s v="EERR"/>
    <n v="18479"/>
    <x v="123"/>
  </r>
  <r>
    <n v="2026"/>
    <n v="2"/>
    <s v="28-02-2026"/>
    <n v="10415"/>
    <s v="5101-01"/>
    <n v="0"/>
    <n v="49990"/>
    <s v="Centralización ventas febrero 2026  #37824 - valor neto"/>
    <n v="-49990"/>
    <s v="EERR"/>
    <n v="49990"/>
    <x v="123"/>
  </r>
  <r>
    <n v="2026"/>
    <n v="2"/>
    <s v="28-02-2026"/>
    <n v="10416"/>
    <s v="5101-01"/>
    <n v="0"/>
    <n v="54613"/>
    <s v="Centralización ventas febrero 2026  #37825 - valor neto"/>
    <n v="-54613"/>
    <s v="EERR"/>
    <n v="54613"/>
    <x v="123"/>
  </r>
  <r>
    <n v="2026"/>
    <n v="2"/>
    <s v="28-02-2026"/>
    <n v="10417"/>
    <s v="5101-01"/>
    <n v="0"/>
    <n v="33605"/>
    <s v="Centralización ventas febrero 2026  #37826 - valor neto"/>
    <n v="-33605"/>
    <s v="EERR"/>
    <n v="33605"/>
    <x v="123"/>
  </r>
  <r>
    <n v="2026"/>
    <n v="2"/>
    <s v="28-02-2026"/>
    <n v="10418"/>
    <s v="5101-01"/>
    <n v="0"/>
    <n v="21000"/>
    <s v="Centralización ventas febrero 2026  #37828 - valor neto"/>
    <n v="-21000"/>
    <s v="EERR"/>
    <n v="21000"/>
    <x v="123"/>
  </r>
  <r>
    <n v="2026"/>
    <n v="2"/>
    <s v="28-02-2026"/>
    <n v="10419"/>
    <s v="5101-01"/>
    <n v="0"/>
    <n v="37807"/>
    <s v="Centralización ventas febrero 2026  #37829 - valor neto"/>
    <n v="-37807"/>
    <s v="EERR"/>
    <n v="37807"/>
    <x v="123"/>
  </r>
  <r>
    <n v="2026"/>
    <n v="2"/>
    <s v="28-02-2026"/>
    <n v="10420"/>
    <s v="5101-01"/>
    <n v="0"/>
    <n v="21000"/>
    <s v="Centralización ventas febrero 2026  #37830 - valor neto"/>
    <n v="-21000"/>
    <s v="EERR"/>
    <n v="21000"/>
    <x v="123"/>
  </r>
  <r>
    <n v="2026"/>
    <n v="2"/>
    <s v="28-02-2026"/>
    <n v="10421"/>
    <s v="5101-01"/>
    <n v="0"/>
    <n v="54990"/>
    <s v="Centralización ventas febrero 2026  #37831 - valor neto"/>
    <n v="-54990"/>
    <s v="EERR"/>
    <n v="54990"/>
    <x v="123"/>
  </r>
  <r>
    <n v="2026"/>
    <n v="2"/>
    <s v="28-02-2026"/>
    <n v="10422"/>
    <s v="5101-01"/>
    <n v="0"/>
    <n v="22992"/>
    <s v="Centralización ventas febrero 2026  #37833 - valor neto"/>
    <n v="-22992"/>
    <s v="EERR"/>
    <n v="22992"/>
    <x v="123"/>
  </r>
  <r>
    <n v="2026"/>
    <n v="2"/>
    <s v="28-02-2026"/>
    <n v="10423"/>
    <s v="5101-01"/>
    <n v="0"/>
    <n v="24990"/>
    <s v="Centralización ventas febrero 2026  #37834 - valor neto"/>
    <n v="-24990"/>
    <s v="EERR"/>
    <n v="24990"/>
    <x v="123"/>
  </r>
  <r>
    <n v="2026"/>
    <n v="2"/>
    <s v="28-02-2026"/>
    <n v="10424"/>
    <s v="5101-01"/>
    <n v="0"/>
    <n v="39192"/>
    <s v="Centralización ventas febrero 2026  #37835 - valor neto"/>
    <n v="-39192"/>
    <s v="EERR"/>
    <n v="39192"/>
    <x v="123"/>
  </r>
  <r>
    <n v="2026"/>
    <n v="2"/>
    <s v="28-02-2026"/>
    <n v="10425"/>
    <s v="5101-01"/>
    <n v="0"/>
    <n v="25202"/>
    <s v="Centralización ventas febrero 2026  #37836 - valor neto"/>
    <n v="-25202"/>
    <s v="EERR"/>
    <n v="25202"/>
    <x v="123"/>
  </r>
  <r>
    <n v="2026"/>
    <n v="2"/>
    <s v="28-02-2026"/>
    <n v="10426"/>
    <s v="5101-01"/>
    <n v="0"/>
    <n v="33613"/>
    <s v="Centralización ventas febrero 2026  #37837 - valor neto"/>
    <n v="-33613"/>
    <s v="EERR"/>
    <n v="33613"/>
    <x v="123"/>
  </r>
  <r>
    <n v="2026"/>
    <n v="2"/>
    <s v="28-02-2026"/>
    <n v="10427"/>
    <s v="5101-01"/>
    <n v="0"/>
    <n v="27723"/>
    <s v="Centralización ventas febrero 2026  #37838 - valor neto"/>
    <n v="-27723"/>
    <s v="EERR"/>
    <n v="27723"/>
    <x v="123"/>
  </r>
  <r>
    <n v="2026"/>
    <n v="2"/>
    <s v="28-02-2026"/>
    <n v="10428"/>
    <s v="5101-01"/>
    <n v="0"/>
    <n v="34990"/>
    <s v="Centralización ventas febrero 2026  #37839 - valor neto"/>
    <n v="-34990"/>
    <s v="EERR"/>
    <n v="34990"/>
    <x v="123"/>
  </r>
  <r>
    <n v="2026"/>
    <n v="2"/>
    <s v="28-02-2026"/>
    <n v="10429"/>
    <s v="5101-01"/>
    <n v="0"/>
    <n v="33613"/>
    <s v="Centralización ventas febrero 2026  #37840 - valor neto"/>
    <n v="-33613"/>
    <s v="EERR"/>
    <n v="33613"/>
    <x v="123"/>
  </r>
  <r>
    <n v="2026"/>
    <n v="2"/>
    <s v="28-02-2026"/>
    <n v="10430"/>
    <s v="5101-01"/>
    <n v="0"/>
    <n v="16798"/>
    <s v="Centralización ventas febrero 2026  #37841 - valor neto"/>
    <n v="-16798"/>
    <s v="EERR"/>
    <n v="16798"/>
    <x v="123"/>
  </r>
  <r>
    <n v="2026"/>
    <n v="2"/>
    <s v="28-02-2026"/>
    <n v="10431"/>
    <s v="5101-01"/>
    <n v="0"/>
    <n v="15118"/>
    <s v="Centralización ventas febrero 2026  #37843 - valor neto"/>
    <n v="-15118"/>
    <s v="EERR"/>
    <n v="15118"/>
    <x v="123"/>
  </r>
  <r>
    <n v="2026"/>
    <n v="2"/>
    <s v="28-02-2026"/>
    <n v="10432"/>
    <s v="5101-01"/>
    <n v="0"/>
    <n v="18479"/>
    <s v="Centralización ventas febrero 2026  #37844 - valor neto"/>
    <n v="-18479"/>
    <s v="EERR"/>
    <n v="18479"/>
    <x v="123"/>
  </r>
  <r>
    <n v="2026"/>
    <n v="2"/>
    <s v="28-02-2026"/>
    <n v="10433"/>
    <s v="5101-01"/>
    <n v="0"/>
    <n v="78992"/>
    <s v="Centralización ventas febrero 2026  #37846 - valor neto"/>
    <n v="-78992"/>
    <s v="EERR"/>
    <n v="78992"/>
    <x v="123"/>
  </r>
  <r>
    <n v="2026"/>
    <n v="2"/>
    <s v="28-02-2026"/>
    <n v="10434"/>
    <s v="5101-01"/>
    <n v="0"/>
    <n v="21000"/>
    <s v="Centralización ventas febrero 2026  #37847 - valor neto"/>
    <n v="-21000"/>
    <s v="EERR"/>
    <n v="21000"/>
    <x v="123"/>
  </r>
  <r>
    <n v="2026"/>
    <n v="2"/>
    <s v="28-02-2026"/>
    <n v="10435"/>
    <s v="5101-01"/>
    <n v="0"/>
    <n v="18479"/>
    <s v="Centralización ventas febrero 2026  #37848 - valor neto"/>
    <n v="-18479"/>
    <s v="EERR"/>
    <n v="18479"/>
    <x v="123"/>
  </r>
  <r>
    <n v="2026"/>
    <n v="2"/>
    <s v="28-02-2026"/>
    <n v="10436"/>
    <s v="5101-01"/>
    <n v="0"/>
    <n v="50420"/>
    <s v="Centralización ventas febrero 2026  #37849 - valor neto"/>
    <n v="-50420"/>
    <s v="EERR"/>
    <n v="50420"/>
    <x v="123"/>
  </r>
  <r>
    <n v="2026"/>
    <n v="2"/>
    <s v="28-02-2026"/>
    <n v="10437"/>
    <s v="5101-01"/>
    <n v="0"/>
    <n v="21000"/>
    <s v="Centralización ventas febrero 2026  #37850 - valor neto"/>
    <n v="-21000"/>
    <s v="EERR"/>
    <n v="21000"/>
    <x v="123"/>
  </r>
  <r>
    <n v="2026"/>
    <n v="2"/>
    <s v="28-02-2026"/>
    <n v="10438"/>
    <s v="5101-01"/>
    <n v="0"/>
    <n v="70000"/>
    <s v="Centralización ventas febrero 2026  #37851 - valor neto"/>
    <n v="-70000"/>
    <s v="EERR"/>
    <n v="70000"/>
    <x v="123"/>
  </r>
  <r>
    <n v="2026"/>
    <n v="2"/>
    <s v="28-02-2026"/>
    <n v="10439"/>
    <s v="5101-01"/>
    <n v="0"/>
    <n v="12597"/>
    <s v="Centralización ventas febrero 2026  #37852 - valor neto"/>
    <n v="-12597"/>
    <s v="EERR"/>
    <n v="12597"/>
    <x v="123"/>
  </r>
  <r>
    <n v="2026"/>
    <n v="2"/>
    <s v="28-02-2026"/>
    <n v="10440"/>
    <s v="5101-01"/>
    <n v="0"/>
    <n v="130252"/>
    <s v="Centralización ventas febrero 2026  #37853 - valor neto"/>
    <n v="-130252"/>
    <s v="EERR"/>
    <n v="130252"/>
    <x v="123"/>
  </r>
  <r>
    <n v="2026"/>
    <n v="2"/>
    <s v="28-02-2026"/>
    <n v="10441"/>
    <s v="5101-01"/>
    <n v="0"/>
    <n v="21000"/>
    <s v="Centralización ventas febrero 2026  #37854 - valor neto"/>
    <n v="-21000"/>
    <s v="EERR"/>
    <n v="21000"/>
    <x v="123"/>
  </r>
  <r>
    <n v="2026"/>
    <n v="2"/>
    <s v="28-02-2026"/>
    <n v="10442"/>
    <s v="5101-01"/>
    <n v="0"/>
    <n v="44990"/>
    <s v="Centralización ventas febrero 2026  #37855 - valor neto"/>
    <n v="-44990"/>
    <s v="EERR"/>
    <n v="44990"/>
    <x v="123"/>
  </r>
  <r>
    <n v="2026"/>
    <n v="2"/>
    <s v="28-02-2026"/>
    <n v="10443"/>
    <s v="5101-01"/>
    <n v="0"/>
    <n v="34990"/>
    <s v="Centralización ventas febrero 2026  #37856 - valor neto"/>
    <n v="-34990"/>
    <s v="EERR"/>
    <n v="34990"/>
    <x v="123"/>
  </r>
  <r>
    <n v="2026"/>
    <n v="2"/>
    <s v="28-02-2026"/>
    <n v="10444"/>
    <s v="5101-01"/>
    <n v="0"/>
    <n v="12597"/>
    <s v="Centralización ventas febrero 2026  #37857 - valor neto"/>
    <n v="-12597"/>
    <s v="EERR"/>
    <n v="12597"/>
    <x v="123"/>
  </r>
  <r>
    <n v="2026"/>
    <n v="2"/>
    <s v="28-02-2026"/>
    <n v="10445"/>
    <s v="5101-01"/>
    <n v="0"/>
    <n v="25210"/>
    <s v="Centralización ventas febrero 2026  #37858 - valor neto"/>
    <n v="-25210"/>
    <s v="EERR"/>
    <n v="25210"/>
    <x v="123"/>
  </r>
  <r>
    <n v="2026"/>
    <n v="2"/>
    <s v="28-02-2026"/>
    <n v="10446"/>
    <s v="5101-01"/>
    <n v="0"/>
    <n v="19992"/>
    <s v="Centralización ventas febrero 2026  #37859 - valor neto"/>
    <n v="-19992"/>
    <s v="EERR"/>
    <n v="19992"/>
    <x v="123"/>
  </r>
  <r>
    <n v="2026"/>
    <n v="2"/>
    <s v="28-02-2026"/>
    <n v="10447"/>
    <s v="5101-01"/>
    <n v="0"/>
    <n v="25210"/>
    <s v="Centralización ventas febrero 2026  #37860 - valor neto"/>
    <n v="-25210"/>
    <s v="EERR"/>
    <n v="25210"/>
    <x v="123"/>
  </r>
  <r>
    <n v="2026"/>
    <n v="2"/>
    <s v="28-02-2026"/>
    <n v="10448"/>
    <s v="5101-01"/>
    <n v="0"/>
    <n v="99970"/>
    <s v="Centralización ventas febrero 2026  #37861 - valor neto"/>
    <n v="-99970"/>
    <s v="EERR"/>
    <n v="99970"/>
    <x v="123"/>
  </r>
  <r>
    <n v="2026"/>
    <n v="2"/>
    <s v="28-02-2026"/>
    <n v="10449"/>
    <s v="5101-01"/>
    <n v="0"/>
    <n v="21000"/>
    <s v="Centralización ventas febrero 2026  #37862 - valor neto"/>
    <n v="-21000"/>
    <s v="EERR"/>
    <n v="21000"/>
    <x v="123"/>
  </r>
  <r>
    <n v="2026"/>
    <n v="2"/>
    <s v="28-02-2026"/>
    <n v="10450"/>
    <s v="5101-01"/>
    <n v="0"/>
    <n v="269296"/>
    <s v="Centralización ventas febrero 2026  #37863 - valor neto"/>
    <n v="-269296"/>
    <s v="EERR"/>
    <n v="269296"/>
    <x v="123"/>
  </r>
  <r>
    <n v="2026"/>
    <n v="2"/>
    <s v="28-02-2026"/>
    <n v="10451"/>
    <s v="5101-01"/>
    <n v="0"/>
    <n v="18403"/>
    <s v="Centralización ventas febrero 2026  #37864 - valor neto"/>
    <n v="-18403"/>
    <s v="EERR"/>
    <n v="18403"/>
    <x v="123"/>
  </r>
  <r>
    <n v="2026"/>
    <n v="2"/>
    <s v="28-02-2026"/>
    <n v="10452"/>
    <s v="5101-01"/>
    <n v="0"/>
    <n v="18479"/>
    <s v="Centralización ventas febrero 2026  #37865 - valor neto"/>
    <n v="-18479"/>
    <s v="EERR"/>
    <n v="18479"/>
    <x v="123"/>
  </r>
  <r>
    <n v="2026"/>
    <n v="2"/>
    <s v="28-02-2026"/>
    <n v="10453"/>
    <s v="5101-01"/>
    <n v="0"/>
    <n v="42000"/>
    <s v="Centralización ventas febrero 2026  #37866 - valor neto"/>
    <n v="-42000"/>
    <s v="EERR"/>
    <n v="42000"/>
    <x v="123"/>
  </r>
  <r>
    <n v="2026"/>
    <n v="2"/>
    <s v="28-02-2026"/>
    <n v="10454"/>
    <s v="5101-01"/>
    <n v="0"/>
    <n v="18487"/>
    <s v="Centralización ventas febrero 2026  #37868 - valor neto"/>
    <n v="-18487"/>
    <s v="EERR"/>
    <n v="18487"/>
    <x v="123"/>
  </r>
  <r>
    <n v="2026"/>
    <n v="2"/>
    <s v="28-02-2026"/>
    <n v="10455"/>
    <s v="5101-01"/>
    <n v="0"/>
    <n v="18479"/>
    <s v="Centralización ventas febrero 2026  #37869 - valor neto"/>
    <n v="-18479"/>
    <s v="EERR"/>
    <n v="18479"/>
    <x v="123"/>
  </r>
  <r>
    <n v="2026"/>
    <n v="2"/>
    <s v="28-02-2026"/>
    <n v="10456"/>
    <s v="5101-01"/>
    <n v="0"/>
    <n v="153616"/>
    <s v="Centralización ventas febrero 2026  #37870 - valor neto"/>
    <n v="-153616"/>
    <s v="EERR"/>
    <n v="153616"/>
    <x v="123"/>
  </r>
  <r>
    <n v="2026"/>
    <n v="2"/>
    <s v="28-02-2026"/>
    <n v="10457"/>
    <s v="5101-01"/>
    <n v="0"/>
    <n v="30252"/>
    <s v="Centralización ventas febrero 2026  #37871 - valor neto"/>
    <n v="-30252"/>
    <s v="EERR"/>
    <n v="30252"/>
    <x v="123"/>
  </r>
  <r>
    <n v="2026"/>
    <n v="2"/>
    <s v="28-02-2026"/>
    <n v="10458"/>
    <s v="5101-01"/>
    <n v="0"/>
    <n v="12597"/>
    <s v="Centralización ventas febrero 2026  #37872 - valor neto"/>
    <n v="-12597"/>
    <s v="EERR"/>
    <n v="12597"/>
    <x v="123"/>
  </r>
  <r>
    <n v="2026"/>
    <n v="2"/>
    <s v="28-02-2026"/>
    <n v="10459"/>
    <s v="5101-01"/>
    <n v="0"/>
    <n v="21000"/>
    <s v="Centralización ventas febrero 2026  #37873 - valor neto"/>
    <n v="-21000"/>
    <s v="EERR"/>
    <n v="21000"/>
    <x v="123"/>
  </r>
  <r>
    <n v="2026"/>
    <n v="2"/>
    <s v="28-02-2026"/>
    <n v="10460"/>
    <s v="5101-01"/>
    <n v="0"/>
    <n v="24990"/>
    <s v="Centralización ventas febrero 2026  #37874 - valor neto"/>
    <n v="-24990"/>
    <s v="EERR"/>
    <n v="24990"/>
    <x v="123"/>
  </r>
  <r>
    <n v="2026"/>
    <n v="2"/>
    <s v="28-02-2026"/>
    <n v="10461"/>
    <s v="5101-01"/>
    <n v="0"/>
    <n v="309087"/>
    <s v="Centralización ventas febrero 2026  #37875 - valor neto"/>
    <n v="-309087"/>
    <s v="EERR"/>
    <n v="309087"/>
    <x v="123"/>
  </r>
  <r>
    <n v="2026"/>
    <n v="2"/>
    <s v="28-02-2026"/>
    <n v="10462"/>
    <s v="5101-01"/>
    <n v="0"/>
    <n v="135266"/>
    <s v="Centralización ventas febrero 2026  #37876 - valor neto"/>
    <n v="-135266"/>
    <s v="EERR"/>
    <n v="135266"/>
    <x v="123"/>
  </r>
  <r>
    <n v="2026"/>
    <n v="2"/>
    <s v="28-02-2026"/>
    <n v="10463"/>
    <s v="5101-01"/>
    <n v="0"/>
    <n v="24361"/>
    <s v="Centralización ventas febrero 2026  #37877 - valor neto"/>
    <n v="-24361"/>
    <s v="EERR"/>
    <n v="24361"/>
    <x v="123"/>
  </r>
  <r>
    <n v="2026"/>
    <n v="2"/>
    <s v="28-02-2026"/>
    <n v="10464"/>
    <s v="5101-01"/>
    <n v="0"/>
    <n v="21000"/>
    <s v="Centralización ventas febrero 2026  #37879 - valor neto"/>
    <n v="-21000"/>
    <s v="EERR"/>
    <n v="21000"/>
    <x v="123"/>
  </r>
  <r>
    <n v="2026"/>
    <n v="2"/>
    <s v="28-02-2026"/>
    <n v="10465"/>
    <s v="5101-01"/>
    <n v="0"/>
    <n v="27714"/>
    <s v="Centralización ventas febrero 2026  #37880 - valor neto"/>
    <n v="-27714"/>
    <s v="EERR"/>
    <n v="27714"/>
    <x v="123"/>
  </r>
  <r>
    <n v="2026"/>
    <n v="2"/>
    <s v="28-02-2026"/>
    <n v="10466"/>
    <s v="5101-01"/>
    <n v="0"/>
    <n v="12597"/>
    <s v="Centralización ventas febrero 2026  #37881 - valor neto"/>
    <n v="-12597"/>
    <s v="EERR"/>
    <n v="12597"/>
    <x v="123"/>
  </r>
  <r>
    <n v="2026"/>
    <n v="2"/>
    <s v="28-02-2026"/>
    <n v="10467"/>
    <s v="5101-01"/>
    <n v="0"/>
    <n v="18479"/>
    <s v="Centralización ventas febrero 2026  #37882 - valor neto"/>
    <n v="-18479"/>
    <s v="EERR"/>
    <n v="18479"/>
    <x v="123"/>
  </r>
  <r>
    <n v="2026"/>
    <n v="2"/>
    <s v="28-02-2026"/>
    <n v="10468"/>
    <s v="5101-01"/>
    <n v="0"/>
    <n v="33613"/>
    <s v="Centralización ventas febrero 2026  #37883 - valor neto"/>
    <n v="-33613"/>
    <s v="EERR"/>
    <n v="33613"/>
    <x v="123"/>
  </r>
  <r>
    <n v="2026"/>
    <n v="2"/>
    <s v="28-02-2026"/>
    <n v="10469"/>
    <s v="5101-01"/>
    <n v="0"/>
    <n v="195571"/>
    <s v="Centralización ventas febrero 2026  #37887 - valor neto"/>
    <n v="-195571"/>
    <s v="EERR"/>
    <n v="195571"/>
    <x v="123"/>
  </r>
  <r>
    <n v="2026"/>
    <n v="2"/>
    <s v="28-02-2026"/>
    <n v="10470"/>
    <s v="5101-01"/>
    <n v="0"/>
    <n v="92437"/>
    <s v="Centralización ventas febrero 2026  #37888 - valor neto"/>
    <n v="-92437"/>
    <s v="EERR"/>
    <n v="92437"/>
    <x v="123"/>
  </r>
  <r>
    <n v="2026"/>
    <n v="2"/>
    <s v="28-02-2026"/>
    <n v="10471"/>
    <s v="5101-01"/>
    <n v="0"/>
    <n v="12597"/>
    <s v="Centralización ventas febrero 2026  #37889 - valor neto"/>
    <n v="-12597"/>
    <s v="EERR"/>
    <n v="12597"/>
    <x v="123"/>
  </r>
  <r>
    <n v="2026"/>
    <n v="2"/>
    <s v="28-02-2026"/>
    <n v="10472"/>
    <s v="5101-01"/>
    <n v="0"/>
    <n v="29403"/>
    <s v="Centralización ventas febrero 2026  #37890 - valor neto"/>
    <n v="-29403"/>
    <s v="EERR"/>
    <n v="29403"/>
    <x v="123"/>
  </r>
  <r>
    <n v="2026"/>
    <n v="2"/>
    <s v="28-02-2026"/>
    <n v="10473"/>
    <s v="5101-01"/>
    <n v="0"/>
    <n v="436975"/>
    <s v="Centralización ventas febrero 2026  #37891 - valor neto"/>
    <n v="-436975"/>
    <s v="EERR"/>
    <n v="436975"/>
    <x v="123"/>
  </r>
  <r>
    <n v="2026"/>
    <n v="2"/>
    <s v="28-02-2026"/>
    <n v="10474"/>
    <s v="5101-01"/>
    <n v="0"/>
    <n v="21000"/>
    <s v="Centralización ventas febrero 2026  #37892 - valor neto"/>
    <n v="-21000"/>
    <s v="EERR"/>
    <n v="21000"/>
    <x v="123"/>
  </r>
  <r>
    <n v="2026"/>
    <n v="2"/>
    <s v="28-02-2026"/>
    <n v="10475"/>
    <s v="5101-01"/>
    <n v="0"/>
    <n v="175000"/>
    <s v="Centralización ventas febrero 2026  #37894 - valor neto"/>
    <n v="-175000"/>
    <s v="EERR"/>
    <n v="175000"/>
    <x v="123"/>
  </r>
  <r>
    <n v="2026"/>
    <n v="2"/>
    <s v="28-02-2026"/>
    <n v="10476"/>
    <s v="5101-01"/>
    <n v="0"/>
    <n v="25210"/>
    <s v="Centralización ventas febrero 2026  #37895 - valor neto"/>
    <n v="-25210"/>
    <s v="EERR"/>
    <n v="25210"/>
    <x v="123"/>
  </r>
  <r>
    <n v="2026"/>
    <n v="2"/>
    <s v="28-02-2026"/>
    <n v="10477"/>
    <s v="5101-01"/>
    <n v="0"/>
    <n v="436975"/>
    <s v="Centralización ventas febrero 2026  #37897 - valor neto"/>
    <n v="-436975"/>
    <s v="EERR"/>
    <n v="436975"/>
    <x v="123"/>
  </r>
  <r>
    <n v="2026"/>
    <n v="2"/>
    <s v="28-02-2026"/>
    <n v="10478"/>
    <s v="5101-01"/>
    <n v="0"/>
    <n v="137314"/>
    <s v="Centralización ventas febrero 2026  #37898 - valor neto"/>
    <n v="-137314"/>
    <s v="EERR"/>
    <n v="137314"/>
    <x v="123"/>
  </r>
  <r>
    <n v="2026"/>
    <n v="2"/>
    <s v="28-02-2026"/>
    <n v="10479"/>
    <s v="5101-01"/>
    <n v="0"/>
    <n v="35000"/>
    <s v="Centralización ventas febrero 2026  #37899 - valor neto"/>
    <n v="-35000"/>
    <s v="EERR"/>
    <n v="35000"/>
    <x v="123"/>
  </r>
  <r>
    <n v="2026"/>
    <n v="2"/>
    <s v="28-02-2026"/>
    <n v="10480"/>
    <s v="5101-01"/>
    <n v="0"/>
    <n v="18479"/>
    <s v="Centralización ventas febrero 2026  #37900 - valor neto"/>
    <n v="-18479"/>
    <s v="EERR"/>
    <n v="18479"/>
    <x v="123"/>
  </r>
  <r>
    <n v="2026"/>
    <n v="2"/>
    <s v="28-02-2026"/>
    <n v="10481"/>
    <s v="5101-01"/>
    <n v="0"/>
    <n v="67192"/>
    <s v="Centralización ventas febrero 2026  #37901 - valor neto"/>
    <n v="-67192"/>
    <s v="EERR"/>
    <n v="67192"/>
    <x v="123"/>
  </r>
  <r>
    <n v="2026"/>
    <n v="2"/>
    <s v="28-02-2026"/>
    <n v="10482"/>
    <s v="5101-01"/>
    <n v="0"/>
    <n v="46210"/>
    <s v="Centralización ventas febrero 2026  #37902 - valor neto"/>
    <n v="-46210"/>
    <s v="EERR"/>
    <n v="46210"/>
    <x v="123"/>
  </r>
  <r>
    <n v="2026"/>
    <n v="2"/>
    <s v="28-02-2026"/>
    <n v="10483"/>
    <s v="5101-01"/>
    <n v="0"/>
    <n v="436975"/>
    <s v="Centralización ventas febrero 2026  #37903 - valor neto"/>
    <n v="-436975"/>
    <s v="EERR"/>
    <n v="436975"/>
    <x v="123"/>
  </r>
  <r>
    <n v="2026"/>
    <n v="2"/>
    <s v="28-02-2026"/>
    <n v="10484"/>
    <s v="5101-01"/>
    <n v="0"/>
    <n v="21000"/>
    <s v="Centralización ventas febrero 2026  #37904 - valor neto"/>
    <n v="-21000"/>
    <s v="EERR"/>
    <n v="21000"/>
    <x v="123"/>
  </r>
  <r>
    <n v="2026"/>
    <n v="2"/>
    <s v="28-02-2026"/>
    <n v="10485"/>
    <s v="5101-01"/>
    <n v="0"/>
    <n v="29403"/>
    <s v="Centralización ventas febrero 2026  #37905 - valor neto"/>
    <n v="-29403"/>
    <s v="EERR"/>
    <n v="29403"/>
    <x v="123"/>
  </r>
  <r>
    <n v="2026"/>
    <n v="2"/>
    <s v="28-02-2026"/>
    <n v="10486"/>
    <s v="5101-01"/>
    <n v="0"/>
    <n v="278194"/>
    <s v="Centralización ventas febrero 2026  #37906 - valor neto"/>
    <n v="-278194"/>
    <s v="EERR"/>
    <n v="278194"/>
    <x v="123"/>
  </r>
  <r>
    <n v="2026"/>
    <n v="2"/>
    <s v="28-02-2026"/>
    <n v="10487"/>
    <s v="5101-01"/>
    <n v="0"/>
    <n v="12597"/>
    <s v="Centralización ventas febrero 2026  #37907 - valor neto"/>
    <n v="-12597"/>
    <s v="EERR"/>
    <n v="12597"/>
    <x v="123"/>
  </r>
  <r>
    <n v="2026"/>
    <n v="2"/>
    <s v="28-02-2026"/>
    <n v="10488"/>
    <s v="5101-01"/>
    <n v="0"/>
    <n v="24361"/>
    <s v="Centralización ventas febrero 2026  #37910 - valor neto"/>
    <n v="-24361"/>
    <s v="EERR"/>
    <n v="24361"/>
    <x v="123"/>
  </r>
  <r>
    <n v="2026"/>
    <n v="2"/>
    <s v="28-02-2026"/>
    <n v="10489"/>
    <s v="5101-01"/>
    <n v="0"/>
    <n v="27731"/>
    <s v="Centralización ventas febrero 2026  #37911 - valor neto"/>
    <n v="-27731"/>
    <s v="EERR"/>
    <n v="27731"/>
    <x v="123"/>
  </r>
  <r>
    <n v="2026"/>
    <n v="2"/>
    <s v="28-02-2026"/>
    <n v="10490"/>
    <s v="5101-01"/>
    <n v="0"/>
    <n v="1842841"/>
    <s v="Centralización ventas febrero 2026  #37912 - valor neto"/>
    <n v="-1842841"/>
    <s v="EERR"/>
    <n v="1842841"/>
    <x v="123"/>
  </r>
  <r>
    <n v="2026"/>
    <n v="2"/>
    <s v="28-02-2026"/>
    <n v="10491"/>
    <s v="5101-01"/>
    <n v="0"/>
    <n v="671585"/>
    <s v="Centralización ventas febrero 2026  #37913 - valor neto"/>
    <n v="-671585"/>
    <s v="EERR"/>
    <n v="671585"/>
    <x v="123"/>
  </r>
  <r>
    <n v="2026"/>
    <n v="2"/>
    <s v="28-02-2026"/>
    <n v="10492"/>
    <s v="5101-01"/>
    <n v="0"/>
    <n v="50420"/>
    <s v="Centralización ventas febrero 2026  #37914 - valor neto"/>
    <n v="-50420"/>
    <s v="EERR"/>
    <n v="50420"/>
    <x v="123"/>
  </r>
  <r>
    <n v="2026"/>
    <n v="2"/>
    <s v="28-02-2026"/>
    <n v="10493"/>
    <s v="5101-01"/>
    <n v="0"/>
    <n v="75000"/>
    <s v="Centralización ventas febrero 2026  #37915 - valor neto"/>
    <n v="-75000"/>
    <s v="EERR"/>
    <n v="75000"/>
    <x v="123"/>
  </r>
  <r>
    <n v="2026"/>
    <n v="2"/>
    <s v="28-02-2026"/>
    <n v="10494"/>
    <s v="5101-01"/>
    <n v="0"/>
    <n v="46210"/>
    <s v="Centralización ventas febrero 2026  #37916 - valor neto"/>
    <n v="-46210"/>
    <s v="EERR"/>
    <n v="46210"/>
    <x v="123"/>
  </r>
  <r>
    <n v="2026"/>
    <n v="2"/>
    <s v="28-02-2026"/>
    <n v="10495"/>
    <s v="5101-01"/>
    <n v="0"/>
    <n v="18479"/>
    <s v="Centralización ventas febrero 2026  #37917 - valor neto"/>
    <n v="-18479"/>
    <s v="EERR"/>
    <n v="18479"/>
    <x v="123"/>
  </r>
  <r>
    <n v="2026"/>
    <n v="2"/>
    <s v="28-02-2026"/>
    <n v="10496"/>
    <s v="5101-01"/>
    <n v="0"/>
    <n v="74992"/>
    <s v="Centralización ventas febrero 2026  #37918 - valor neto"/>
    <n v="-74992"/>
    <s v="EERR"/>
    <n v="74992"/>
    <x v="123"/>
  </r>
  <r>
    <n v="2026"/>
    <n v="2"/>
    <s v="28-02-2026"/>
    <n v="10497"/>
    <s v="5101-01"/>
    <n v="0"/>
    <n v="21008"/>
    <s v="Centralización ventas febrero 2026  #37919 - valor neto"/>
    <n v="-21008"/>
    <s v="EERR"/>
    <n v="21008"/>
    <x v="123"/>
  </r>
  <r>
    <n v="2026"/>
    <n v="2"/>
    <s v="28-02-2026"/>
    <n v="10498"/>
    <s v="5101-01"/>
    <n v="0"/>
    <n v="651081"/>
    <s v="Centralización ventas febrero 2026  #37920 - valor neto"/>
    <n v="-651081"/>
    <s v="EERR"/>
    <n v="651081"/>
    <x v="123"/>
  </r>
  <r>
    <n v="2026"/>
    <n v="2"/>
    <s v="28-02-2026"/>
    <n v="10499"/>
    <s v="5101-01"/>
    <n v="0"/>
    <n v="158968"/>
    <s v="Centralización ventas febrero 2026  #37922 - valor neto"/>
    <n v="-158968"/>
    <s v="EERR"/>
    <n v="158968"/>
    <x v="123"/>
  </r>
  <r>
    <n v="2026"/>
    <n v="2"/>
    <s v="28-02-2026"/>
    <n v="10500"/>
    <s v="5101-01"/>
    <n v="0"/>
    <n v="12597"/>
    <s v="Centralización ventas febrero 2026  #37923 - valor neto"/>
    <n v="-12597"/>
    <s v="EERR"/>
    <n v="12597"/>
    <x v="123"/>
  </r>
  <r>
    <n v="2026"/>
    <n v="2"/>
    <s v="28-02-2026"/>
    <n v="10501"/>
    <s v="5101-01"/>
    <n v="0"/>
    <n v="30000"/>
    <s v="Centralización ventas febrero 2026  #37924 - valor neto"/>
    <n v="-30000"/>
    <s v="EERR"/>
    <n v="30000"/>
    <x v="123"/>
  </r>
  <r>
    <n v="2026"/>
    <n v="2"/>
    <s v="28-02-2026"/>
    <n v="10502"/>
    <s v="5101-01"/>
    <n v="0"/>
    <n v="33613"/>
    <s v="Centralización ventas febrero 2026  #37925 - valor neto"/>
    <n v="-33613"/>
    <s v="EERR"/>
    <n v="33613"/>
    <x v="123"/>
  </r>
  <r>
    <n v="2026"/>
    <n v="2"/>
    <s v="28-02-2026"/>
    <n v="10503"/>
    <s v="5101-01"/>
    <n v="0"/>
    <n v="1433615"/>
    <s v="Centralización ventas febrero 2026  #37926 - valor neto"/>
    <n v="-1433615"/>
    <s v="EERR"/>
    <n v="1433615"/>
    <x v="123"/>
  </r>
  <r>
    <n v="2026"/>
    <n v="2"/>
    <s v="28-02-2026"/>
    <n v="10504"/>
    <s v="5101-01"/>
    <n v="0"/>
    <n v="21000"/>
    <s v="Centralización ventas febrero 2026  #37927 - valor neto"/>
    <n v="-21000"/>
    <s v="EERR"/>
    <n v="21000"/>
    <x v="123"/>
  </r>
  <r>
    <n v="2026"/>
    <n v="2"/>
    <s v="28-02-2026"/>
    <n v="10505"/>
    <s v="5101-01"/>
    <n v="0"/>
    <n v="21000"/>
    <s v="Centralización ventas febrero 2026  #37928 - valor neto"/>
    <n v="-21000"/>
    <s v="EERR"/>
    <n v="21000"/>
    <x v="123"/>
  </r>
  <r>
    <n v="2026"/>
    <n v="2"/>
    <s v="28-02-2026"/>
    <n v="10506"/>
    <s v="5101-01"/>
    <n v="0"/>
    <n v="12597"/>
    <s v="Centralización ventas febrero 2026  #37930 - valor neto"/>
    <n v="-12597"/>
    <s v="EERR"/>
    <n v="12597"/>
    <x v="123"/>
  </r>
  <r>
    <n v="2026"/>
    <n v="2"/>
    <s v="28-02-2026"/>
    <n v="10507"/>
    <s v="5101-01"/>
    <n v="0"/>
    <n v="29403"/>
    <s v="Centralización ventas febrero 2026  #37931 - valor neto"/>
    <n v="-29403"/>
    <s v="EERR"/>
    <n v="29403"/>
    <x v="123"/>
  </r>
  <r>
    <n v="2026"/>
    <n v="2"/>
    <s v="28-02-2026"/>
    <n v="10508"/>
    <s v="5101-01"/>
    <n v="0"/>
    <n v="477000"/>
    <s v="Centralización ventas febrero 2026  #37932 - valor neto"/>
    <n v="-477000"/>
    <s v="EERR"/>
    <n v="477000"/>
    <x v="123"/>
  </r>
  <r>
    <n v="2026"/>
    <n v="2"/>
    <s v="28-02-2026"/>
    <n v="10509"/>
    <s v="5101-01"/>
    <n v="0"/>
    <n v="30000"/>
    <s v="Centralización ventas febrero 2026  #37933 - valor neto"/>
    <n v="-30000"/>
    <s v="EERR"/>
    <n v="30000"/>
    <x v="123"/>
  </r>
  <r>
    <n v="2026"/>
    <n v="2"/>
    <s v="28-02-2026"/>
    <n v="10510"/>
    <s v="5101-01"/>
    <n v="0"/>
    <n v="20168"/>
    <s v="Centralización ventas febrero 2026  #37934 - valor neto"/>
    <n v="-20168"/>
    <s v="EERR"/>
    <n v="20168"/>
    <x v="123"/>
  </r>
  <r>
    <n v="2026"/>
    <n v="2"/>
    <s v="28-02-2026"/>
    <n v="10511"/>
    <s v="5101-01"/>
    <n v="0"/>
    <n v="25000"/>
    <s v="Centralización ventas febrero 2026  #37935 - valor neto"/>
    <n v="-25000"/>
    <s v="EERR"/>
    <n v="25000"/>
    <x v="123"/>
  </r>
  <r>
    <n v="2026"/>
    <n v="2"/>
    <s v="28-02-2026"/>
    <n v="10512"/>
    <s v="5101-01"/>
    <n v="0"/>
    <n v="64586"/>
    <s v="Centralización ventas febrero 2026  #37936 - valor neto"/>
    <n v="-64586"/>
    <s v="EERR"/>
    <n v="64586"/>
    <x v="123"/>
  </r>
  <r>
    <n v="2026"/>
    <n v="2"/>
    <s v="28-02-2026"/>
    <n v="10513"/>
    <s v="5101-01"/>
    <n v="0"/>
    <n v="2000000"/>
    <s v="Centralización ventas febrero 2026  #37937 - valor neto"/>
    <n v="-2000000"/>
    <s v="EERR"/>
    <n v="2000000"/>
    <x v="123"/>
  </r>
  <r>
    <n v="2026"/>
    <n v="2"/>
    <s v="28-02-2026"/>
    <n v="10514"/>
    <s v="5101-01"/>
    <n v="0"/>
    <n v="2000000"/>
    <s v="Centralización ventas febrero 2026  #37938 - valor neto"/>
    <n v="-2000000"/>
    <s v="EERR"/>
    <n v="2000000"/>
    <x v="123"/>
  </r>
  <r>
    <n v="2026"/>
    <n v="2"/>
    <s v="28-02-2026"/>
    <n v="10515"/>
    <s v="5101-01"/>
    <n v="0"/>
    <n v="47495"/>
    <s v="Centralización ventas febrero 2026  #37939 - valor neto"/>
    <n v="-47495"/>
    <s v="EERR"/>
    <n v="47495"/>
    <x v="123"/>
  </r>
  <r>
    <n v="2026"/>
    <n v="2"/>
    <s v="28-02-2026"/>
    <n v="10516"/>
    <s v="5101-01"/>
    <n v="0"/>
    <n v="101911"/>
    <s v="Centralización ventas febrero 2026  #37941 - valor neto"/>
    <n v="-101911"/>
    <s v="EERR"/>
    <n v="101911"/>
    <x v="123"/>
  </r>
  <r>
    <n v="2026"/>
    <n v="2"/>
    <s v="28-02-2026"/>
    <n v="10517"/>
    <s v="5101-01"/>
    <n v="0"/>
    <n v="207884"/>
    <s v="Centralización ventas febrero 2026  #37942 - valor neto"/>
    <n v="-207884"/>
    <s v="EERR"/>
    <n v="207884"/>
    <x v="123"/>
  </r>
  <r>
    <n v="2026"/>
    <n v="2"/>
    <s v="28-02-2026"/>
    <n v="10518"/>
    <s v="5101-01"/>
    <n v="0"/>
    <n v="108564"/>
    <s v="Centralización ventas febrero 2026  #37943 - valor neto"/>
    <n v="-108564"/>
    <s v="EERR"/>
    <n v="108564"/>
    <x v="123"/>
  </r>
  <r>
    <n v="2026"/>
    <n v="2"/>
    <s v="28-02-2026"/>
    <n v="10519"/>
    <s v="5101-01"/>
    <n v="0"/>
    <n v="130252"/>
    <s v="Centralización ventas febrero 2026  #37945 - valor neto"/>
    <n v="-130252"/>
    <s v="EERR"/>
    <n v="130252"/>
    <x v="123"/>
  </r>
  <r>
    <n v="2026"/>
    <n v="2"/>
    <s v="28-02-2026"/>
    <n v="10520"/>
    <s v="5101-01"/>
    <n v="0"/>
    <n v="689279"/>
    <s v="Centralización ventas febrero 2026  #37953 - valor neto"/>
    <n v="-689279"/>
    <s v="EERR"/>
    <n v="689279"/>
    <x v="123"/>
  </r>
  <r>
    <n v="2026"/>
    <n v="2"/>
    <s v="28-02-2026"/>
    <n v="10521"/>
    <s v="5101-01"/>
    <n v="0"/>
    <n v="25202"/>
    <s v="Centralización ventas febrero 2026  #37959 - valor neto"/>
    <n v="-25202"/>
    <s v="EERR"/>
    <n v="25202"/>
    <x v="123"/>
  </r>
  <r>
    <n v="2026"/>
    <n v="2"/>
    <s v="28-02-2026"/>
    <n v="10522"/>
    <s v="5101-01"/>
    <n v="0"/>
    <n v="21992"/>
    <s v="Centralización ventas febrero 2026  #37962 - valor neto"/>
    <n v="-21992"/>
    <s v="EERR"/>
    <n v="21992"/>
    <x v="123"/>
  </r>
  <r>
    <n v="2026"/>
    <n v="2"/>
    <s v="28-02-2026"/>
    <n v="10523"/>
    <s v="5101-01"/>
    <n v="0"/>
    <n v="24361"/>
    <s v="Centralización ventas febrero 2026  #37963 - valor neto"/>
    <n v="-24361"/>
    <s v="EERR"/>
    <n v="24361"/>
    <x v="123"/>
  </r>
  <r>
    <n v="2026"/>
    <n v="2"/>
    <s v="28-02-2026"/>
    <n v="10524"/>
    <s v="5101-01"/>
    <n v="0"/>
    <n v="21000"/>
    <s v="Centralización ventas febrero 2026  #37964 - valor neto"/>
    <n v="-21000"/>
    <s v="EERR"/>
    <n v="21000"/>
    <x v="123"/>
  </r>
  <r>
    <n v="2026"/>
    <n v="2"/>
    <s v="28-02-2026"/>
    <n v="10525"/>
    <s v="5101-01"/>
    <n v="0"/>
    <n v="282648"/>
    <s v="Centralización ventas febrero 2026  #37965 - valor neto"/>
    <n v="-282648"/>
    <s v="EERR"/>
    <n v="282648"/>
    <x v="123"/>
  </r>
  <r>
    <n v="2026"/>
    <n v="2"/>
    <s v="28-02-2026"/>
    <n v="10526"/>
    <s v="5101-01"/>
    <n v="0"/>
    <n v="292577"/>
    <s v="Centralización ventas febrero 2026  #37966 - valor neto"/>
    <n v="-292577"/>
    <s v="EERR"/>
    <n v="292577"/>
    <x v="123"/>
  </r>
  <r>
    <n v="2026"/>
    <n v="2"/>
    <s v="28-02-2026"/>
    <n v="10527"/>
    <s v="5101-01"/>
    <n v="0"/>
    <n v="2083096"/>
    <s v="Centralización ventas febrero 2026  #37968 - valor neto"/>
    <n v="-2083096"/>
    <s v="EERR"/>
    <n v="2083096"/>
    <x v="123"/>
  </r>
  <r>
    <n v="2026"/>
    <n v="2"/>
    <s v="28-02-2026"/>
    <n v="10528"/>
    <s v="5101-01"/>
    <n v="0"/>
    <n v="16798"/>
    <s v="Centralización ventas febrero 2026  #37969 - valor neto"/>
    <n v="-16798"/>
    <s v="EERR"/>
    <n v="16798"/>
    <x v="123"/>
  </r>
  <r>
    <n v="2026"/>
    <n v="2"/>
    <s v="28-02-2026"/>
    <n v="10529"/>
    <s v="5101-01"/>
    <n v="25000"/>
    <n v="0"/>
    <s v="Centralización ventas febrero 2026  #4501 - valor neto"/>
    <n v="25000"/>
    <s v="EERR"/>
    <n v="-25000"/>
    <x v="123"/>
  </r>
  <r>
    <n v="2026"/>
    <n v="2"/>
    <s v="28-02-2026"/>
    <n v="10530"/>
    <s v="5101-01"/>
    <n v="74992"/>
    <n v="0"/>
    <s v="Centralización ventas febrero 2026  #4510 - valor neto"/>
    <n v="74992"/>
    <s v="EERR"/>
    <n v="-74992"/>
    <x v="123"/>
  </r>
  <r>
    <n v="2026"/>
    <n v="2"/>
    <s v="28-02-2026"/>
    <n v="10531"/>
    <s v="5101-01"/>
    <n v="207884"/>
    <n v="0"/>
    <s v="Centralización ventas febrero 2026  #4520 - valor neto"/>
    <n v="207884"/>
    <s v="EERR"/>
    <n v="-207884"/>
    <x v="123"/>
  </r>
  <r>
    <n v="2026"/>
    <n v="2"/>
    <s v="28-02-2026"/>
    <n v="10532"/>
    <s v="5101-01"/>
    <n v="45361"/>
    <n v="0"/>
    <s v="Centralización ventas febrero 2026  #4525 - valor neto"/>
    <n v="45361"/>
    <s v="EERR"/>
    <n v="-45361"/>
    <x v="123"/>
  </r>
  <r>
    <n v="2026"/>
    <n v="2"/>
    <s v="28-02-2026"/>
    <n v="10533"/>
    <s v="5101-01"/>
    <n v="16092"/>
    <n v="0"/>
    <s v="Centralización ventas febrero 2026  #4527 - valor neto"/>
    <n v="16092"/>
    <s v="EERR"/>
    <n v="-16092"/>
    <x v="123"/>
  </r>
  <r>
    <n v="2026"/>
    <n v="2"/>
    <s v="28-02-2026"/>
    <n v="10534"/>
    <s v="5101-01"/>
    <n v="10916"/>
    <n v="0"/>
    <s v="Centralización ventas febrero 2026  #4528 - valor neto"/>
    <n v="10916"/>
    <s v="EERR"/>
    <n v="-10916"/>
    <x v="123"/>
  </r>
  <r>
    <n v="2026"/>
    <n v="2"/>
    <s v="28-02-2026"/>
    <n v="10535"/>
    <s v="5101-01"/>
    <n v="27714"/>
    <n v="0"/>
    <s v="Centralización ventas febrero 2026  #4529 - valor neto"/>
    <n v="27714"/>
    <s v="EERR"/>
    <n v="-27714"/>
    <x v="123"/>
  </r>
  <r>
    <n v="2026"/>
    <n v="2"/>
    <s v="28-02-2026"/>
    <n v="10536"/>
    <s v="5101-01"/>
    <n v="31084"/>
    <n v="0"/>
    <s v="Centralización ventas febrero 2026  #4530 - valor neto"/>
    <n v="31084"/>
    <s v="EERR"/>
    <n v="-31084"/>
    <x v="123"/>
  </r>
  <r>
    <n v="2026"/>
    <n v="2"/>
    <s v="28-02-2026"/>
    <n v="10537"/>
    <s v="5101-01"/>
    <n v="110924"/>
    <n v="0"/>
    <s v="Centralización ventas febrero 2026  #4531 - valor neto"/>
    <n v="110924"/>
    <s v="EERR"/>
    <n v="-110924"/>
    <x v="123"/>
  </r>
  <r>
    <n v="2026"/>
    <n v="2"/>
    <s v="28-02-2026"/>
    <n v="10538"/>
    <s v="5101-01"/>
    <n v="130252"/>
    <n v="0"/>
    <s v="Centralización ventas febrero 2026  #4532 - valor neto"/>
    <n v="130252"/>
    <s v="EERR"/>
    <n v="-130252"/>
    <x v="123"/>
  </r>
  <r>
    <n v="2026"/>
    <n v="2"/>
    <s v="28-02-2026"/>
    <n v="10539"/>
    <s v="5101-01"/>
    <n v="19311"/>
    <n v="0"/>
    <s v="Centralización ventas febrero 2026  #4533 - valor neto"/>
    <n v="19311"/>
    <s v="EERR"/>
    <n v="-19311"/>
    <x v="123"/>
  </r>
  <r>
    <n v="2026"/>
    <n v="2"/>
    <s v="28-02-2026"/>
    <n v="10540"/>
    <s v="5101-01"/>
    <n v="32756"/>
    <n v="0"/>
    <s v="Centralización ventas febrero 2026  #4534 - valor neto"/>
    <n v="32756"/>
    <s v="EERR"/>
    <n v="-32756"/>
    <x v="123"/>
  </r>
  <r>
    <n v="2026"/>
    <n v="2"/>
    <s v="28-02-2026"/>
    <n v="10541"/>
    <s v="5101-01"/>
    <n v="7055"/>
    <n v="0"/>
    <s v="Centralización ventas febrero 2026  #4535 - valor neto"/>
    <n v="7055"/>
    <s v="EERR"/>
    <n v="-7055"/>
    <x v="123"/>
  </r>
  <r>
    <n v="2026"/>
    <n v="2"/>
    <s v="28-02-2026"/>
    <n v="10542"/>
    <s v="5101-01"/>
    <n v="10916"/>
    <n v="0"/>
    <s v="Centralización ventas febrero 2026  #4536 - valor neto"/>
    <n v="10916"/>
    <s v="EERR"/>
    <n v="-10916"/>
    <x v="123"/>
  </r>
  <r>
    <n v="2026"/>
    <n v="2"/>
    <s v="28-02-2026"/>
    <n v="10543"/>
    <s v="5101-01"/>
    <n v="20151"/>
    <n v="0"/>
    <s v="Centralización ventas febrero 2026  #4537 - valor neto"/>
    <n v="20151"/>
    <s v="EERR"/>
    <n v="-20151"/>
    <x v="123"/>
  </r>
  <r>
    <n v="2026"/>
    <n v="2"/>
    <s v="28-02-2026"/>
    <n v="10544"/>
    <s v="5101-01"/>
    <n v="21832"/>
    <n v="0"/>
    <s v="Centralización ventas febrero 2026  #4538 - valor neto"/>
    <n v="21832"/>
    <s v="EERR"/>
    <n v="-21832"/>
    <x v="123"/>
  </r>
  <r>
    <n v="2026"/>
    <n v="2"/>
    <s v="28-02-2026"/>
    <n v="10545"/>
    <s v="5101-01"/>
    <n v="28458"/>
    <n v="0"/>
    <s v="Centralización ventas febrero 2026  #4539 - valor neto"/>
    <n v="28458"/>
    <s v="EERR"/>
    <n v="-28458"/>
    <x v="123"/>
  </r>
  <r>
    <n v="2026"/>
    <n v="2"/>
    <s v="28-02-2026"/>
    <n v="10546"/>
    <s v="5101-01"/>
    <n v="24361"/>
    <n v="0"/>
    <s v="Centralización ventas febrero 2026  #4540 - valor neto"/>
    <n v="24361"/>
    <s v="EERR"/>
    <n v="-24361"/>
    <x v="123"/>
  </r>
  <r>
    <n v="2026"/>
    <n v="2"/>
    <s v="28-02-2026"/>
    <n v="10547"/>
    <s v="5101-01"/>
    <n v="25210"/>
    <n v="0"/>
    <s v="Centralización ventas febrero 2026  #4541 - valor neto"/>
    <n v="25210"/>
    <s v="EERR"/>
    <n v="-25210"/>
    <x v="123"/>
  </r>
  <r>
    <n v="2026"/>
    <n v="2"/>
    <s v="28-02-2026"/>
    <n v="10548"/>
    <s v="5101-01"/>
    <n v="10916"/>
    <n v="0"/>
    <s v="Centralización ventas febrero 2026  #4542 - valor neto"/>
    <n v="10916"/>
    <s v="EERR"/>
    <n v="-10916"/>
    <x v="123"/>
  </r>
  <r>
    <n v="2026"/>
    <n v="2"/>
    <s v="28-02-2026"/>
    <n v="10549"/>
    <s v="5101-01"/>
    <n v="8395"/>
    <n v="0"/>
    <s v="Centralización ventas febrero 2026  #4543 - valor neto"/>
    <n v="8395"/>
    <s v="EERR"/>
    <n v="-8395"/>
    <x v="123"/>
  </r>
  <r>
    <n v="2026"/>
    <n v="2"/>
    <s v="28-02-2026"/>
    <n v="10550"/>
    <s v="5101-01"/>
    <n v="52016"/>
    <n v="0"/>
    <s v="Centralización ventas febrero 2026  #4544 - valor neto"/>
    <n v="52016"/>
    <s v="EERR"/>
    <n v="-52016"/>
    <x v="123"/>
  </r>
  <r>
    <n v="2026"/>
    <n v="2"/>
    <s v="28-02-2026"/>
    <n v="10551"/>
    <s v="5101-01"/>
    <n v="37197"/>
    <n v="0"/>
    <s v="Centralización ventas febrero 2026  #4545 - valor neto"/>
    <n v="37197"/>
    <s v="EERR"/>
    <n v="-37197"/>
    <x v="123"/>
  </r>
  <r>
    <n v="2026"/>
    <n v="2"/>
    <s v="28-02-2026"/>
    <n v="10552"/>
    <s v="5101-01"/>
    <n v="1680"/>
    <n v="0"/>
    <s v="Centralización ventas febrero 2026  #4546 - valor neto"/>
    <n v="1680"/>
    <s v="EERR"/>
    <n v="-1680"/>
    <x v="123"/>
  </r>
  <r>
    <n v="2026"/>
    <n v="2"/>
    <s v="28-02-2026"/>
    <n v="10553"/>
    <s v="5101-01"/>
    <n v="18479"/>
    <n v="0"/>
    <s v="Centralización ventas febrero 2026  #4547 - valor neto"/>
    <n v="18479"/>
    <s v="EERR"/>
    <n v="-18479"/>
    <x v="123"/>
  </r>
  <r>
    <n v="2026"/>
    <n v="2"/>
    <s v="28-02-2026"/>
    <n v="10554"/>
    <s v="5101-01"/>
    <n v="25707"/>
    <n v="0"/>
    <s v="Centralización ventas febrero 2026  #4548 - valor neto"/>
    <n v="25707"/>
    <s v="EERR"/>
    <n v="-25707"/>
    <x v="123"/>
  </r>
  <r>
    <n v="2026"/>
    <n v="2"/>
    <s v="28-02-2026"/>
    <n v="10555"/>
    <s v="5101-01"/>
    <n v="12319"/>
    <n v="0"/>
    <s v="Centralización ventas febrero 2026  #4549 - valor neto"/>
    <n v="12319"/>
    <s v="EERR"/>
    <n v="-12319"/>
    <x v="123"/>
  </r>
  <r>
    <n v="2026"/>
    <n v="2"/>
    <s v="28-02-2026"/>
    <n v="10556"/>
    <s v="5101-01"/>
    <n v="7978"/>
    <n v="0"/>
    <s v="Centralización ventas febrero 2026  #4550 - valor neto"/>
    <n v="7978"/>
    <s v="EERR"/>
    <n v="-7978"/>
    <x v="123"/>
  </r>
  <r>
    <n v="2026"/>
    <n v="2"/>
    <s v="28-02-2026"/>
    <n v="10557"/>
    <s v="5101-01"/>
    <n v="16798"/>
    <n v="0"/>
    <s v="Centralización ventas febrero 2026  #4551 - valor neto"/>
    <n v="16798"/>
    <s v="EERR"/>
    <n v="-16798"/>
    <x v="123"/>
  </r>
  <r>
    <n v="2026"/>
    <n v="2"/>
    <s v="28-02-2026"/>
    <n v="10558"/>
    <s v="5101-01"/>
    <n v="13551"/>
    <n v="0"/>
    <s v="Centralización ventas febrero 2026  #4552 - valor neto"/>
    <n v="13551"/>
    <s v="EERR"/>
    <n v="-13551"/>
    <x v="123"/>
  </r>
  <r>
    <n v="2026"/>
    <n v="2"/>
    <s v="28-02-2026"/>
    <n v="10559"/>
    <s v="5101-01"/>
    <n v="12597"/>
    <n v="0"/>
    <s v="Centralización ventas febrero 2026  #4553 - valor neto"/>
    <n v="12597"/>
    <s v="EERR"/>
    <n v="-12597"/>
    <x v="123"/>
  </r>
  <r>
    <n v="2026"/>
    <n v="2"/>
    <s v="28-02-2026"/>
    <n v="10560"/>
    <s v="5101-01"/>
    <n v="10916"/>
    <n v="0"/>
    <s v="Centralización ventas febrero 2026  #4554 - valor neto"/>
    <n v="10916"/>
    <s v="EERR"/>
    <n v="-10916"/>
    <x v="123"/>
  </r>
  <r>
    <n v="2026"/>
    <n v="2"/>
    <s v="28-02-2026"/>
    <n v="10561"/>
    <s v="5101-01"/>
    <n v="27697"/>
    <n v="0"/>
    <s v="Centralización ventas febrero 2026  #4555 - valor neto"/>
    <n v="27697"/>
    <s v="EERR"/>
    <n v="-27697"/>
    <x v="123"/>
  </r>
  <r>
    <n v="2026"/>
    <n v="2"/>
    <s v="28-02-2026"/>
    <n v="10562"/>
    <s v="5101-01"/>
    <n v="26874"/>
    <n v="0"/>
    <s v="Centralización ventas febrero 2026  #4556 - valor neto"/>
    <n v="26874"/>
    <s v="EERR"/>
    <n v="-26874"/>
    <x v="123"/>
  </r>
  <r>
    <n v="2026"/>
    <n v="2"/>
    <s v="28-02-2026"/>
    <n v="10563"/>
    <s v="5101-01"/>
    <n v="26866"/>
    <n v="0"/>
    <s v="Centralización ventas febrero 2026  #4557 - valor neto"/>
    <n v="26866"/>
    <s v="EERR"/>
    <n v="-26866"/>
    <x v="123"/>
  </r>
  <r>
    <n v="2026"/>
    <n v="2"/>
    <s v="28-02-2026"/>
    <n v="10564"/>
    <s v="5101-01"/>
    <n v="26042"/>
    <n v="0"/>
    <s v="Centralización ventas febrero 2026  #4558 - valor neto"/>
    <n v="26042"/>
    <s v="EERR"/>
    <n v="-26042"/>
    <x v="123"/>
  </r>
  <r>
    <n v="2026"/>
    <n v="2"/>
    <s v="28-02-2026"/>
    <n v="10565"/>
    <s v="5101-01"/>
    <n v="25210"/>
    <n v="0"/>
    <s v="Centralización ventas febrero 2026  #4559 - valor neto"/>
    <n v="25210"/>
    <s v="EERR"/>
    <n v="-25210"/>
    <x v="123"/>
  </r>
  <r>
    <n v="2026"/>
    <n v="2"/>
    <s v="28-02-2026"/>
    <n v="10566"/>
    <s v="5101-01"/>
    <n v="25210"/>
    <n v="0"/>
    <s v="Centralización ventas febrero 2026  #4560 - valor neto"/>
    <n v="25210"/>
    <s v="EERR"/>
    <n v="-25210"/>
    <x v="123"/>
  </r>
  <r>
    <n v="2026"/>
    <n v="2"/>
    <s v="28-02-2026"/>
    <n v="10567"/>
    <s v="5101-01"/>
    <n v="24361"/>
    <n v="0"/>
    <s v="Centralización ventas febrero 2026  #4561 - valor neto"/>
    <n v="24361"/>
    <s v="EERR"/>
    <n v="-24361"/>
    <x v="123"/>
  </r>
  <r>
    <n v="2026"/>
    <n v="2"/>
    <s v="28-02-2026"/>
    <n v="10568"/>
    <s v="5101-01"/>
    <n v="37807"/>
    <n v="0"/>
    <s v="Centralización ventas febrero 2026  #4562 - valor neto"/>
    <n v="37807"/>
    <s v="EERR"/>
    <n v="-37807"/>
    <x v="123"/>
  </r>
  <r>
    <n v="2026"/>
    <n v="2"/>
    <s v="28-02-2026"/>
    <n v="10569"/>
    <s v="5101-01"/>
    <n v="20992"/>
    <n v="0"/>
    <s v="Centralización ventas febrero 2026  #4563 - valor neto"/>
    <n v="20992"/>
    <s v="EERR"/>
    <n v="-20992"/>
    <x v="123"/>
  </r>
  <r>
    <n v="2026"/>
    <n v="2"/>
    <s v="28-02-2026"/>
    <n v="10570"/>
    <s v="5101-01"/>
    <n v="19319"/>
    <n v="0"/>
    <s v="Centralización ventas febrero 2026  #4564 - valor neto"/>
    <n v="19319"/>
    <s v="EERR"/>
    <n v="-19319"/>
    <x v="123"/>
  </r>
  <r>
    <n v="2026"/>
    <n v="2"/>
    <s v="28-02-2026"/>
    <n v="10571"/>
    <s v="5101-01"/>
    <n v="19311"/>
    <n v="0"/>
    <s v="Centralización ventas febrero 2026  #4565 - valor neto"/>
    <n v="19311"/>
    <s v="EERR"/>
    <n v="-19311"/>
    <x v="123"/>
  </r>
  <r>
    <n v="2026"/>
    <n v="2"/>
    <s v="28-02-2026"/>
    <n v="10572"/>
    <s v="5101-01"/>
    <n v="18479"/>
    <n v="0"/>
    <s v="Centralización ventas febrero 2026  #4566 - valor neto"/>
    <n v="18479"/>
    <s v="EERR"/>
    <n v="-18479"/>
    <x v="123"/>
  </r>
  <r>
    <n v="2026"/>
    <n v="2"/>
    <s v="28-02-2026"/>
    <n v="10573"/>
    <s v="5101-01"/>
    <n v="17855"/>
    <n v="0"/>
    <s v="Centralización ventas febrero 2026  #4567 - valor neto"/>
    <n v="17855"/>
    <s v="EERR"/>
    <n v="-17855"/>
    <x v="123"/>
  </r>
  <r>
    <n v="2026"/>
    <n v="2"/>
    <s v="28-02-2026"/>
    <n v="10574"/>
    <s v="5101-01"/>
    <n v="16798"/>
    <n v="0"/>
    <s v="Centralización ventas febrero 2026  #4568 - valor neto"/>
    <n v="16798"/>
    <s v="EERR"/>
    <n v="-16798"/>
    <x v="123"/>
  </r>
  <r>
    <n v="2026"/>
    <n v="2"/>
    <s v="28-02-2026"/>
    <n v="10575"/>
    <s v="5101-01"/>
    <n v="12605"/>
    <n v="0"/>
    <s v="Centralización ventas febrero 2026  #4569 - valor neto"/>
    <n v="12605"/>
    <s v="EERR"/>
    <n v="-12605"/>
    <x v="123"/>
  </r>
  <r>
    <n v="2026"/>
    <n v="2"/>
    <s v="28-02-2026"/>
    <n v="10576"/>
    <s v="5101-01"/>
    <n v="12597"/>
    <n v="0"/>
    <s v="Centralización ventas febrero 2026  #4570 - valor neto"/>
    <n v="12597"/>
    <s v="EERR"/>
    <n v="-12597"/>
    <x v="123"/>
  </r>
  <r>
    <n v="2026"/>
    <n v="2"/>
    <s v="28-02-2026"/>
    <n v="10577"/>
    <s v="5101-01"/>
    <n v="12597"/>
    <n v="0"/>
    <s v="Centralización ventas febrero 2026  #4571 - valor neto"/>
    <n v="12597"/>
    <s v="EERR"/>
    <n v="-12597"/>
    <x v="123"/>
  </r>
  <r>
    <n v="2026"/>
    <n v="2"/>
    <s v="28-02-2026"/>
    <n v="10578"/>
    <s v="5101-01"/>
    <n v="10916"/>
    <n v="0"/>
    <s v="Centralización ventas febrero 2026  #4572 - valor neto"/>
    <n v="10916"/>
    <s v="EERR"/>
    <n v="-10916"/>
    <x v="123"/>
  </r>
  <r>
    <n v="2026"/>
    <n v="2"/>
    <s v="28-02-2026"/>
    <n v="10579"/>
    <s v="5101-01"/>
    <n v="10916"/>
    <n v="0"/>
    <s v="Centralización ventas febrero 2026  #4573 - valor neto"/>
    <n v="10916"/>
    <s v="EERR"/>
    <n v="-10916"/>
    <x v="123"/>
  </r>
  <r>
    <n v="2026"/>
    <n v="2"/>
    <s v="28-02-2026"/>
    <n v="10580"/>
    <s v="5101-01"/>
    <n v="4366"/>
    <n v="0"/>
    <s v="Centralización ventas febrero 2026  #4574 - valor neto"/>
    <n v="4366"/>
    <s v="EERR"/>
    <n v="-4366"/>
    <x v="123"/>
  </r>
  <r>
    <n v="2026"/>
    <n v="2"/>
    <s v="28-02-2026"/>
    <n v="10581"/>
    <s v="5101-01"/>
    <n v="37798"/>
    <n v="0"/>
    <s v="Centralización ventas febrero 2026  #4575 - valor neto"/>
    <n v="37798"/>
    <s v="EERR"/>
    <n v="-37798"/>
    <x v="123"/>
  </r>
  <r>
    <n v="2026"/>
    <n v="2"/>
    <s v="28-02-2026"/>
    <n v="10582"/>
    <s v="5101-01"/>
    <n v="33613"/>
    <n v="0"/>
    <s v="Centralización ventas febrero 2026  #4576 - valor neto"/>
    <n v="33613"/>
    <s v="EERR"/>
    <n v="-33613"/>
    <x v="123"/>
  </r>
  <r>
    <n v="2026"/>
    <n v="2"/>
    <s v="28-02-2026"/>
    <n v="10583"/>
    <s v="5101-01"/>
    <n v="33613"/>
    <n v="0"/>
    <s v="Centralización ventas febrero 2026  #4577 - valor neto"/>
    <n v="33613"/>
    <s v="EERR"/>
    <n v="-33613"/>
    <x v="123"/>
  </r>
  <r>
    <n v="2026"/>
    <n v="2"/>
    <s v="28-02-2026"/>
    <n v="10584"/>
    <s v="5101-01"/>
    <n v="32749"/>
    <n v="0"/>
    <s v="Centralización ventas febrero 2026  #4578 - valor neto"/>
    <n v="32749"/>
    <s v="EERR"/>
    <n v="-32749"/>
    <x v="123"/>
  </r>
  <r>
    <n v="2026"/>
    <n v="2"/>
    <s v="28-02-2026"/>
    <n v="10585"/>
    <s v="5101-01"/>
    <n v="22254"/>
    <n v="0"/>
    <s v="Centralización ventas febrero 2026  #4579 - valor neto"/>
    <n v="22254"/>
    <s v="EERR"/>
    <n v="-22254"/>
    <x v="123"/>
  </r>
  <r>
    <n v="2026"/>
    <n v="2"/>
    <s v="28-02-2026"/>
    <n v="10586"/>
    <s v="5101-01"/>
    <n v="689279"/>
    <n v="0"/>
    <s v="Centralización ventas febrero 2026  #4580 - valor neto"/>
    <n v="689279"/>
    <s v="EERR"/>
    <n v="-689279"/>
    <x v="123"/>
  </r>
  <r>
    <n v="2026"/>
    <n v="2"/>
    <s v="28-02-2026"/>
    <n v="10587"/>
    <s v="5101-01"/>
    <n v="24365"/>
    <n v="0"/>
    <s v="Centralización ventas febrero 2026  #4581 - valor neto"/>
    <n v="24365"/>
    <s v="EERR"/>
    <n v="-24365"/>
    <x v="123"/>
  </r>
  <r>
    <n v="2026"/>
    <n v="3"/>
    <s v="31-03-2026"/>
    <n v="10602"/>
    <s v="5101-01"/>
    <n v="0"/>
    <n v="130877942"/>
    <s v="Centralización ventas marzo 2026  #32026 - valor neto"/>
    <n v="-130877942"/>
    <s v="EERR"/>
    <n v="130877942"/>
    <x v="123"/>
  </r>
  <r>
    <n v="2026"/>
    <n v="3"/>
    <s v="31-03-2026"/>
    <n v="10741"/>
    <s v="5101-01"/>
    <n v="8499533"/>
    <n v="0"/>
    <s v="Centralización ventas marzo 2026  - valor neto"/>
    <n v="8499533"/>
    <s v="EERR"/>
    <n v="-8499533"/>
    <x v="123"/>
  </r>
  <r>
    <n v="2026"/>
    <n v="3"/>
    <s v="31-03-2026"/>
    <n v="10741"/>
    <s v="5101-01"/>
    <n v="0"/>
    <n v="63225840"/>
    <s v="Centralización ventas marzo 2026  - valor neto"/>
    <n v="-63225840"/>
    <s v="EERR"/>
    <n v="63225840"/>
    <x v="123"/>
  </r>
  <r>
    <n v="2026"/>
    <n v="4"/>
    <s v="30-04-2026"/>
    <n v="10755"/>
    <s v="5101-01"/>
    <n v="5844051"/>
    <n v="0"/>
    <s v="Centralización ventas abril 2026  - valor neto"/>
    <n v="5844051"/>
    <s v="EERR"/>
    <n v="-5844051"/>
    <x v="123"/>
  </r>
  <r>
    <n v="2026"/>
    <n v="4"/>
    <s v="30-04-2026"/>
    <n v="10755"/>
    <s v="5101-01"/>
    <n v="0"/>
    <n v="198776087"/>
    <s v="Centralización ventas abril 2026  - valor neto"/>
    <n v="-198776087"/>
    <s v="EERR"/>
    <n v="198776087"/>
    <x v="123"/>
  </r>
  <r>
    <n v="2026"/>
    <n v="5"/>
    <s v="31-05-2026"/>
    <n v="10781"/>
    <s v="5101-01"/>
    <n v="8639106"/>
    <n v="0"/>
    <s v="Centralización ventas mayo 2026  - valor neto"/>
    <n v="8639106"/>
    <s v="EERR"/>
    <n v="-8639106"/>
    <x v="123"/>
  </r>
  <r>
    <n v="2026"/>
    <n v="5"/>
    <s v="31-05-2026"/>
    <n v="10781"/>
    <s v="5101-01"/>
    <n v="0"/>
    <n v="206774592"/>
    <s v="Centralización ventas mayo 2026  - valor neto"/>
    <n v="-206774592"/>
    <s v="EERR"/>
    <n v="206774592"/>
    <x v="123"/>
  </r>
  <r>
    <n v="2026"/>
    <n v="5"/>
    <s v="31-05-2026"/>
    <n v="10844"/>
    <s v="5101-01"/>
    <n v="549252"/>
    <n v="0"/>
    <s v="Centralización ventas mayo 2026  - valor neto"/>
    <n v="549252"/>
    <s v="EERR"/>
    <n v="-549252"/>
    <x v="123"/>
  </r>
  <r>
    <n v="2026"/>
    <n v="6"/>
    <s v="30-06-2026"/>
    <n v="10797"/>
    <s v="5101-01"/>
    <n v="5446574"/>
    <n v="0"/>
    <s v="Centralización ventas junio 2026  - valor neto"/>
    <n v="5446574"/>
    <s v="EERR"/>
    <n v="-5446574"/>
    <x v="123"/>
  </r>
  <r>
    <n v="2026"/>
    <n v="6"/>
    <s v="30-06-2026"/>
    <n v="10797"/>
    <s v="5101-01"/>
    <n v="0"/>
    <n v="204899762"/>
    <s v="Centralización ventas junio 2026  - valor neto"/>
    <n v="-204899762"/>
    <s v="EERR"/>
    <n v="204899762"/>
    <x v="123"/>
  </r>
  <r>
    <n v="2026"/>
    <n v="7"/>
    <s v="31-07-2026"/>
    <n v="10851"/>
    <s v="5101-01"/>
    <n v="7886664"/>
    <n v="0"/>
    <s v="Centralización ventas julio 2026  - valor neto"/>
    <n v="7886664"/>
    <s v="EERR"/>
    <n v="-7886664"/>
    <x v="123"/>
  </r>
  <r>
    <n v="2026"/>
    <n v="7"/>
    <s v="31-07-2026"/>
    <n v="10851"/>
    <s v="5101-01"/>
    <n v="0"/>
    <n v="212732752"/>
    <s v="Centralización ventas julio 2026  - valor neto"/>
    <n v="-212732752"/>
    <s v="EERR"/>
    <n v="212732752"/>
    <x v="123"/>
  </r>
  <r>
    <n v="2026"/>
    <n v="4"/>
    <s v="30-04-2026"/>
    <n v="10777"/>
    <s v="5201-01"/>
    <n v="0"/>
    <n v="5656567"/>
    <s v="Diferencia tc banco santander"/>
    <n v="-5656567"/>
    <s v="EERR"/>
    <n v="5656567"/>
    <x v="124"/>
  </r>
  <r>
    <n v="2026"/>
    <n v="6"/>
    <s v="30-06-2026"/>
    <n v="10840"/>
    <s v="5201-01"/>
    <n v="0"/>
    <n v="6578"/>
    <s v="Diferencias de cambio santander usd"/>
    <n v="-6578"/>
    <s v="EERR"/>
    <n v="6578"/>
    <x v="124"/>
  </r>
  <r>
    <n v="2026"/>
    <n v="7"/>
    <s v="31-07-2026"/>
    <n v="12635"/>
    <s v="5201-01"/>
    <n v="10793"/>
    <n v="0"/>
    <s v="Diferencias de cambio santander usd"/>
    <n v="10793"/>
    <s v="EERR"/>
    <n v="-10793"/>
    <x v="124"/>
  </r>
  <r>
    <n v="2026"/>
    <n v="5"/>
    <s v="27-05-2026"/>
    <n v="11949"/>
    <s v="5202-01"/>
    <n v="0"/>
    <n v="890048"/>
    <s v="Devolucion impto a la renta at 2026"/>
    <n v="-890048"/>
    <s v="EERR"/>
    <n v="890048"/>
    <x v="125"/>
  </r>
  <r>
    <n v="2026"/>
    <n v="6"/>
    <s v="30-06-2026"/>
    <n v="10849"/>
    <s v="5501-04"/>
    <n v="0"/>
    <n v="363230"/>
    <s v="Ccmm ppm al 30-06-2026"/>
    <n v="-363230"/>
    <s v="EERR"/>
    <n v="363230"/>
    <x v="12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1" cacheId="4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4:C12" firstHeaderRow="1" firstDataRow="1" firstDataCol="1"/>
  <pivotFields count="12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8">
        <item t="data" h="1" sd="1" x="0"/>
        <item t="data" sd="1" x="1"/>
        <item t="data" sd="1" x="2"/>
        <item t="data" sd="1" x="3"/>
        <item t="data" sd="1" x="4"/>
        <item t="data" h="1" sd="1" x="5"/>
        <item t="data" sd="1" x="6"/>
        <item t="data" sd="1" x="7"/>
        <item t="data" sd="1" x="8"/>
        <item t="data" h="1" sd="1" x="9"/>
        <item t="data" h="1" sd="1" x="10"/>
        <item t="data" h="1" sd="1" x="11"/>
        <item t="data" h="1" sd="1" x="12"/>
        <item t="data" h="1" sd="1" x="13"/>
        <item t="data" h="1" sd="1" x="14"/>
        <item t="data" h="1" sd="1" x="15"/>
        <item t="data" h="1" sd="1" x="16"/>
        <item t="data" h="1" sd="1" x="17"/>
        <item t="data" h="1" sd="1" x="18"/>
        <item t="data" h="1" sd="1" x="19"/>
        <item t="data" h="1" sd="1" x="20"/>
        <item t="data" h="1" sd="1" x="21"/>
        <item t="data" h="1" sd="1" x="22"/>
        <item t="data" h="1" sd="1" x="23"/>
        <item t="data" h="1" sd="1" x="24"/>
        <item t="data" h="1" sd="1" x="25"/>
        <item t="data" h="1" sd="1" x="26"/>
        <item t="data" h="1" sd="1" x="27"/>
        <item t="data" h="1" sd="1" x="28"/>
        <item t="data" h="1" sd="1" x="29"/>
        <item t="data" h="1" sd="1" x="30"/>
        <item t="data" h="1" sd="1" x="31"/>
        <item t="data" h="1" sd="1" x="32"/>
        <item t="data" h="1" sd="1" x="33"/>
        <item t="data" h="1" sd="1" x="34"/>
        <item t="data" h="1" sd="1" x="35"/>
        <item t="data" h="1" sd="1" x="36"/>
        <item t="data" h="1" sd="1" x="37"/>
        <item t="data" h="1" sd="1" x="38"/>
        <item t="data" h="1" sd="1" x="39"/>
        <item t="data" h="1" sd="1" x="40"/>
        <item t="data" h="1" sd="1" x="41"/>
        <item t="data" h="1" sd="1" x="42"/>
        <item t="data" h="1" sd="1" x="43"/>
        <item t="data" h="1" sd="1" x="44"/>
        <item t="data" h="1" sd="1" x="45"/>
        <item t="data" h="1" sd="1" x="46"/>
        <item t="data" h="1" sd="1" x="47"/>
        <item t="data" h="1" sd="1" x="48"/>
        <item t="data" h="1" sd="1" x="49"/>
        <item t="data" h="1" sd="1" x="50"/>
        <item t="data" h="1" sd="1" x="51"/>
        <item t="data" h="1" sd="1" x="52"/>
        <item t="data" h="1" sd="1" x="53"/>
        <item t="data" h="1" sd="1" x="54"/>
        <item t="data" h="1" sd="1" x="55"/>
        <item t="data" h="1" sd="1" x="56"/>
        <item t="data" h="1" sd="1" x="57"/>
        <item t="data" h="1" sd="1" x="58"/>
        <item t="data" h="1" sd="1" x="59"/>
        <item t="data" h="1" sd="1" x="60"/>
        <item t="data" h="1" sd="1" x="61"/>
        <item t="data" h="1" sd="1" x="62"/>
        <item t="data" h="1" sd="1" x="63"/>
        <item t="data" h="1" sd="1" x="64"/>
        <item t="data" h="1" sd="1" x="65"/>
        <item t="data" h="1" sd="1" x="66"/>
        <item t="data" h="1" sd="1" x="67"/>
        <item t="data" h="1" sd="1" x="68"/>
        <item t="data" h="1" sd="1" x="69"/>
        <item t="data" h="1" sd="1" x="70"/>
        <item t="data" h="1" sd="1" x="71"/>
        <item t="data" h="1" sd="1" x="72"/>
        <item t="data" h="1" sd="1" x="73"/>
        <item t="data" h="1" sd="1" x="74"/>
        <item t="data" h="1" sd="1" x="75"/>
        <item t="data" h="1" sd="1" x="76"/>
        <item t="data" h="1" sd="1" x="77"/>
        <item t="data" h="1" sd="1" x="78"/>
        <item t="data" h="1" sd="1" x="79"/>
        <item t="data" h="1" sd="1" x="80"/>
        <item t="data" h="1" sd="1" x="81"/>
        <item t="data" h="1" sd="1" x="82"/>
        <item t="data" h="1" sd="1" x="83"/>
        <item t="data" h="1" sd="1" x="84"/>
        <item t="data" h="1" sd="1" x="85"/>
        <item t="data" h="1" sd="1" x="86"/>
        <item t="data" h="1" sd="1" x="87"/>
        <item t="data" h="1" sd="1" x="88"/>
        <item t="data" h="1" sd="1" x="89"/>
        <item t="data" h="1" sd="1" x="90"/>
        <item t="data" h="1" sd="1" x="91"/>
        <item t="data" h="1" sd="1" x="92"/>
        <item t="data" h="1" sd="1" x="93"/>
        <item t="data" h="1" sd="1" x="94"/>
        <item t="data" h="1" sd="1" x="95"/>
        <item t="data" h="1" sd="1" x="96"/>
        <item t="data" h="1" sd="1" x="97"/>
        <item t="data" h="1" sd="1" x="98"/>
        <item t="data" h="1" sd="1" x="99"/>
        <item t="data" h="1" sd="1" x="100"/>
        <item t="data" h="1" sd="1" x="101"/>
        <item t="data" h="1" sd="1" x="102"/>
        <item t="data" h="1" sd="1" x="103"/>
        <item t="data" h="1" sd="1" x="104"/>
        <item t="data" h="1" sd="1" x="105"/>
        <item t="data" h="1" sd="1" x="106"/>
        <item t="data" h="1" sd="1" x="107"/>
        <item t="data" h="1" sd="1" x="108"/>
        <item t="data" h="1" sd="1" x="109"/>
        <item t="data" h="1" sd="1" x="110"/>
        <item t="data" h="1" sd="1" x="111"/>
        <item t="data" h="1" sd="1" x="112"/>
        <item t="data" h="1" sd="1" x="113"/>
        <item t="data" h="1" sd="1" x="114"/>
        <item t="data" h="1" sd="1" x="115"/>
        <item t="data" h="1" sd="1" x="116"/>
        <item t="data" h="1" sd="1" x="117"/>
        <item t="data" h="1" sd="1" x="118"/>
        <item t="data" h="1" sd="1" x="119"/>
        <item t="data" h="1" sd="1" x="120"/>
        <item t="data" h="1" sd="1" x="121"/>
        <item t="data" h="1" sd="1" x="122"/>
        <item t="data" h="1" sd="1" x="123"/>
        <item t="data" h="1" sd="1" x="124"/>
        <item t="data" h="1" sd="1" x="125"/>
        <item t="data" h="1" sd="1" x="126"/>
        <item t="default" sd="1"/>
      </items>
    </pivotField>
  </pivotFields>
  <rowFields count="1">
    <field x="11"/>
  </rowFields>
  <rowItems count="8">
    <i t="data" r="0" i="0">
      <x v="1"/>
    </i>
    <i t="data" r="0" i="0">
      <x v="2"/>
    </i>
    <i t="data" r="0" i="0">
      <x v="3"/>
    </i>
    <i t="data" r="0" i="0">
      <x v="4"/>
    </i>
    <i t="data" r="0" i="0">
      <x v="6"/>
    </i>
    <i t="data" r="0" i="0">
      <x v="7"/>
    </i>
    <i t="data" r="0" i="0">
      <x v="8"/>
    </i>
    <i t="grand" r="0" i="0">
      <x v="0"/>
    </i>
  </rowItems>
  <colItems count="1">
    <i t="data" r="0" i="0"/>
  </colItems>
  <dataFields count="1">
    <dataField name="Suma de SALDO" fld="8" subtotal="sum" showDataAs="normal" baseField="0" baseItem="0" numFmtId="41"/>
  </dataFields>
  <formats count="1">
    <format action="formatting" dxfId="10">
      <pivotArea type="normal" dataOnly="1" outline="0" collapsedLevelsAreSubtotals="1" fieldPosition="0"/>
    </format>
  </formats>
  <pivotTableStyleInfo name="PivotStyleMedium2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1" cacheId="4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4:C6" firstHeaderRow="1" firstDataRow="1" firstDataCol="1"/>
  <pivotFields count="12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8">
        <item t="data" sd="1" x="0"/>
        <item t="data" h="1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ata" h="1" sd="1" x="13"/>
        <item t="data" h="1" sd="1" x="14"/>
        <item t="data" h="1" sd="1" x="15"/>
        <item t="data" h="1" sd="1" x="16"/>
        <item t="data" h="1" sd="1" x="17"/>
        <item t="data" h="1" sd="1" x="18"/>
        <item t="data" h="1" sd="1" x="19"/>
        <item t="data" h="1" sd="1" x="20"/>
        <item t="data" h="1" sd="1" x="21"/>
        <item t="data" h="1" sd="1" x="22"/>
        <item t="data" h="1" sd="1" x="23"/>
        <item t="data" h="1" sd="1" x="24"/>
        <item t="data" h="1" sd="1" x="25"/>
        <item t="data" h="1" sd="1" x="26"/>
        <item t="data" h="1" sd="1" x="27"/>
        <item t="data" h="1" sd="1" x="28"/>
        <item t="data" h="1" sd="1" x="29"/>
        <item t="data" h="1" sd="1" x="30"/>
        <item t="data" h="1" sd="1" x="31"/>
        <item t="data" h="1" sd="1" x="32"/>
        <item t="data" h="1" sd="1" x="33"/>
        <item t="data" h="1" sd="1" x="34"/>
        <item t="data" h="1" sd="1" x="35"/>
        <item t="data" h="1" sd="1" x="36"/>
        <item t="data" h="1" sd="1" x="37"/>
        <item t="data" h="1" sd="1" x="38"/>
        <item t="data" h="1" sd="1" x="39"/>
        <item t="data" h="1" sd="1" x="40"/>
        <item t="data" h="1" sd="1" x="41"/>
        <item t="data" h="1" sd="1" x="42"/>
        <item t="data" h="1" sd="1" x="43"/>
        <item t="data" h="1" sd="1" x="44"/>
        <item t="data" h="1" sd="1" x="45"/>
        <item t="data" h="1" sd="1" x="46"/>
        <item t="data" h="1" sd="1" x="47"/>
        <item t="data" h="1" sd="1" x="48"/>
        <item t="data" h="1" sd="1" x="49"/>
        <item t="data" h="1" sd="1" x="50"/>
        <item t="data" h="1" sd="1" x="51"/>
        <item t="data" h="1" sd="1" x="52"/>
        <item t="data" h="1" sd="1" x="53"/>
        <item t="data" h="1" sd="1" x="54"/>
        <item t="data" h="1" sd="1" x="55"/>
        <item t="data" h="1" sd="1" x="56"/>
        <item t="data" h="1" sd="1" x="57"/>
        <item t="data" h="1" sd="1" x="58"/>
        <item t="data" h="1" sd="1" x="59"/>
        <item t="data" h="1" sd="1" x="60"/>
        <item t="data" h="1" sd="1" x="61"/>
        <item t="data" h="1" sd="1" x="62"/>
        <item t="data" h="1" sd="1" x="63"/>
        <item t="data" h="1" sd="1" x="64"/>
        <item t="data" h="1" sd="1" x="65"/>
        <item t="data" h="1" sd="1" x="66"/>
        <item t="data" h="1" sd="1" x="67"/>
        <item t="data" h="1" sd="1" x="68"/>
        <item t="data" h="1" sd="1" x="69"/>
        <item t="data" h="1" sd="1" x="70"/>
        <item t="data" h="1" sd="1" x="71"/>
        <item t="data" h="1" sd="1" x="72"/>
        <item t="data" h="1" sd="1" x="73"/>
        <item t="data" h="1" sd="1" x="74"/>
        <item t="data" h="1" sd="1" x="75"/>
        <item t="data" h="1" sd="1" x="76"/>
        <item t="data" h="1" sd="1" x="77"/>
        <item t="data" h="1" sd="1" x="78"/>
        <item t="data" h="1" sd="1" x="79"/>
        <item t="data" h="1" sd="1" x="80"/>
        <item t="data" h="1" sd="1" x="81"/>
        <item t="data" h="1" sd="1" x="82"/>
        <item t="data" h="1" sd="1" x="83"/>
        <item t="data" h="1" sd="1" x="84"/>
        <item t="data" h="1" sd="1" x="85"/>
        <item t="data" h="1" sd="1" x="86"/>
        <item t="data" h="1" sd="1" x="87"/>
        <item t="data" h="1" sd="1" x="88"/>
        <item t="data" h="1" sd="1" x="89"/>
        <item t="data" h="1" sd="1" x="90"/>
        <item t="data" h="1" sd="1" x="91"/>
        <item t="data" h="1" sd="1" x="92"/>
        <item t="data" h="1" sd="1" x="93"/>
        <item t="data" h="1" sd="1" x="94"/>
        <item t="data" h="1" sd="1" x="95"/>
        <item t="data" h="1" sd="1" x="96"/>
        <item t="data" h="1" sd="1" x="97"/>
        <item t="data" h="1" sd="1" x="98"/>
        <item t="data" h="1" sd="1" x="99"/>
        <item t="data" h="1" sd="1" x="100"/>
        <item t="data" h="1" sd="1" x="101"/>
        <item t="data" h="1" sd="1" x="102"/>
        <item t="data" h="1" sd="1" x="103"/>
        <item t="data" h="1" sd="1" x="104"/>
        <item t="data" h="1" sd="1" x="105"/>
        <item t="data" h="1" sd="1" x="106"/>
        <item t="data" h="1" sd="1" x="107"/>
        <item t="data" h="1" sd="1" x="108"/>
        <item t="data" h="1" sd="1" x="109"/>
        <item t="data" h="1" sd="1" x="110"/>
        <item t="data" h="1" sd="1" x="111"/>
        <item t="data" h="1" sd="1" x="112"/>
        <item t="data" h="1" sd="1" x="113"/>
        <item t="data" h="1" sd="1" x="114"/>
        <item t="data" h="1" sd="1" x="115"/>
        <item t="data" h="1" sd="1" x="116"/>
        <item t="data" h="1" sd="1" x="117"/>
        <item t="data" h="1" sd="1" x="118"/>
        <item t="data" h="1" sd="1" x="119"/>
        <item t="data" h="1" sd="1" x="120"/>
        <item t="data" h="1" sd="1" x="121"/>
        <item t="data" h="1" sd="1" x="122"/>
        <item t="data" h="1" sd="1" x="123"/>
        <item t="data" h="1" sd="1" x="124"/>
        <item t="data" h="1" sd="1" x="125"/>
        <item t="data" h="1" sd="1" x="126"/>
        <item t="default" sd="1"/>
      </items>
    </pivotField>
  </pivotFields>
  <rowFields count="1">
    <field x="11"/>
  </rowFields>
  <rowItems count="2">
    <i t="data" r="0" i="0">
      <x v="0"/>
    </i>
    <i t="grand" r="0" i="0">
      <x v="0"/>
    </i>
  </rowItems>
  <colItems count="1">
    <i t="data" r="0" i="0"/>
  </colItems>
  <dataFields count="1">
    <dataField name="Suma de SALDO" fld="8" subtotal="sum" showDataAs="normal" baseField="0" baseItem="0" numFmtId="41"/>
  </dataFields>
  <formats count="1">
    <format action="formatting" dxfId="9">
      <pivotArea type="normal" dataOnly="1" outline="0" collapsedLevelsAreSubtotals="1" fieldPosition="0"/>
    </format>
  </formats>
  <pivotTableStyleInfo name="PivotStyleMedium2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1" cacheId="4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4:C6" firstHeaderRow="1" firstDataRow="1" firstDataCol="1"/>
  <pivotFields count="12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8">
        <item t="data" sd="1" x="0"/>
        <item t="data" h="1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ata" h="1" sd="1" x="13"/>
        <item t="data" h="1" sd="1" x="14"/>
        <item t="data" h="1" sd="1" x="15"/>
        <item t="data" h="1" sd="1" x="16"/>
        <item t="data" h="1" sd="1" x="17"/>
        <item t="data" h="1" sd="1" x="18"/>
        <item t="data" h="1" sd="1" x="19"/>
        <item t="data" h="1" sd="1" x="20"/>
        <item t="data" h="1" sd="1" x="21"/>
        <item t="data" h="1" sd="1" x="22"/>
        <item t="data" h="1" sd="1" x="23"/>
        <item t="data" h="1" sd="1" x="24"/>
        <item t="data" h="1" sd="1" x="25"/>
        <item t="data" h="1" sd="1" x="26"/>
        <item t="data" h="1" sd="1" x="27"/>
        <item t="data" h="1" sd="1" x="28"/>
        <item t="data" h="1" sd="1" x="29"/>
        <item t="data" h="1" sd="1" x="30"/>
        <item t="data" h="1" sd="1" x="31"/>
        <item t="data" h="1" sd="1" x="32"/>
        <item t="data" h="1" sd="1" x="33"/>
        <item t="data" h="1" sd="1" x="34"/>
        <item t="data" h="1" sd="1" x="35"/>
        <item t="data" h="1" sd="1" x="36"/>
        <item t="data" h="1" sd="1" x="37"/>
        <item t="data" h="1" sd="1" x="38"/>
        <item t="data" h="1" sd="1" x="39"/>
        <item t="data" h="1" sd="1" x="40"/>
        <item t="data" h="1" sd="1" x="41"/>
        <item t="data" h="1" sd="1" x="42"/>
        <item t="data" h="1" sd="1" x="43"/>
        <item t="data" h="1" sd="1" x="44"/>
        <item t="data" h="1" sd="1" x="45"/>
        <item t="data" h="1" sd="1" x="46"/>
        <item t="data" h="1" sd="1" x="47"/>
        <item t="data" h="1" sd="1" x="48"/>
        <item t="data" h="1" sd="1" x="49"/>
        <item t="data" h="1" sd="1" x="50"/>
        <item t="data" h="1" sd="1" x="51"/>
        <item t="data" h="1" sd="1" x="52"/>
        <item t="data" h="1" sd="1" x="53"/>
        <item t="data" h="1" sd="1" x="54"/>
        <item t="data" h="1" sd="1" x="55"/>
        <item t="data" h="1" sd="1" x="56"/>
        <item t="data" h="1" sd="1" x="57"/>
        <item t="data" h="1" sd="1" x="58"/>
        <item t="data" h="1" sd="1" x="59"/>
        <item t="data" h="1" sd="1" x="60"/>
        <item t="data" h="1" sd="1" x="61"/>
        <item t="data" h="1" sd="1" x="62"/>
        <item t="data" h="1" sd="1" x="63"/>
        <item t="data" h="1" sd="1" x="64"/>
        <item t="data" h="1" sd="1" x="65"/>
        <item t="data" h="1" sd="1" x="66"/>
        <item t="data" h="1" sd="1" x="67"/>
        <item t="data" h="1" sd="1" x="68"/>
        <item t="data" h="1" sd="1" x="69"/>
        <item t="data" h="1" sd="1" x="70"/>
        <item t="data" h="1" sd="1" x="71"/>
        <item t="data" h="1" sd="1" x="72"/>
        <item t="data" h="1" sd="1" x="73"/>
        <item t="data" h="1" sd="1" x="74"/>
        <item t="data" h="1" sd="1" x="75"/>
        <item t="data" h="1" sd="1" x="76"/>
        <item t="data" h="1" sd="1" x="77"/>
        <item t="data" h="1" sd="1" x="78"/>
        <item t="data" h="1" sd="1" x="79"/>
        <item t="data" h="1" sd="1" x="80"/>
        <item t="data" h="1" sd="1" x="81"/>
        <item t="data" h="1" sd="1" x="82"/>
        <item t="data" h="1" sd="1" x="83"/>
        <item t="data" h="1" sd="1" x="84"/>
        <item t="data" h="1" sd="1" x="85"/>
        <item t="data" h="1" sd="1" x="86"/>
        <item t="data" h="1" sd="1" x="87"/>
        <item t="data" h="1" sd="1" x="88"/>
        <item t="data" h="1" sd="1" x="89"/>
        <item t="data" h="1" sd="1" x="90"/>
        <item t="data" h="1" sd="1" x="91"/>
        <item t="data" h="1" sd="1" x="92"/>
        <item t="data" h="1" sd="1" x="93"/>
        <item t="data" h="1" sd="1" x="94"/>
        <item t="data" h="1" sd="1" x="95"/>
        <item t="data" h="1" sd="1" x="96"/>
        <item t="data" h="1" sd="1" x="97"/>
        <item t="data" h="1" sd="1" x="98"/>
        <item t="data" h="1" sd="1" x="99"/>
        <item t="data" h="1" sd="1" x="100"/>
        <item t="data" h="1" sd="1" x="101"/>
        <item t="data" h="1" sd="1" x="102"/>
        <item t="data" h="1" sd="1" x="103"/>
        <item t="data" h="1" sd="1" x="104"/>
        <item t="data" h="1" sd="1" x="105"/>
        <item t="data" h="1" sd="1" x="106"/>
        <item t="data" h="1" sd="1" x="107"/>
        <item t="data" h="1" sd="1" x="108"/>
        <item t="data" h="1" sd="1" x="109"/>
        <item t="data" h="1" sd="1" x="110"/>
        <item t="data" h="1" sd="1" x="111"/>
        <item t="data" h="1" sd="1" x="112"/>
        <item t="data" h="1" sd="1" x="113"/>
        <item t="data" h="1" sd="1" x="114"/>
        <item t="data" h="1" sd="1" x="115"/>
        <item t="data" h="1" sd="1" x="116"/>
        <item t="data" h="1" sd="1" x="117"/>
        <item t="data" h="1" sd="1" x="118"/>
        <item t="data" h="1" sd="1" x="119"/>
        <item t="data" h="1" sd="1" x="120"/>
        <item t="data" h="1" sd="1" x="121"/>
        <item t="data" h="1" sd="1" x="122"/>
        <item t="data" h="1" sd="1" x="123"/>
        <item t="data" h="1" sd="1" x="124"/>
        <item t="data" h="1" sd="1" x="125"/>
        <item t="data" h="1" sd="1" x="126"/>
        <item t="default" sd="1"/>
      </items>
    </pivotField>
  </pivotFields>
  <rowFields count="1">
    <field x="11"/>
  </rowFields>
  <rowItems count="2">
    <i t="data" r="0" i="0">
      <x v="0"/>
    </i>
    <i t="grand" r="0" i="0">
      <x v="0"/>
    </i>
  </rowItems>
  <colItems count="1">
    <i t="data" r="0" i="0"/>
  </colItems>
  <dataFields count="1">
    <dataField name="Suma de SALDO" fld="8" subtotal="sum" showDataAs="normal" baseField="0" baseItem="0" numFmtId="41"/>
  </dataFields>
  <formats count="1">
    <format action="formatting" dxfId="8">
      <pivotArea type="normal" dataOnly="1" outline="0" collapsedLevelsAreSubtotals="1" fieldPosition="0"/>
    </format>
  </formats>
  <pivotTableStyleInfo name="PivotStyleMedium2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Dinámica1" cacheId="4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4:C8" firstHeaderRow="1" firstDataRow="1" firstDataCol="1"/>
  <pivotFields count="12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8">
        <item t="data" h="1" sd="1" x="0"/>
        <item t="data" h="1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ata" h="1" sd="1" x="13"/>
        <item t="data" h="1" sd="1" x="14"/>
        <item t="data" h="1" sd="1" x="15"/>
        <item t="data" h="1" sd="1" x="16"/>
        <item t="data" h="1" sd="1" x="17"/>
        <item t="data" h="1" sd="1" x="18"/>
        <item t="data" h="1" sd="1" x="19"/>
        <item t="data" sd="1" x="20"/>
        <item t="data" sd="1" x="21"/>
        <item t="data" sd="1" x="22"/>
        <item t="data" h="1" sd="1" x="23"/>
        <item t="data" h="1" sd="1" x="24"/>
        <item t="data" h="1" sd="1" x="25"/>
        <item t="data" h="1" sd="1" x="26"/>
        <item t="data" h="1" sd="1" x="27"/>
        <item t="data" h="1" sd="1" x="28"/>
        <item t="data" h="1" sd="1" x="29"/>
        <item t="data" h="1" sd="1" x="30"/>
        <item t="data" h="1" sd="1" x="31"/>
        <item t="data" h="1" sd="1" x="32"/>
        <item t="data" h="1" sd="1" x="33"/>
        <item t="data" h="1" sd="1" x="34"/>
        <item t="data" h="1" sd="1" x="35"/>
        <item t="data" h="1" sd="1" x="36"/>
        <item t="data" h="1" sd="1" x="37"/>
        <item t="data" h="1" sd="1" x="38"/>
        <item t="data" h="1" sd="1" x="39"/>
        <item t="data" h="1" sd="1" x="40"/>
        <item t="data" h="1" sd="1" x="41"/>
        <item t="data" h="1" sd="1" x="42"/>
        <item t="data" h="1" sd="1" x="43"/>
        <item t="data" h="1" sd="1" x="44"/>
        <item t="data" h="1" sd="1" x="45"/>
        <item t="data" h="1" sd="1" x="46"/>
        <item t="data" h="1" sd="1" x="47"/>
        <item t="data" h="1" sd="1" x="48"/>
        <item t="data" h="1" sd="1" x="49"/>
        <item t="data" h="1" sd="1" x="50"/>
        <item t="data" h="1" sd="1" x="51"/>
        <item t="data" h="1" sd="1" x="52"/>
        <item t="data" h="1" sd="1" x="53"/>
        <item t="data" h="1" sd="1" x="54"/>
        <item t="data" h="1" sd="1" x="55"/>
        <item t="data" h="1" sd="1" x="56"/>
        <item t="data" h="1" sd="1" x="57"/>
        <item t="data" h="1" sd="1" x="58"/>
        <item t="data" h="1" sd="1" x="59"/>
        <item t="data" h="1" sd="1" x="60"/>
        <item t="data" h="1" sd="1" x="61"/>
        <item t="data" h="1" sd="1" x="62"/>
        <item t="data" h="1" sd="1" x="63"/>
        <item t="data" h="1" sd="1" x="64"/>
        <item t="data" h="1" sd="1" x="65"/>
        <item t="data" h="1" sd="1" x="66"/>
        <item t="data" h="1" sd="1" x="67"/>
        <item t="data" h="1" sd="1" x="68"/>
        <item t="data" h="1" sd="1" x="69"/>
        <item t="data" h="1" sd="1" x="70"/>
        <item t="data" h="1" sd="1" x="71"/>
        <item t="data" h="1" sd="1" x="72"/>
        <item t="data" h="1" sd="1" x="73"/>
        <item t="data" h="1" sd="1" x="74"/>
        <item t="data" h="1" sd="1" x="75"/>
        <item t="data" h="1" sd="1" x="76"/>
        <item t="data" h="1" sd="1" x="77"/>
        <item t="data" h="1" sd="1" x="78"/>
        <item t="data" h="1" sd="1" x="79"/>
        <item t="data" h="1" sd="1" x="80"/>
        <item t="data" h="1" sd="1" x="81"/>
        <item t="data" h="1" sd="1" x="82"/>
        <item t="data" h="1" sd="1" x="83"/>
        <item t="data" h="1" sd="1" x="84"/>
        <item t="data" h="1" sd="1" x="85"/>
        <item t="data" h="1" sd="1" x="86"/>
        <item t="data" h="1" sd="1" x="87"/>
        <item t="data" h="1" sd="1" x="88"/>
        <item t="data" h="1" sd="1" x="89"/>
        <item t="data" h="1" sd="1" x="90"/>
        <item t="data" h="1" sd="1" x="91"/>
        <item t="data" h="1" sd="1" x="92"/>
        <item t="data" h="1" sd="1" x="93"/>
        <item t="data" h="1" sd="1" x="94"/>
        <item t="data" h="1" sd="1" x="95"/>
        <item t="data" h="1" sd="1" x="96"/>
        <item t="data" h="1" sd="1" x="97"/>
        <item t="data" h="1" sd="1" x="98"/>
        <item t="data" h="1" sd="1" x="99"/>
        <item t="data" h="1" sd="1" x="100"/>
        <item t="data" h="1" sd="1" x="101"/>
        <item t="data" h="1" sd="1" x="102"/>
        <item t="data" h="1" sd="1" x="103"/>
        <item t="data" h="1" sd="1" x="104"/>
        <item t="data" h="1" sd="1" x="105"/>
        <item t="data" h="1" sd="1" x="106"/>
        <item t="data" h="1" sd="1" x="107"/>
        <item t="data" h="1" sd="1" x="108"/>
        <item t="data" h="1" sd="1" x="109"/>
        <item t="data" h="1" sd="1" x="110"/>
        <item t="data" h="1" sd="1" x="111"/>
        <item t="data" h="1" sd="1" x="112"/>
        <item t="data" h="1" sd="1" x="113"/>
        <item t="data" h="1" sd="1" x="114"/>
        <item t="data" h="1" sd="1" x="115"/>
        <item t="data" h="1" sd="1" x="116"/>
        <item t="data" h="1" sd="1" x="117"/>
        <item t="data" h="1" sd="1" x="118"/>
        <item t="data" h="1" sd="1" x="119"/>
        <item t="data" h="1" sd="1" x="120"/>
        <item t="data" h="1" sd="1" x="121"/>
        <item t="data" h="1" sd="1" x="122"/>
        <item t="data" h="1" sd="1" x="123"/>
        <item t="data" h="1" sd="1" x="124"/>
        <item t="data" h="1" sd="1" x="125"/>
        <item t="data" h="1" sd="1" x="126"/>
        <item t="default" sd="1"/>
      </items>
    </pivotField>
  </pivotFields>
  <rowFields count="1">
    <field x="11"/>
  </rowFields>
  <rowItems count="4">
    <i t="data" r="0" i="0">
      <x v="20"/>
    </i>
    <i t="data" r="0" i="0">
      <x v="21"/>
    </i>
    <i t="data" r="0" i="0">
      <x v="22"/>
    </i>
    <i t="grand" r="0" i="0">
      <x v="0"/>
    </i>
  </rowItems>
  <colItems count="1">
    <i t="data" r="0" i="0"/>
  </colItems>
  <dataFields count="1">
    <dataField name="Suma de SALDO" fld="8" subtotal="sum" showDataAs="normal" baseField="0" baseItem="0" numFmtId="41"/>
  </dataFields>
  <formats count="1">
    <format action="formatting" dxfId="7">
      <pivotArea type="normal" dataOnly="1" outline="0" collapsedLevelsAreSubtotals="1" fieldPosition="0"/>
    </format>
  </formats>
  <pivotTableStyleInfo name="PivotStyleMedium2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Dinámica1" cacheId="4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4:C10" firstHeaderRow="1" firstDataRow="1" firstDataCol="1"/>
  <pivotFields count="12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numFmtId="166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8">
        <item t="data" h="1" sd="1" x="0"/>
        <item t="data" h="1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sd="1" x="9"/>
        <item t="data" h="1" sd="1" x="10"/>
        <item t="data" sd="1" x="11"/>
        <item t="data" sd="1" x="12"/>
        <item t="data" h="1" sd="1" x="13"/>
        <item t="data" sd="1" x="14"/>
        <item t="data" h="1" sd="1" x="15"/>
        <item t="data" h="1" sd="1" x="16"/>
        <item t="data" h="1" sd="1" x="17"/>
        <item t="data" sd="1" x="18"/>
        <item t="data" h="1" sd="1" x="19"/>
        <item t="data" h="1" sd="1" x="20"/>
        <item t="data" h="1" sd="1" x="21"/>
        <item t="data" h="1" sd="1" x="22"/>
        <item t="data" h="1" sd="1" x="23"/>
        <item t="data" h="1" sd="1" x="24"/>
        <item t="data" h="1" sd="1" x="25"/>
        <item t="data" h="1" sd="1" x="26"/>
        <item t="data" h="1" sd="1" x="27"/>
        <item t="data" h="1" sd="1" x="28"/>
        <item t="data" h="1" sd="1" x="29"/>
        <item t="data" h="1" sd="1" x="30"/>
        <item t="data" h="1" sd="1" x="31"/>
        <item t="data" h="1" sd="1" x="32"/>
        <item t="data" h="1" sd="1" x="33"/>
        <item t="data" h="1" sd="1" x="34"/>
        <item t="data" h="1" sd="1" x="35"/>
        <item t="data" h="1" sd="1" x="36"/>
        <item t="data" h="1" sd="1" x="37"/>
        <item t="data" h="1" sd="1" x="38"/>
        <item t="data" h="1" sd="1" x="39"/>
        <item t="data" h="1" sd="1" x="40"/>
        <item t="data" h="1" sd="1" x="41"/>
        <item t="data" h="1" sd="1" x="42"/>
        <item t="data" h="1" sd="1" x="43"/>
        <item t="data" h="1" sd="1" x="44"/>
        <item t="data" h="1" sd="1" x="45"/>
        <item t="data" h="1" sd="1" x="46"/>
        <item t="data" h="1" sd="1" x="47"/>
        <item t="data" h="1" sd="1" x="48"/>
        <item t="data" h="1" sd="1" x="49"/>
        <item t="data" h="1" sd="1" x="50"/>
        <item t="data" h="1" sd="1" x="51"/>
        <item t="data" h="1" sd="1" x="52"/>
        <item t="data" h="1" sd="1" x="53"/>
        <item t="data" h="1" sd="1" x="54"/>
        <item t="data" h="1" sd="1" x="55"/>
        <item t="data" h="1" sd="1" x="56"/>
        <item t="data" h="1" sd="1" x="57"/>
        <item t="data" h="1" sd="1" x="58"/>
        <item t="data" h="1" sd="1" x="59"/>
        <item t="data" h="1" sd="1" x="60"/>
        <item t="data" h="1" sd="1" x="61"/>
        <item t="data" h="1" sd="1" x="62"/>
        <item t="data" h="1" sd="1" x="63"/>
        <item t="data" h="1" sd="1" x="64"/>
        <item t="data" h="1" sd="1" x="65"/>
        <item t="data" h="1" sd="1" x="66"/>
        <item t="data" h="1" sd="1" x="67"/>
        <item t="data" h="1" sd="1" x="68"/>
        <item t="data" h="1" sd="1" x="69"/>
        <item t="data" h="1" sd="1" x="70"/>
        <item t="data" h="1" sd="1" x="71"/>
        <item t="data" h="1" sd="1" x="72"/>
        <item t="data" h="1" sd="1" x="73"/>
        <item t="data" h="1" sd="1" x="74"/>
        <item t="data" h="1" sd="1" x="75"/>
        <item t="data" h="1" sd="1" x="76"/>
        <item t="data" h="1" sd="1" x="77"/>
        <item t="data" h="1" sd="1" x="78"/>
        <item t="data" h="1" sd="1" x="79"/>
        <item t="data" h="1" sd="1" x="80"/>
        <item t="data" h="1" sd="1" x="81"/>
        <item t="data" h="1" sd="1" x="82"/>
        <item t="data" h="1" sd="1" x="83"/>
        <item t="data" h="1" sd="1" x="84"/>
        <item t="data" h="1" sd="1" x="85"/>
        <item t="data" h="1" sd="1" x="86"/>
        <item t="data" h="1" sd="1" x="87"/>
        <item t="data" h="1" sd="1" x="88"/>
        <item t="data" h="1" sd="1" x="89"/>
        <item t="data" h="1" sd="1" x="90"/>
        <item t="data" h="1" sd="1" x="91"/>
        <item t="data" h="1" sd="1" x="92"/>
        <item t="data" h="1" sd="1" x="93"/>
        <item t="data" h="1" sd="1" x="94"/>
        <item t="data" h="1" sd="1" x="95"/>
        <item t="data" h="1" sd="1" x="96"/>
        <item t="data" h="1" sd="1" x="97"/>
        <item t="data" h="1" sd="1" x="98"/>
        <item t="data" h="1" sd="1" x="99"/>
        <item t="data" h="1" sd="1" x="100"/>
        <item t="data" h="1" sd="1" x="101"/>
        <item t="data" h="1" sd="1" x="102"/>
        <item t="data" h="1" sd="1" x="103"/>
        <item t="data" h="1" sd="1" x="104"/>
        <item t="data" h="1" sd="1" x="105"/>
        <item t="data" h="1" sd="1" x="106"/>
        <item t="data" h="1" sd="1" x="107"/>
        <item t="data" h="1" sd="1" x="108"/>
        <item t="data" h="1" sd="1" x="109"/>
        <item t="data" h="1" sd="1" x="110"/>
        <item t="data" h="1" sd="1" x="111"/>
        <item t="data" h="1" sd="1" x="112"/>
        <item t="data" h="1" sd="1" x="113"/>
        <item t="data" h="1" sd="1" x="114"/>
        <item t="data" h="1" sd="1" x="115"/>
        <item t="data" h="1" sd="1" x="116"/>
        <item t="data" h="1" sd="1" x="117"/>
        <item t="data" h="1" sd="1" x="118"/>
        <item t="data" h="1" sd="1" x="119"/>
        <item t="data" h="1" sd="1" x="120"/>
        <item t="data" h="1" sd="1" x="121"/>
        <item t="data" h="1" sd="1" x="122"/>
        <item t="data" h="1" sd="1" x="123"/>
        <item t="data" h="1" sd="1" x="124"/>
        <item t="data" h="1" sd="1" x="125"/>
        <item t="data" h="1" sd="1" x="126"/>
        <item t="default" sd="1"/>
      </items>
    </pivotField>
  </pivotFields>
  <rowFields count="1">
    <field x="11"/>
  </rowFields>
  <rowItems count="6">
    <i t="data" r="0" i="0">
      <x v="9"/>
    </i>
    <i t="data" r="0" i="0">
      <x v="11"/>
    </i>
    <i t="data" r="0" i="0">
      <x v="12"/>
    </i>
    <i t="data" r="0" i="0">
      <x v="14"/>
    </i>
    <i t="data" r="0" i="0">
      <x v="18"/>
    </i>
    <i t="grand" r="0" i="0">
      <x v="0"/>
    </i>
  </rowItems>
  <colItems count="1">
    <i t="data" r="0" i="0"/>
  </colItems>
  <dataFields count="1">
    <dataField name="Suma de SALDO" fld="8" subtotal="sum" showDataAs="normal" baseField="0" baseItem="0" numFmtId="41"/>
  </dataFields>
  <formats count="1">
    <format action="formatting" dxfId="6">
      <pivotArea type="normal" dataOnly="1" outline="0" collapsedLevelsAreSubtotals="1" fieldPosition="0"/>
    </format>
  </formats>
  <pivotTableStyleInfo name="PivotStyleMedium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a1" displayName="Tabla1" ref="A1:L14188" headerRowCount="1" totalsRowShown="0" headerRowDxfId="12" dataDxfId="11">
  <autoFilter ref="A1:L14188"/>
  <tableColumns count="12">
    <tableColumn id="1" name="CpbAno" dataDxfId="24">
      <calculatedColumnFormula>+YEAR(C2)</calculatedColumnFormula>
    </tableColumn>
    <tableColumn id="2" name="CpbMes" dataDxfId="23">
      <calculatedColumnFormula>+MONTH(C2)</calculatedColumnFormula>
    </tableColumn>
    <tableColumn id="3" name="CpbFec" dataDxfId="22">
      <calculatedColumnFormula>+Mayor!C2</calculatedColumnFormula>
    </tableColumn>
    <tableColumn id="4" name="CpbNum" dataDxfId="21">
      <calculatedColumnFormula>+Mayor!E2</calculatedColumnFormula>
    </tableColumn>
    <tableColumn id="5" name="PctCod" dataDxfId="20">
      <calculatedColumnFormula>+Mayor!A2</calculatedColumnFormula>
    </tableColumn>
    <tableColumn id="6" name="MovDebe" dataDxfId="19">
      <calculatedColumnFormula>+Mayor!J2</calculatedColumnFormula>
    </tableColumn>
    <tableColumn id="7" name="MovHaber" dataDxfId="18">
      <calculatedColumnFormula>+Mayor!K2</calculatedColumnFormula>
    </tableColumn>
    <tableColumn id="8" name="MovGlosa" dataDxfId="17">
      <calculatedColumnFormula>+Mayor!G2</calculatedColumnFormula>
    </tableColumn>
    <tableColumn id="9" name="SALDO" dataDxfId="16">
      <calculatedColumnFormula>IF(D2="00000000",0,+F2-G2)</calculatedColumnFormula>
    </tableColumn>
    <tableColumn id="10" name="CLASIF" dataDxfId="15">
      <calculatedColumnFormula>IF(+MID(E2,1,1)="1","Activo",IF(+MID(E2,1,1)="2","Pasivo",IF(+MID(E2,1,1)="3","Pasivo","EERR")))</calculatedColumnFormula>
    </tableColumn>
    <tableColumn id="11" name="SALDO CLAS" dataDxfId="14">
      <calculatedColumnFormula>+IF(J2="Activo",F2-G2,-F2+G2)</calculatedColumnFormula>
    </tableColumn>
    <tableColumn id="12" name="Cuenta" dataDxfId="13">
      <calculatedColumnFormula>+Mayor!A2&amp;" "&amp;Mayor!B2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1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2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3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4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5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C3:M21"/>
  <sheetViews>
    <sheetView showGridLines="0" zoomScale="90" zoomScaleNormal="90" workbookViewId="0">
      <selection activeCell="O13" sqref="O13"/>
    </sheetView>
  </sheetViews>
  <sheetFormatPr baseColWidth="10" defaultRowHeight="14.5"/>
  <sheetData>
    <row r="3" ht="14.5" customHeight="1" s="21">
      <c r="C3" s="18" t="inlineStr">
        <is>
          <t>ANALISIS MENSUAL</t>
        </is>
      </c>
    </row>
    <row r="4" ht="14.5" customHeight="1" s="21"/>
    <row r="6" ht="14.5" customHeight="1" s="21">
      <c r="C6" s="19" t="n"/>
    </row>
    <row r="7" ht="14.5" customHeight="1" s="21"/>
    <row r="8" ht="14.5" customHeight="1" s="21">
      <c r="C8" s="19" t="n"/>
    </row>
    <row r="9" ht="14.5" customHeight="1" s="21"/>
    <row r="11" ht="16" customHeight="1" s="21">
      <c r="C11" s="13" t="n"/>
    </row>
    <row r="12" ht="16" customHeight="1" s="21">
      <c r="C12" s="13" t="n"/>
    </row>
    <row r="14" ht="14.5" customHeight="1" s="21">
      <c r="C14" s="14" t="n"/>
    </row>
    <row r="15" ht="14.5" customHeight="1" s="21"/>
    <row r="16" ht="14.5" customHeight="1" s="21">
      <c r="C16" s="14" t="n"/>
      <c r="D16" s="14" t="n"/>
      <c r="E16" s="14" t="n"/>
      <c r="F16" s="14" t="n"/>
      <c r="G16" s="14" t="n"/>
      <c r="H16" s="14" t="n"/>
      <c r="I16" s="14" t="n"/>
      <c r="J16" s="14" t="n"/>
      <c r="K16" s="14" t="n"/>
      <c r="L16" s="14" t="n"/>
      <c r="M16" s="14" t="n"/>
    </row>
    <row r="17">
      <c r="C17" t="inlineStr">
        <is>
          <t>Analista:</t>
        </is>
      </c>
      <c r="D17" s="71" t="n"/>
      <c r="E17" s="2" t="n"/>
      <c r="F17" s="2" t="n"/>
      <c r="G17" s="2" t="n"/>
      <c r="H17" s="2" t="n"/>
      <c r="I17" s="2" t="n"/>
      <c r="J17" s="2" t="n"/>
      <c r="K17" s="2" t="n"/>
      <c r="L17" s="2" t="n"/>
      <c r="M17" s="3" t="n"/>
    </row>
    <row r="19">
      <c r="C19" t="inlineStr">
        <is>
          <t>Ruta:</t>
        </is>
      </c>
      <c r="D19" s="1" t="n"/>
      <c r="E19" s="2" t="n"/>
      <c r="F19" s="2" t="n"/>
      <c r="G19" s="2" t="n"/>
      <c r="H19" s="2" t="n"/>
      <c r="I19" s="2" t="n"/>
      <c r="J19" s="2" t="n"/>
      <c r="K19" s="2" t="n"/>
      <c r="L19" s="2" t="n"/>
      <c r="M19" s="3" t="n"/>
    </row>
    <row r="21">
      <c r="C21" t="inlineStr">
        <is>
          <t>Importar</t>
        </is>
      </c>
    </row>
  </sheetData>
  <mergeCells count="7">
    <mergeCell ref="C3:M4"/>
    <mergeCell ref="C8:M9"/>
    <mergeCell ref="C12:M12"/>
    <mergeCell ref="C6:M7"/>
    <mergeCell ref="D17:M17"/>
    <mergeCell ref="C11:M11"/>
    <mergeCell ref="C14:M15"/>
  </mergeCells>
  <pageMargins left="0.7" right="0.7" top="0.75" bottom="0.75" header="0.3" footer="0.3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J139"/>
  <sheetViews>
    <sheetView showGridLines="0" tabSelected="1" zoomScale="80" zoomScaleNormal="80" workbookViewId="0">
      <selection activeCell="B12" sqref="B12"/>
    </sheetView>
  </sheetViews>
  <sheetFormatPr baseColWidth="10" defaultRowHeight="14.5"/>
  <cols>
    <col width="5.54296875" customWidth="1" style="21" min="1" max="1"/>
    <col width="51" customWidth="1" style="21" min="2" max="2"/>
    <col width="14.08984375" customWidth="1" style="21" min="3" max="10"/>
  </cols>
  <sheetData>
    <row r="2">
      <c r="B2" s="22" t="n"/>
    </row>
    <row r="3">
      <c r="B3" s="22" t="inlineStr">
        <is>
          <t>Representante Legal</t>
        </is>
      </c>
    </row>
    <row r="4">
      <c r="B4" s="22" t="n"/>
    </row>
    <row r="5">
      <c r="B5" s="46" t="inlineStr">
        <is>
          <t>BALANCE GENERAL</t>
        </is>
      </c>
    </row>
    <row r="6">
      <c r="B6" s="47">
        <f>+"EJERCICIO DESDE ENERO A "&amp;Portada!C14</f>
        <v/>
      </c>
    </row>
    <row r="8">
      <c r="B8" s="24" t="n"/>
      <c r="C8" s="20" t="inlineStr">
        <is>
          <t>SUMAS</t>
        </is>
      </c>
      <c r="D8" s="3" t="n"/>
      <c r="E8" s="20" t="inlineStr">
        <is>
          <t>SALDOS</t>
        </is>
      </c>
      <c r="F8" s="3" t="n"/>
      <c r="G8" s="20" t="inlineStr">
        <is>
          <t>INVENTARIO</t>
        </is>
      </c>
      <c r="H8" s="3" t="n"/>
      <c r="I8" s="20" t="inlineStr">
        <is>
          <t>RESULTADO</t>
        </is>
      </c>
      <c r="J8" s="3" t="n"/>
    </row>
    <row r="9">
      <c r="B9" s="20" t="inlineStr">
        <is>
          <t>Cuenta</t>
        </is>
      </c>
      <c r="C9" s="20" t="inlineStr">
        <is>
          <t>Debitos</t>
        </is>
      </c>
      <c r="D9" s="20" t="inlineStr">
        <is>
          <t>Creditos</t>
        </is>
      </c>
      <c r="E9" s="20" t="inlineStr">
        <is>
          <t>Deudor</t>
        </is>
      </c>
      <c r="F9" s="20" t="inlineStr">
        <is>
          <t>Acreedor</t>
        </is>
      </c>
      <c r="G9" s="20" t="inlineStr">
        <is>
          <t>Activo</t>
        </is>
      </c>
      <c r="H9" s="20" t="inlineStr">
        <is>
          <t>Pasivo</t>
        </is>
      </c>
      <c r="I9" s="20" t="inlineStr">
        <is>
          <t>Perdidas</t>
        </is>
      </c>
      <c r="J9" s="20" t="inlineStr">
        <is>
          <t>Ganancias</t>
        </is>
      </c>
    </row>
    <row r="10">
      <c r="B10" s="24" t="n"/>
      <c r="C10" s="25" t="n"/>
      <c r="D10" s="25" t="n"/>
      <c r="E10" s="25" t="n"/>
      <c r="F10" s="25" t="n"/>
      <c r="G10" s="25" t="n"/>
      <c r="H10" s="25" t="n"/>
      <c r="I10" s="25" t="n"/>
      <c r="J10" s="25" t="n"/>
    </row>
    <row r="11">
      <c r="B11" s="24" t="n"/>
      <c r="C11" s="25" t="n"/>
      <c r="D11" s="25" t="n"/>
      <c r="E11" s="25" t="n"/>
      <c r="F11" s="25" t="n"/>
      <c r="G11" s="25" t="n"/>
      <c r="H11" s="25" t="n"/>
      <c r="I11" s="25" t="n"/>
      <c r="J11" s="25" t="n"/>
    </row>
    <row r="12">
      <c r="B12" s="24" t="n"/>
      <c r="C12" s="25" t="n"/>
      <c r="D12" s="25" t="n"/>
      <c r="E12" s="25" t="n"/>
      <c r="F12" s="25" t="n"/>
      <c r="G12" s="25" t="n"/>
      <c r="H12" s="25" t="n"/>
      <c r="I12" s="25" t="n"/>
      <c r="J12" s="25" t="n"/>
    </row>
    <row r="13">
      <c r="B13" s="24" t="n"/>
      <c r="C13" s="25" t="n"/>
      <c r="D13" s="25" t="n"/>
      <c r="E13" s="25" t="n"/>
      <c r="F13" s="25" t="n"/>
      <c r="G13" s="25" t="n"/>
      <c r="H13" s="25" t="n"/>
      <c r="I13" s="25" t="n"/>
      <c r="J13" s="25" t="n"/>
    </row>
    <row r="14">
      <c r="B14" s="24" t="n"/>
      <c r="C14" s="25" t="n"/>
      <c r="D14" s="25" t="n"/>
      <c r="E14" s="25" t="n"/>
      <c r="F14" s="25" t="n"/>
      <c r="G14" s="25" t="n"/>
      <c r="H14" s="25" t="n"/>
      <c r="I14" s="25" t="n"/>
      <c r="J14" s="25" t="n"/>
    </row>
    <row r="15">
      <c r="B15" s="24" t="n"/>
      <c r="C15" s="25" t="n"/>
      <c r="D15" s="25" t="n"/>
      <c r="E15" s="25" t="n"/>
      <c r="F15" s="25" t="n"/>
      <c r="G15" s="25" t="n"/>
      <c r="H15" s="25" t="n"/>
      <c r="I15" s="25" t="n"/>
      <c r="J15" s="25" t="n"/>
    </row>
    <row r="16">
      <c r="B16" s="24" t="n"/>
      <c r="C16" s="25" t="n"/>
      <c r="D16" s="25" t="n"/>
      <c r="E16" s="25" t="n"/>
      <c r="F16" s="25" t="n"/>
      <c r="G16" s="25" t="n"/>
      <c r="H16" s="25" t="n"/>
      <c r="I16" s="25" t="n"/>
      <c r="J16" s="25" t="n"/>
    </row>
    <row r="17">
      <c r="B17" s="24" t="n"/>
      <c r="C17" s="25" t="n"/>
      <c r="D17" s="25" t="n"/>
      <c r="E17" s="25" t="n"/>
      <c r="F17" s="25" t="n"/>
      <c r="G17" s="25" t="n"/>
      <c r="H17" s="25" t="n"/>
      <c r="I17" s="25" t="n"/>
      <c r="J17" s="25" t="n"/>
    </row>
    <row r="18">
      <c r="B18" s="24" t="n"/>
      <c r="C18" s="25" t="n"/>
      <c r="D18" s="25" t="n"/>
      <c r="E18" s="25" t="n"/>
      <c r="F18" s="25" t="n"/>
      <c r="G18" s="25" t="n"/>
      <c r="H18" s="25" t="n"/>
      <c r="I18" s="25" t="n"/>
      <c r="J18" s="25" t="n"/>
    </row>
    <row r="19">
      <c r="B19" s="24" t="n"/>
      <c r="C19" s="25" t="n"/>
      <c r="D19" s="25" t="n"/>
      <c r="E19" s="25" t="n"/>
      <c r="F19" s="25" t="n"/>
      <c r="G19" s="25" t="n"/>
      <c r="H19" s="25" t="n"/>
      <c r="I19" s="25" t="n"/>
      <c r="J19" s="25" t="n"/>
    </row>
    <row r="20">
      <c r="B20" s="24" t="n"/>
      <c r="C20" s="25" t="n"/>
      <c r="D20" s="25" t="n"/>
      <c r="E20" s="25" t="n"/>
      <c r="F20" s="25" t="n"/>
      <c r="G20" s="25" t="n"/>
      <c r="H20" s="25" t="n"/>
      <c r="I20" s="25" t="n"/>
      <c r="J20" s="25" t="n"/>
    </row>
    <row r="21">
      <c r="B21" s="24" t="n"/>
      <c r="C21" s="25" t="n"/>
      <c r="D21" s="25" t="n"/>
      <c r="E21" s="25" t="n"/>
      <c r="F21" s="25" t="n"/>
      <c r="G21" s="25" t="n"/>
      <c r="H21" s="25" t="n"/>
      <c r="I21" s="25" t="n"/>
      <c r="J21" s="25" t="n"/>
    </row>
    <row r="22">
      <c r="B22" s="24" t="n"/>
      <c r="C22" s="25" t="n"/>
      <c r="D22" s="25" t="n"/>
      <c r="E22" s="25" t="n"/>
      <c r="F22" s="25" t="n"/>
      <c r="G22" s="25" t="n"/>
      <c r="H22" s="25" t="n"/>
      <c r="I22" s="25" t="n"/>
      <c r="J22" s="25" t="n"/>
    </row>
    <row r="23">
      <c r="B23" s="24" t="n"/>
      <c r="C23" s="25" t="n"/>
      <c r="D23" s="25" t="n"/>
      <c r="E23" s="25" t="n"/>
      <c r="F23" s="25" t="n"/>
      <c r="G23" s="25" t="n"/>
      <c r="H23" s="25" t="n"/>
      <c r="I23" s="25" t="n"/>
      <c r="J23" s="25" t="n"/>
    </row>
    <row r="24">
      <c r="B24" s="24" t="n"/>
      <c r="C24" s="25" t="n"/>
      <c r="D24" s="25" t="n"/>
      <c r="E24" s="25" t="n"/>
      <c r="F24" s="25" t="n"/>
      <c r="G24" s="25" t="n"/>
      <c r="H24" s="25" t="n"/>
      <c r="I24" s="25" t="n"/>
      <c r="J24" s="25" t="n"/>
    </row>
    <row r="25">
      <c r="B25" s="24" t="n"/>
      <c r="C25" s="25" t="n"/>
      <c r="D25" s="25" t="n"/>
      <c r="E25" s="25" t="n"/>
      <c r="F25" s="25" t="n"/>
      <c r="G25" s="25" t="n"/>
      <c r="H25" s="25" t="n"/>
      <c r="I25" s="25" t="n"/>
      <c r="J25" s="25" t="n"/>
    </row>
    <row r="26">
      <c r="B26" s="24" t="n"/>
      <c r="C26" s="25" t="n"/>
      <c r="D26" s="25" t="n"/>
      <c r="E26" s="25" t="n"/>
      <c r="F26" s="25" t="n"/>
      <c r="G26" s="25" t="n"/>
      <c r="H26" s="25" t="n"/>
      <c r="I26" s="25" t="n"/>
      <c r="J26" s="25" t="n"/>
    </row>
    <row r="27">
      <c r="B27" s="24" t="n"/>
      <c r="C27" s="25" t="n"/>
      <c r="D27" s="25" t="n"/>
      <c r="E27" s="25" t="n"/>
      <c r="F27" s="25" t="n"/>
      <c r="G27" s="25" t="n"/>
      <c r="H27" s="25" t="n"/>
      <c r="I27" s="25" t="n"/>
      <c r="J27" s="25" t="n"/>
    </row>
    <row r="28">
      <c r="B28" s="24" t="n"/>
      <c r="C28" s="25" t="n"/>
      <c r="D28" s="25" t="n"/>
      <c r="E28" s="25" t="n"/>
      <c r="F28" s="25" t="n"/>
      <c r="G28" s="25" t="n"/>
      <c r="H28" s="25" t="n"/>
      <c r="I28" s="25" t="n"/>
      <c r="J28" s="25" t="n"/>
    </row>
    <row r="29">
      <c r="B29" s="24" t="n"/>
      <c r="C29" s="25" t="n"/>
      <c r="D29" s="25" t="n"/>
      <c r="E29" s="25" t="n"/>
      <c r="F29" s="25" t="n"/>
      <c r="G29" s="25" t="n"/>
      <c r="H29" s="25" t="n"/>
      <c r="I29" s="25" t="n"/>
      <c r="J29" s="25" t="n"/>
    </row>
    <row r="30">
      <c r="B30" s="24" t="n"/>
      <c r="C30" s="25" t="n"/>
      <c r="D30" s="25" t="n"/>
      <c r="E30" s="25" t="n"/>
      <c r="F30" s="25" t="n"/>
      <c r="G30" s="25" t="n"/>
      <c r="H30" s="25" t="n"/>
      <c r="I30" s="25" t="n"/>
      <c r="J30" s="25" t="n"/>
    </row>
    <row r="31">
      <c r="B31" s="24" t="n"/>
      <c r="C31" s="25" t="n"/>
      <c r="D31" s="25" t="n"/>
      <c r="E31" s="25" t="n"/>
      <c r="F31" s="25" t="n"/>
      <c r="G31" s="25" t="n"/>
      <c r="H31" s="25" t="n"/>
      <c r="I31" s="25" t="n"/>
      <c r="J31" s="25" t="n"/>
    </row>
    <row r="32">
      <c r="B32" s="24" t="n"/>
      <c r="C32" s="25" t="n"/>
      <c r="D32" s="25" t="n"/>
      <c r="E32" s="25" t="n"/>
      <c r="F32" s="25" t="n"/>
      <c r="G32" s="25" t="n"/>
      <c r="H32" s="25" t="n"/>
      <c r="I32" s="25" t="n"/>
      <c r="J32" s="25" t="n"/>
    </row>
    <row r="33">
      <c r="B33" s="24" t="n"/>
      <c r="C33" s="25" t="n"/>
      <c r="D33" s="25" t="n"/>
      <c r="E33" s="25" t="n"/>
      <c r="F33" s="25" t="n"/>
      <c r="G33" s="25" t="n"/>
      <c r="H33" s="25" t="n"/>
      <c r="I33" s="25" t="n"/>
      <c r="J33" s="25" t="n"/>
    </row>
    <row r="34">
      <c r="B34" s="24" t="n"/>
      <c r="C34" s="25" t="n"/>
      <c r="D34" s="25" t="n"/>
      <c r="E34" s="25" t="n"/>
      <c r="F34" s="25" t="n"/>
      <c r="G34" s="25" t="n"/>
      <c r="H34" s="25" t="n"/>
      <c r="I34" s="25" t="n"/>
      <c r="J34" s="25" t="n"/>
    </row>
    <row r="35">
      <c r="B35" s="24" t="n"/>
      <c r="C35" s="25" t="n"/>
      <c r="D35" s="25" t="n"/>
      <c r="E35" s="25" t="n"/>
      <c r="F35" s="25" t="n"/>
      <c r="G35" s="25" t="n"/>
      <c r="H35" s="25" t="n"/>
      <c r="I35" s="25" t="n"/>
      <c r="J35" s="25" t="n"/>
    </row>
    <row r="36">
      <c r="B36" s="24" t="n"/>
      <c r="C36" s="25" t="n"/>
      <c r="D36" s="25" t="n"/>
      <c r="E36" s="25" t="n"/>
      <c r="F36" s="25" t="n"/>
      <c r="G36" s="25" t="n"/>
      <c r="H36" s="25" t="n"/>
      <c r="I36" s="25" t="n"/>
      <c r="J36" s="25" t="n"/>
    </row>
    <row r="37">
      <c r="B37" s="24" t="n"/>
      <c r="C37" s="25" t="n"/>
      <c r="D37" s="25" t="n"/>
      <c r="E37" s="25" t="n"/>
      <c r="F37" s="25" t="n"/>
      <c r="G37" s="25" t="n"/>
      <c r="H37" s="25" t="n"/>
      <c r="I37" s="25" t="n"/>
      <c r="J37" s="25" t="n"/>
    </row>
    <row r="38">
      <c r="B38" s="24" t="n"/>
      <c r="C38" s="25" t="n"/>
      <c r="D38" s="25" t="n"/>
      <c r="E38" s="25" t="n"/>
      <c r="F38" s="25" t="n"/>
      <c r="G38" s="25" t="n"/>
      <c r="H38" s="25" t="n"/>
      <c r="I38" s="25" t="n"/>
      <c r="J38" s="25" t="n"/>
    </row>
    <row r="39">
      <c r="B39" s="24" t="n"/>
      <c r="C39" s="25" t="n"/>
      <c r="D39" s="25" t="n"/>
      <c r="E39" s="25" t="n"/>
      <c r="F39" s="25" t="n"/>
      <c r="G39" s="25" t="n"/>
      <c r="H39" s="25" t="n"/>
      <c r="I39" s="25" t="n"/>
      <c r="J39" s="25" t="n"/>
    </row>
    <row r="40">
      <c r="B40" s="24" t="n"/>
      <c r="C40" s="25" t="n"/>
      <c r="D40" s="25" t="n"/>
      <c r="E40" s="25" t="n"/>
      <c r="F40" s="25" t="n"/>
      <c r="G40" s="25" t="n"/>
      <c r="H40" s="25" t="n"/>
      <c r="I40" s="25" t="n"/>
      <c r="J40" s="25" t="n"/>
    </row>
    <row r="41">
      <c r="B41" s="24" t="n"/>
      <c r="C41" s="25" t="n"/>
      <c r="D41" s="25" t="n"/>
      <c r="E41" s="25" t="n"/>
      <c r="F41" s="25" t="n"/>
      <c r="G41" s="25" t="n"/>
      <c r="H41" s="25" t="n"/>
      <c r="I41" s="25" t="n"/>
      <c r="J41" s="25" t="n"/>
    </row>
    <row r="42">
      <c r="B42" s="24" t="n"/>
      <c r="C42" s="25" t="n"/>
      <c r="D42" s="25" t="n"/>
      <c r="E42" s="25" t="n"/>
      <c r="F42" s="25" t="n"/>
      <c r="G42" s="25" t="n"/>
      <c r="H42" s="25" t="n"/>
      <c r="I42" s="25" t="n"/>
      <c r="J42" s="25" t="n"/>
    </row>
    <row r="43">
      <c r="B43" s="24" t="n"/>
      <c r="C43" s="25" t="n"/>
      <c r="D43" s="25" t="n"/>
      <c r="E43" s="25" t="n"/>
      <c r="F43" s="25" t="n"/>
      <c r="G43" s="25" t="n"/>
      <c r="H43" s="25" t="n"/>
      <c r="I43" s="25" t="n"/>
      <c r="J43" s="25" t="n"/>
    </row>
    <row r="44">
      <c r="B44" s="24" t="n"/>
      <c r="C44" s="25" t="n"/>
      <c r="D44" s="25" t="n"/>
      <c r="E44" s="25" t="n"/>
      <c r="F44" s="25" t="n"/>
      <c r="G44" s="25" t="n"/>
      <c r="H44" s="25" t="n"/>
      <c r="I44" s="25" t="n"/>
      <c r="J44" s="25" t="n"/>
    </row>
    <row r="45">
      <c r="B45" s="24" t="n"/>
      <c r="C45" s="25" t="n"/>
      <c r="D45" s="25" t="n"/>
      <c r="E45" s="25" t="n"/>
      <c r="F45" s="25" t="n"/>
      <c r="G45" s="25" t="n"/>
      <c r="H45" s="25" t="n"/>
      <c r="I45" s="25" t="n"/>
      <c r="J45" s="25" t="n"/>
    </row>
    <row r="46">
      <c r="B46" s="24" t="n"/>
      <c r="C46" s="25" t="n"/>
      <c r="D46" s="25" t="n"/>
      <c r="E46" s="25" t="n"/>
      <c r="F46" s="25" t="n"/>
      <c r="G46" s="25" t="n"/>
      <c r="H46" s="25" t="n"/>
      <c r="I46" s="25" t="n"/>
      <c r="J46" s="25" t="n"/>
    </row>
    <row r="47">
      <c r="B47" s="24" t="n"/>
      <c r="C47" s="25" t="n"/>
      <c r="D47" s="25" t="n"/>
      <c r="E47" s="25" t="n"/>
      <c r="F47" s="25" t="n"/>
      <c r="G47" s="25" t="n"/>
      <c r="H47" s="25" t="n"/>
      <c r="I47" s="25" t="n"/>
      <c r="J47" s="25" t="n"/>
    </row>
    <row r="48">
      <c r="B48" s="24" t="n"/>
      <c r="C48" s="25" t="n"/>
      <c r="D48" s="25" t="n"/>
      <c r="E48" s="25" t="n"/>
      <c r="F48" s="25" t="n"/>
      <c r="G48" s="25" t="n"/>
      <c r="H48" s="25" t="n"/>
      <c r="I48" s="25" t="n"/>
      <c r="J48" s="25" t="n"/>
    </row>
    <row r="49">
      <c r="B49" s="24" t="n"/>
      <c r="C49" s="25" t="n"/>
      <c r="D49" s="25" t="n"/>
      <c r="E49" s="25" t="n"/>
      <c r="F49" s="25" t="n"/>
      <c r="G49" s="25" t="n"/>
      <c r="H49" s="25" t="n"/>
      <c r="I49" s="25" t="n"/>
      <c r="J49" s="25" t="n"/>
    </row>
    <row r="50">
      <c r="B50" s="24" t="n"/>
      <c r="C50" s="25" t="n"/>
      <c r="D50" s="25" t="n"/>
      <c r="E50" s="25" t="n"/>
      <c r="F50" s="25" t="n"/>
      <c r="G50" s="25" t="n"/>
      <c r="H50" s="25" t="n"/>
      <c r="I50" s="25" t="n"/>
      <c r="J50" s="25" t="n"/>
    </row>
    <row r="51">
      <c r="B51" s="24" t="n"/>
      <c r="C51" s="25" t="n"/>
      <c r="D51" s="25" t="n"/>
      <c r="E51" s="25" t="n"/>
      <c r="F51" s="25" t="n"/>
      <c r="G51" s="25" t="n"/>
      <c r="H51" s="25" t="n"/>
      <c r="I51" s="25" t="n"/>
      <c r="J51" s="25" t="n"/>
    </row>
    <row r="52">
      <c r="B52" s="24" t="n"/>
      <c r="C52" s="25" t="n"/>
      <c r="D52" s="25" t="n"/>
      <c r="E52" s="25" t="n"/>
      <c r="F52" s="25" t="n"/>
      <c r="G52" s="25" t="n"/>
      <c r="H52" s="25" t="n"/>
      <c r="I52" s="25" t="n"/>
      <c r="J52" s="25" t="n"/>
    </row>
    <row r="53">
      <c r="B53" s="24" t="n"/>
      <c r="C53" s="25" t="n"/>
      <c r="D53" s="25" t="n"/>
      <c r="E53" s="25" t="n"/>
      <c r="F53" s="25" t="n"/>
      <c r="G53" s="25" t="n"/>
      <c r="H53" s="25" t="n"/>
      <c r="I53" s="25" t="n"/>
      <c r="J53" s="25" t="n"/>
    </row>
    <row r="54">
      <c r="B54" s="24" t="n"/>
      <c r="C54" s="25" t="n"/>
      <c r="D54" s="25" t="n"/>
      <c r="E54" s="25" t="n"/>
      <c r="F54" s="25" t="n"/>
      <c r="G54" s="25" t="n"/>
      <c r="H54" s="25" t="n"/>
      <c r="I54" s="25" t="n"/>
      <c r="J54" s="25" t="n"/>
    </row>
    <row r="55">
      <c r="B55" s="24" t="n"/>
      <c r="C55" s="25" t="n"/>
      <c r="D55" s="25" t="n"/>
      <c r="E55" s="25" t="n"/>
      <c r="F55" s="25" t="n"/>
      <c r="G55" s="25" t="n"/>
      <c r="H55" s="25" t="n"/>
      <c r="I55" s="25" t="n"/>
      <c r="J55" s="25" t="n"/>
    </row>
    <row r="56">
      <c r="B56" s="24" t="n"/>
      <c r="C56" s="25" t="n"/>
      <c r="D56" s="25" t="n"/>
      <c r="E56" s="25" t="n"/>
      <c r="F56" s="25" t="n"/>
      <c r="G56" s="25" t="n"/>
      <c r="H56" s="25" t="n"/>
      <c r="I56" s="25" t="n"/>
      <c r="J56" s="25" t="n"/>
    </row>
    <row r="57">
      <c r="B57" s="24" t="n"/>
      <c r="C57" s="25" t="n"/>
      <c r="D57" s="25" t="n"/>
      <c r="E57" s="25" t="n"/>
      <c r="F57" s="25" t="n"/>
      <c r="G57" s="25" t="n"/>
      <c r="H57" s="25" t="n"/>
      <c r="I57" s="25" t="n"/>
      <c r="J57" s="25" t="n"/>
    </row>
    <row r="58">
      <c r="B58" s="24" t="n"/>
      <c r="C58" s="25" t="n"/>
      <c r="D58" s="25" t="n"/>
      <c r="E58" s="25" t="n"/>
      <c r="F58" s="25" t="n"/>
      <c r="G58" s="25" t="n"/>
      <c r="H58" s="25" t="n"/>
      <c r="I58" s="25" t="n"/>
      <c r="J58" s="25" t="n"/>
    </row>
    <row r="59">
      <c r="B59" s="24" t="n"/>
      <c r="C59" s="25" t="n"/>
      <c r="D59" s="25" t="n"/>
      <c r="E59" s="25" t="n"/>
      <c r="F59" s="25" t="n"/>
      <c r="G59" s="25" t="n"/>
      <c r="H59" s="25" t="n"/>
      <c r="I59" s="25" t="n"/>
      <c r="J59" s="25" t="n"/>
    </row>
    <row r="60">
      <c r="B60" s="24" t="n"/>
      <c r="C60" s="25" t="n"/>
      <c r="D60" s="25" t="n"/>
      <c r="E60" s="25" t="n"/>
      <c r="F60" s="25" t="n"/>
      <c r="G60" s="25" t="n"/>
      <c r="H60" s="25" t="n"/>
      <c r="I60" s="25" t="n"/>
      <c r="J60" s="25" t="n"/>
    </row>
    <row r="61">
      <c r="B61" s="24" t="n"/>
      <c r="C61" s="25" t="n"/>
      <c r="D61" s="25" t="n"/>
      <c r="E61" s="25" t="n"/>
      <c r="F61" s="25" t="n"/>
      <c r="G61" s="25" t="n"/>
      <c r="H61" s="25" t="n"/>
      <c r="I61" s="25" t="n"/>
      <c r="J61" s="25" t="n"/>
    </row>
    <row r="62">
      <c r="B62" s="24" t="n"/>
      <c r="C62" s="25" t="n"/>
      <c r="D62" s="25" t="n"/>
      <c r="E62" s="25" t="n"/>
      <c r="F62" s="25" t="n"/>
      <c r="G62" s="25" t="n"/>
      <c r="H62" s="25" t="n"/>
      <c r="I62" s="25" t="n"/>
      <c r="J62" s="25" t="n"/>
    </row>
    <row r="63">
      <c r="B63" s="24" t="n"/>
      <c r="C63" s="25" t="n"/>
      <c r="D63" s="25" t="n"/>
      <c r="E63" s="25" t="n"/>
      <c r="F63" s="25" t="n"/>
      <c r="G63" s="25" t="n"/>
      <c r="H63" s="25" t="n"/>
      <c r="I63" s="25" t="n"/>
      <c r="J63" s="25" t="n"/>
    </row>
    <row r="64">
      <c r="B64" s="24" t="n"/>
      <c r="C64" s="25" t="n"/>
      <c r="D64" s="25" t="n"/>
      <c r="E64" s="25" t="n"/>
      <c r="F64" s="25" t="n"/>
      <c r="G64" s="25" t="n"/>
      <c r="H64" s="25" t="n"/>
      <c r="I64" s="25" t="n"/>
      <c r="J64" s="25" t="n"/>
    </row>
    <row r="65">
      <c r="B65" s="24" t="n"/>
      <c r="C65" s="25" t="n"/>
      <c r="D65" s="25" t="n"/>
      <c r="E65" s="25" t="n"/>
      <c r="F65" s="25" t="n"/>
      <c r="G65" s="25" t="n"/>
      <c r="H65" s="25" t="n"/>
      <c r="I65" s="25" t="n"/>
      <c r="J65" s="25" t="n"/>
    </row>
    <row r="66">
      <c r="B66" s="24" t="n"/>
      <c r="C66" s="25" t="n"/>
      <c r="D66" s="25" t="n"/>
      <c r="E66" s="25" t="n"/>
      <c r="F66" s="25" t="n"/>
      <c r="G66" s="25" t="n"/>
      <c r="H66" s="25" t="n"/>
      <c r="I66" s="25" t="n"/>
      <c r="J66" s="25" t="n"/>
    </row>
    <row r="67">
      <c r="B67" s="24" t="n"/>
      <c r="C67" s="25" t="n"/>
      <c r="D67" s="25" t="n"/>
      <c r="E67" s="25" t="n"/>
      <c r="F67" s="25" t="n"/>
      <c r="G67" s="25" t="n"/>
      <c r="H67" s="25" t="n"/>
      <c r="I67" s="25" t="n"/>
      <c r="J67" s="25" t="n"/>
    </row>
    <row r="68">
      <c r="B68" s="24" t="n"/>
      <c r="C68" s="25" t="n"/>
      <c r="D68" s="25" t="n"/>
      <c r="E68" s="25" t="n"/>
      <c r="F68" s="25" t="n"/>
      <c r="G68" s="25" t="n"/>
      <c r="H68" s="25" t="n"/>
      <c r="I68" s="25" t="n"/>
      <c r="J68" s="25" t="n"/>
    </row>
    <row r="69">
      <c r="B69" s="24" t="n"/>
      <c r="C69" s="25" t="n"/>
      <c r="D69" s="25" t="n"/>
      <c r="E69" s="25" t="n"/>
      <c r="F69" s="25" t="n"/>
      <c r="G69" s="25" t="n"/>
      <c r="H69" s="25" t="n"/>
      <c r="I69" s="25" t="n"/>
      <c r="J69" s="25" t="n"/>
    </row>
    <row r="70">
      <c r="B70" s="24" t="n"/>
      <c r="C70" s="25" t="n"/>
      <c r="D70" s="25" t="n"/>
      <c r="E70" s="25" t="n"/>
      <c r="F70" s="25" t="n"/>
      <c r="G70" s="25" t="n"/>
      <c r="H70" s="25" t="n"/>
      <c r="I70" s="25" t="n"/>
      <c r="J70" s="25" t="n"/>
    </row>
    <row r="71">
      <c r="B71" s="24" t="n"/>
      <c r="C71" s="25" t="n"/>
      <c r="D71" s="25" t="n"/>
      <c r="E71" s="25" t="n"/>
      <c r="F71" s="25" t="n"/>
      <c r="G71" s="25" t="n"/>
      <c r="H71" s="25" t="n"/>
      <c r="I71" s="25" t="n"/>
      <c r="J71" s="25" t="n"/>
    </row>
    <row r="72">
      <c r="B72" s="24" t="n"/>
      <c r="C72" s="25" t="n"/>
      <c r="D72" s="25" t="n"/>
      <c r="E72" s="25" t="n"/>
      <c r="F72" s="25" t="n"/>
      <c r="G72" s="25" t="n"/>
      <c r="H72" s="25" t="n"/>
      <c r="I72" s="25" t="n"/>
      <c r="J72" s="25" t="n"/>
    </row>
    <row r="73">
      <c r="B73" s="24" t="n"/>
      <c r="C73" s="25" t="n"/>
      <c r="D73" s="25" t="n"/>
      <c r="E73" s="25" t="n"/>
      <c r="F73" s="25" t="n"/>
      <c r="G73" s="25" t="n"/>
      <c r="H73" s="25" t="n"/>
      <c r="I73" s="25" t="n"/>
      <c r="J73" s="25" t="n"/>
    </row>
    <row r="74">
      <c r="B74" s="24" t="n"/>
      <c r="C74" s="25" t="n"/>
      <c r="D74" s="25" t="n"/>
      <c r="E74" s="25" t="n"/>
      <c r="F74" s="25" t="n"/>
      <c r="G74" s="25" t="n"/>
      <c r="H74" s="25" t="n"/>
      <c r="I74" s="25" t="n"/>
      <c r="J74" s="25" t="n"/>
    </row>
    <row r="75">
      <c r="B75" s="24" t="n"/>
      <c r="C75" s="25" t="n"/>
      <c r="D75" s="25" t="n"/>
      <c r="E75" s="25" t="n"/>
      <c r="F75" s="25" t="n"/>
      <c r="G75" s="25" t="n"/>
      <c r="H75" s="25" t="n"/>
      <c r="I75" s="25" t="n"/>
      <c r="J75" s="25" t="n"/>
    </row>
    <row r="76">
      <c r="B76" s="24" t="n"/>
      <c r="C76" s="25" t="n"/>
      <c r="D76" s="25" t="n"/>
      <c r="E76" s="25" t="n"/>
      <c r="F76" s="25" t="n"/>
      <c r="G76" s="25" t="n"/>
      <c r="H76" s="25" t="n"/>
      <c r="I76" s="25" t="n"/>
      <c r="J76" s="25" t="n"/>
    </row>
    <row r="77">
      <c r="B77" s="24" t="n"/>
      <c r="C77" s="25" t="n"/>
      <c r="D77" s="25" t="n"/>
      <c r="E77" s="25" t="n"/>
      <c r="F77" s="25" t="n"/>
      <c r="G77" s="25" t="n"/>
      <c r="H77" s="25" t="n"/>
      <c r="I77" s="25" t="n"/>
      <c r="J77" s="25" t="n"/>
    </row>
    <row r="78">
      <c r="B78" s="24" t="n"/>
      <c r="C78" s="25" t="n"/>
      <c r="D78" s="25" t="n"/>
      <c r="E78" s="25" t="n"/>
      <c r="F78" s="25" t="n"/>
      <c r="G78" s="25" t="n"/>
      <c r="H78" s="25" t="n"/>
      <c r="I78" s="25" t="n"/>
      <c r="J78" s="25" t="n"/>
    </row>
    <row r="79">
      <c r="B79" s="24" t="n"/>
      <c r="C79" s="25" t="n"/>
      <c r="D79" s="25" t="n"/>
      <c r="E79" s="25" t="n"/>
      <c r="F79" s="25" t="n"/>
      <c r="G79" s="25" t="n"/>
      <c r="H79" s="25" t="n"/>
      <c r="I79" s="25" t="n"/>
      <c r="J79" s="25" t="n"/>
    </row>
    <row r="80">
      <c r="B80" s="24" t="n"/>
      <c r="C80" s="25" t="n"/>
      <c r="D80" s="25" t="n"/>
      <c r="E80" s="25" t="n"/>
      <c r="F80" s="25" t="n"/>
      <c r="G80" s="25" t="n"/>
      <c r="H80" s="25" t="n"/>
      <c r="I80" s="25" t="n"/>
      <c r="J80" s="25" t="n"/>
    </row>
    <row r="81">
      <c r="B81" s="24" t="n"/>
      <c r="C81" s="25" t="n"/>
      <c r="D81" s="25" t="n"/>
      <c r="E81" s="25" t="n"/>
      <c r="F81" s="25" t="n"/>
      <c r="G81" s="25" t="n"/>
      <c r="H81" s="25" t="n"/>
      <c r="I81" s="25" t="n"/>
      <c r="J81" s="25" t="n"/>
    </row>
    <row r="82">
      <c r="B82" s="24" t="n"/>
      <c r="C82" s="25" t="n"/>
      <c r="D82" s="25" t="n"/>
      <c r="E82" s="25" t="n"/>
      <c r="F82" s="25" t="n"/>
      <c r="G82" s="25" t="n"/>
      <c r="H82" s="25" t="n"/>
      <c r="I82" s="25" t="n"/>
      <c r="J82" s="25" t="n"/>
    </row>
    <row r="83">
      <c r="B83" s="24" t="n"/>
      <c r="C83" s="25" t="n"/>
      <c r="D83" s="25" t="n"/>
      <c r="E83" s="25" t="n"/>
      <c r="F83" s="25" t="n"/>
      <c r="G83" s="25" t="n"/>
      <c r="H83" s="25" t="n"/>
      <c r="I83" s="25" t="n"/>
      <c r="J83" s="25" t="n"/>
    </row>
    <row r="84">
      <c r="B84" s="24" t="n"/>
      <c r="C84" s="25" t="n"/>
      <c r="D84" s="25" t="n"/>
      <c r="E84" s="25" t="n"/>
      <c r="F84" s="25" t="n"/>
      <c r="G84" s="25" t="n"/>
      <c r="H84" s="25" t="n"/>
      <c r="I84" s="25" t="n"/>
      <c r="J84" s="25" t="n"/>
    </row>
    <row r="85">
      <c r="B85" s="24" t="n"/>
      <c r="C85" s="25" t="n"/>
      <c r="D85" s="25" t="n"/>
      <c r="E85" s="25" t="n"/>
      <c r="F85" s="25" t="n"/>
      <c r="G85" s="25" t="n"/>
      <c r="H85" s="25" t="n"/>
      <c r="I85" s="25" t="n"/>
      <c r="J85" s="25" t="n"/>
    </row>
    <row r="86">
      <c r="B86" s="24" t="n"/>
      <c r="C86" s="25" t="n"/>
      <c r="D86" s="25" t="n"/>
      <c r="E86" s="25" t="n"/>
      <c r="F86" s="25" t="n"/>
      <c r="G86" s="25" t="n"/>
      <c r="H86" s="25" t="n"/>
      <c r="I86" s="25" t="n"/>
      <c r="J86" s="25" t="n"/>
    </row>
    <row r="87">
      <c r="B87" s="24" t="n"/>
      <c r="C87" s="25" t="n"/>
      <c r="D87" s="25" t="n"/>
      <c r="E87" s="25" t="n"/>
      <c r="F87" s="25" t="n"/>
      <c r="G87" s="25" t="n"/>
      <c r="H87" s="25" t="n"/>
      <c r="I87" s="25" t="n"/>
      <c r="J87" s="25" t="n"/>
    </row>
    <row r="88">
      <c r="B88" s="24" t="n"/>
      <c r="C88" s="25" t="n"/>
      <c r="D88" s="25" t="n"/>
      <c r="E88" s="25" t="n"/>
      <c r="F88" s="25" t="n"/>
      <c r="G88" s="25" t="n"/>
      <c r="H88" s="25" t="n"/>
      <c r="I88" s="25" t="n"/>
      <c r="J88" s="25" t="n"/>
    </row>
    <row r="89">
      <c r="B89" s="24" t="n"/>
      <c r="C89" s="25" t="n"/>
      <c r="D89" s="25" t="n"/>
      <c r="E89" s="25" t="n"/>
      <c r="F89" s="25" t="n"/>
      <c r="G89" s="25" t="n"/>
      <c r="H89" s="25" t="n"/>
      <c r="I89" s="25" t="n"/>
      <c r="J89" s="25" t="n"/>
    </row>
    <row r="90">
      <c r="B90" s="24" t="n"/>
      <c r="C90" s="25" t="n"/>
      <c r="D90" s="25" t="n"/>
      <c r="E90" s="25" t="n"/>
      <c r="F90" s="25" t="n"/>
      <c r="G90" s="25" t="n"/>
      <c r="H90" s="25" t="n"/>
      <c r="I90" s="25" t="n"/>
      <c r="J90" s="25" t="n"/>
    </row>
    <row r="91">
      <c r="B91" s="24" t="n"/>
      <c r="C91" s="25" t="n"/>
      <c r="D91" s="25" t="n"/>
      <c r="E91" s="25" t="n"/>
      <c r="F91" s="25" t="n"/>
      <c r="G91" s="25" t="n"/>
      <c r="H91" s="25" t="n"/>
      <c r="I91" s="25" t="n"/>
      <c r="J91" s="25" t="n"/>
    </row>
    <row r="92">
      <c r="B92" s="24" t="n"/>
      <c r="C92" s="25" t="n"/>
      <c r="D92" s="25" t="n"/>
      <c r="E92" s="25" t="n"/>
      <c r="F92" s="25" t="n"/>
      <c r="G92" s="25" t="n"/>
      <c r="H92" s="25" t="n"/>
      <c r="I92" s="25" t="n"/>
      <c r="J92" s="25" t="n"/>
    </row>
    <row r="93">
      <c r="B93" s="24" t="n"/>
      <c r="C93" s="25" t="n"/>
      <c r="D93" s="25" t="n"/>
      <c r="E93" s="25" t="n"/>
      <c r="F93" s="25" t="n"/>
      <c r="G93" s="25" t="n"/>
      <c r="H93" s="25" t="n"/>
      <c r="I93" s="25" t="n"/>
      <c r="J93" s="25" t="n"/>
    </row>
    <row r="94">
      <c r="B94" s="24" t="n"/>
      <c r="C94" s="25" t="n"/>
      <c r="D94" s="25" t="n"/>
      <c r="E94" s="25" t="n"/>
      <c r="F94" s="25" t="n"/>
      <c r="G94" s="25" t="n"/>
      <c r="H94" s="25" t="n"/>
      <c r="I94" s="25" t="n"/>
      <c r="J94" s="25" t="n"/>
    </row>
    <row r="95">
      <c r="B95" s="24" t="n"/>
      <c r="C95" s="25" t="n"/>
      <c r="D95" s="25" t="n"/>
      <c r="E95" s="25" t="n"/>
      <c r="F95" s="25" t="n"/>
      <c r="G95" s="25" t="n"/>
      <c r="H95" s="25" t="n"/>
      <c r="I95" s="25" t="n"/>
      <c r="J95" s="25" t="n"/>
    </row>
    <row r="96">
      <c r="B96" s="24" t="n"/>
      <c r="C96" s="25" t="n"/>
      <c r="D96" s="25" t="n"/>
      <c r="E96" s="25" t="n"/>
      <c r="F96" s="25" t="n"/>
      <c r="G96" s="25" t="n"/>
      <c r="H96" s="25" t="n"/>
      <c r="I96" s="25" t="n"/>
      <c r="J96" s="25" t="n"/>
    </row>
    <row r="97">
      <c r="B97" s="24" t="n"/>
      <c r="C97" s="25" t="n"/>
      <c r="D97" s="25" t="n"/>
      <c r="E97" s="25" t="n"/>
      <c r="F97" s="25" t="n"/>
      <c r="G97" s="25" t="n"/>
      <c r="H97" s="25" t="n"/>
      <c r="I97" s="25" t="n"/>
      <c r="J97" s="25" t="n"/>
    </row>
    <row r="98">
      <c r="B98" s="24" t="n"/>
      <c r="C98" s="25" t="n"/>
      <c r="D98" s="25" t="n"/>
      <c r="E98" s="25" t="n"/>
      <c r="F98" s="25" t="n"/>
      <c r="G98" s="25" t="n"/>
      <c r="H98" s="25" t="n"/>
      <c r="I98" s="25" t="n"/>
      <c r="J98" s="25" t="n"/>
    </row>
    <row r="99">
      <c r="B99" s="24" t="n"/>
      <c r="C99" s="25" t="n"/>
      <c r="D99" s="25" t="n"/>
      <c r="E99" s="25" t="n"/>
      <c r="F99" s="25" t="n"/>
      <c r="G99" s="25" t="n"/>
      <c r="H99" s="25" t="n"/>
      <c r="I99" s="25" t="n"/>
      <c r="J99" s="25" t="n"/>
    </row>
    <row r="100">
      <c r="B100" s="24" t="n"/>
      <c r="C100" s="25" t="n"/>
      <c r="D100" s="25" t="n"/>
      <c r="E100" s="25" t="n"/>
      <c r="F100" s="25" t="n"/>
      <c r="G100" s="25" t="n"/>
      <c r="H100" s="25" t="n"/>
      <c r="I100" s="25" t="n"/>
      <c r="J100" s="25" t="n"/>
    </row>
    <row r="101">
      <c r="B101" s="24" t="n"/>
      <c r="C101" s="25" t="n"/>
      <c r="D101" s="25" t="n"/>
      <c r="E101" s="25" t="n"/>
      <c r="F101" s="25" t="n"/>
      <c r="G101" s="25" t="n"/>
      <c r="H101" s="25" t="n"/>
      <c r="I101" s="25" t="n"/>
      <c r="J101" s="25" t="n"/>
    </row>
    <row r="102">
      <c r="B102" s="24" t="n"/>
      <c r="C102" s="25" t="n"/>
      <c r="D102" s="25" t="n"/>
      <c r="E102" s="25" t="n"/>
      <c r="F102" s="25" t="n"/>
      <c r="G102" s="25" t="n"/>
      <c r="H102" s="25" t="n"/>
      <c r="I102" s="25" t="n"/>
      <c r="J102" s="25" t="n"/>
    </row>
    <row r="103">
      <c r="B103" s="24" t="n"/>
      <c r="C103" s="25" t="n"/>
      <c r="D103" s="25" t="n"/>
      <c r="E103" s="25" t="n"/>
      <c r="F103" s="25" t="n"/>
      <c r="G103" s="25" t="n"/>
      <c r="H103" s="25" t="n"/>
      <c r="I103" s="25" t="n"/>
      <c r="J103" s="25" t="n"/>
    </row>
    <row r="104">
      <c r="B104" s="24" t="n"/>
      <c r="C104" s="25" t="n"/>
      <c r="D104" s="25" t="n"/>
      <c r="E104" s="25" t="n"/>
      <c r="F104" s="25" t="n"/>
      <c r="G104" s="25" t="n"/>
      <c r="H104" s="25" t="n"/>
      <c r="I104" s="25" t="n"/>
      <c r="J104" s="25" t="n"/>
    </row>
    <row r="105">
      <c r="B105" s="24" t="n"/>
      <c r="C105" s="25" t="n"/>
      <c r="D105" s="25" t="n"/>
      <c r="E105" s="25" t="n"/>
      <c r="F105" s="25" t="n"/>
      <c r="G105" s="25" t="n"/>
      <c r="H105" s="25" t="n"/>
      <c r="I105" s="25" t="n"/>
      <c r="J105" s="25" t="n"/>
    </row>
    <row r="106">
      <c r="B106" s="24" t="n"/>
      <c r="C106" s="25" t="n"/>
      <c r="D106" s="25" t="n"/>
      <c r="E106" s="25" t="n"/>
      <c r="F106" s="25" t="n"/>
      <c r="G106" s="25" t="n"/>
      <c r="H106" s="25" t="n"/>
      <c r="I106" s="25" t="n"/>
      <c r="J106" s="25" t="n"/>
    </row>
    <row r="107">
      <c r="B107" s="24" t="n"/>
      <c r="C107" s="25" t="n"/>
      <c r="D107" s="25" t="n"/>
      <c r="E107" s="25" t="n"/>
      <c r="F107" s="25" t="n"/>
      <c r="G107" s="25" t="n"/>
      <c r="H107" s="25" t="n"/>
      <c r="I107" s="25" t="n"/>
      <c r="J107" s="25" t="n"/>
    </row>
    <row r="108">
      <c r="B108" s="24" t="n"/>
      <c r="C108" s="25" t="n"/>
      <c r="D108" s="25" t="n"/>
      <c r="E108" s="25" t="n"/>
      <c r="F108" s="25" t="n"/>
      <c r="G108" s="25" t="n"/>
      <c r="H108" s="25" t="n"/>
      <c r="I108" s="25" t="n"/>
      <c r="J108" s="25" t="n"/>
    </row>
    <row r="109">
      <c r="B109" s="24" t="n"/>
      <c r="C109" s="25" t="n"/>
      <c r="D109" s="25" t="n"/>
      <c r="E109" s="25" t="n"/>
      <c r="F109" s="25" t="n"/>
      <c r="G109" s="25" t="n"/>
      <c r="H109" s="25" t="n"/>
      <c r="I109" s="25" t="n"/>
      <c r="J109" s="25" t="n"/>
    </row>
    <row r="110">
      <c r="B110" s="24" t="n"/>
      <c r="C110" s="25" t="n"/>
      <c r="D110" s="25" t="n"/>
      <c r="E110" s="25" t="n"/>
      <c r="F110" s="25" t="n"/>
      <c r="G110" s="25" t="n"/>
      <c r="H110" s="25" t="n"/>
      <c r="I110" s="25" t="n"/>
      <c r="J110" s="25" t="n"/>
    </row>
    <row r="111">
      <c r="B111" s="24" t="n"/>
      <c r="C111" s="25" t="n"/>
      <c r="D111" s="25" t="n"/>
      <c r="E111" s="25" t="n"/>
      <c r="F111" s="25" t="n"/>
      <c r="G111" s="25" t="n"/>
      <c r="H111" s="25" t="n"/>
      <c r="I111" s="25" t="n"/>
      <c r="J111" s="25" t="n"/>
    </row>
    <row r="112">
      <c r="B112" s="24" t="n"/>
      <c r="C112" s="25" t="n"/>
      <c r="D112" s="25" t="n"/>
      <c r="E112" s="25" t="n"/>
      <c r="F112" s="25" t="n"/>
      <c r="G112" s="25" t="n"/>
      <c r="H112" s="25" t="n"/>
      <c r="I112" s="25" t="n"/>
      <c r="J112" s="25" t="n"/>
    </row>
    <row r="113">
      <c r="B113" s="24" t="n"/>
      <c r="C113" s="25" t="n"/>
      <c r="D113" s="25" t="n"/>
      <c r="E113" s="25" t="n"/>
      <c r="F113" s="25" t="n"/>
      <c r="G113" s="25" t="n"/>
      <c r="H113" s="25" t="n"/>
      <c r="I113" s="25" t="n"/>
      <c r="J113" s="25" t="n"/>
    </row>
    <row r="114">
      <c r="B114" s="24" t="n"/>
      <c r="C114" s="25" t="n"/>
      <c r="D114" s="25" t="n"/>
      <c r="E114" s="25" t="n"/>
      <c r="F114" s="25" t="n"/>
      <c r="G114" s="25" t="n"/>
      <c r="H114" s="25" t="n"/>
      <c r="I114" s="25" t="n"/>
      <c r="J114" s="25" t="n"/>
    </row>
    <row r="115">
      <c r="B115" s="24" t="n"/>
      <c r="C115" s="25" t="n"/>
      <c r="D115" s="25" t="n"/>
      <c r="E115" s="25" t="n"/>
      <c r="F115" s="25" t="n"/>
      <c r="G115" s="25" t="n"/>
      <c r="H115" s="25" t="n"/>
      <c r="I115" s="25" t="n"/>
      <c r="J115" s="25" t="n"/>
    </row>
    <row r="116">
      <c r="B116" s="24" t="n"/>
      <c r="C116" s="25" t="n"/>
      <c r="D116" s="25" t="n"/>
      <c r="E116" s="25" t="n"/>
      <c r="F116" s="25" t="n"/>
      <c r="G116" s="25" t="n"/>
      <c r="H116" s="25" t="n"/>
      <c r="I116" s="25" t="n"/>
      <c r="J116" s="25" t="n"/>
    </row>
    <row r="117">
      <c r="B117" s="24" t="n"/>
      <c r="C117" s="25" t="n"/>
      <c r="D117" s="25" t="n"/>
      <c r="E117" s="25" t="n"/>
      <c r="F117" s="25" t="n"/>
      <c r="G117" s="25" t="n"/>
      <c r="H117" s="25" t="n"/>
      <c r="I117" s="25" t="n"/>
      <c r="J117" s="25" t="n"/>
    </row>
    <row r="118">
      <c r="B118" s="24" t="n"/>
      <c r="C118" s="25" t="n"/>
      <c r="D118" s="25" t="n"/>
      <c r="E118" s="25" t="n"/>
      <c r="F118" s="25" t="n"/>
      <c r="G118" s="25" t="n"/>
      <c r="H118" s="25" t="n"/>
      <c r="I118" s="25" t="n"/>
      <c r="J118" s="25" t="n"/>
    </row>
    <row r="119">
      <c r="B119" s="24" t="n"/>
      <c r="C119" s="25" t="n"/>
      <c r="D119" s="25" t="n"/>
      <c r="E119" s="25" t="n"/>
      <c r="F119" s="25" t="n"/>
      <c r="G119" s="25" t="n"/>
      <c r="H119" s="25" t="n"/>
      <c r="I119" s="25" t="n"/>
      <c r="J119" s="25" t="n"/>
    </row>
    <row r="120">
      <c r="B120" s="24" t="n"/>
      <c r="C120" s="25" t="n"/>
      <c r="D120" s="25" t="n"/>
      <c r="E120" s="25" t="n"/>
      <c r="F120" s="25" t="n"/>
      <c r="G120" s="25" t="n"/>
      <c r="H120" s="25" t="n"/>
      <c r="I120" s="25" t="n"/>
      <c r="J120" s="25" t="n"/>
    </row>
    <row r="121">
      <c r="B121" s="24" t="n"/>
      <c r="C121" s="25" t="n"/>
      <c r="D121" s="25" t="n"/>
      <c r="E121" s="25" t="n"/>
      <c r="F121" s="25" t="n"/>
      <c r="G121" s="25" t="n"/>
      <c r="H121" s="25" t="n"/>
      <c r="I121" s="25" t="n"/>
      <c r="J121" s="25" t="n"/>
    </row>
    <row r="122">
      <c r="B122" s="24" t="n"/>
      <c r="C122" s="25" t="n"/>
      <c r="D122" s="25" t="n"/>
      <c r="E122" s="25" t="n"/>
      <c r="F122" s="25" t="n"/>
      <c r="G122" s="25" t="n"/>
      <c r="H122" s="25" t="n"/>
      <c r="I122" s="25" t="n"/>
      <c r="J122" s="25" t="n"/>
    </row>
    <row r="123">
      <c r="B123" s="24" t="n"/>
      <c r="C123" s="25" t="n"/>
      <c r="D123" s="25" t="n"/>
      <c r="E123" s="25" t="n"/>
      <c r="F123" s="25" t="n"/>
      <c r="G123" s="25" t="n"/>
      <c r="H123" s="25" t="n"/>
      <c r="I123" s="25" t="n"/>
      <c r="J123" s="25" t="n"/>
    </row>
    <row r="124">
      <c r="B124" s="24" t="n"/>
      <c r="C124" s="25" t="n"/>
      <c r="D124" s="25" t="n"/>
      <c r="E124" s="25" t="n"/>
      <c r="F124" s="25" t="n"/>
      <c r="G124" s="25" t="n"/>
      <c r="H124" s="25" t="n"/>
      <c r="I124" s="25" t="n"/>
      <c r="J124" s="25" t="n"/>
    </row>
    <row r="125">
      <c r="B125" s="24" t="n"/>
      <c r="C125" s="25" t="n"/>
      <c r="D125" s="25" t="n"/>
      <c r="E125" s="25" t="n"/>
      <c r="F125" s="25" t="n"/>
      <c r="G125" s="25" t="n"/>
      <c r="H125" s="25" t="n"/>
      <c r="I125" s="25" t="n"/>
      <c r="J125" s="25" t="n"/>
    </row>
    <row r="126">
      <c r="B126" s="24" t="n"/>
      <c r="C126" s="25" t="n"/>
      <c r="D126" s="25" t="n"/>
      <c r="E126" s="25" t="n"/>
      <c r="F126" s="25" t="n"/>
      <c r="G126" s="25" t="n"/>
      <c r="H126" s="25" t="n"/>
      <c r="I126" s="25" t="n"/>
      <c r="J126" s="25" t="n"/>
    </row>
    <row r="127">
      <c r="B127" s="24" t="n"/>
      <c r="C127" s="25" t="n"/>
      <c r="D127" s="25" t="n"/>
      <c r="E127" s="25" t="n"/>
      <c r="F127" s="25" t="n"/>
      <c r="G127" s="25" t="n"/>
      <c r="H127" s="25" t="n"/>
      <c r="I127" s="25" t="n"/>
      <c r="J127" s="25" t="n"/>
    </row>
    <row r="128">
      <c r="B128" s="24" t="n"/>
      <c r="C128" s="25" t="n"/>
      <c r="D128" s="25" t="n"/>
      <c r="E128" s="25" t="n"/>
      <c r="F128" s="25" t="n"/>
      <c r="G128" s="25" t="n"/>
      <c r="H128" s="25" t="n"/>
      <c r="I128" s="25" t="n"/>
      <c r="J128" s="25" t="n"/>
    </row>
    <row r="129">
      <c r="B129" s="24" t="n"/>
      <c r="C129" s="25" t="n"/>
      <c r="D129" s="25" t="n"/>
      <c r="E129" s="25" t="n"/>
      <c r="F129" s="25" t="n"/>
      <c r="G129" s="25" t="n"/>
      <c r="H129" s="25" t="n"/>
      <c r="I129" s="25" t="n"/>
      <c r="J129" s="25" t="n"/>
    </row>
    <row r="130">
      <c r="B130" s="24" t="n"/>
      <c r="C130" s="25" t="n"/>
      <c r="D130" s="25" t="n"/>
      <c r="E130" s="25" t="n"/>
      <c r="F130" s="25" t="n"/>
      <c r="G130" s="25" t="n"/>
      <c r="H130" s="25" t="n"/>
      <c r="I130" s="25" t="n"/>
      <c r="J130" s="25" t="n"/>
    </row>
    <row r="131">
      <c r="B131" s="24" t="n"/>
      <c r="C131" s="25" t="n"/>
      <c r="D131" s="25" t="n"/>
      <c r="E131" s="25" t="n"/>
      <c r="F131" s="25" t="n"/>
      <c r="G131" s="25" t="n"/>
      <c r="H131" s="25" t="n"/>
      <c r="I131" s="25" t="n"/>
      <c r="J131" s="25" t="n"/>
    </row>
    <row r="132">
      <c r="B132" s="24" t="n"/>
      <c r="C132" s="25" t="n"/>
      <c r="D132" s="25" t="n"/>
      <c r="E132" s="25" t="n"/>
      <c r="F132" s="25" t="n"/>
      <c r="G132" s="25" t="n"/>
      <c r="H132" s="25" t="n"/>
      <c r="I132" s="25" t="n"/>
      <c r="J132" s="25" t="n"/>
    </row>
    <row r="133">
      <c r="B133" s="24" t="n"/>
      <c r="C133" s="25" t="n"/>
      <c r="D133" s="25" t="n"/>
      <c r="E133" s="25" t="n"/>
      <c r="F133" s="25" t="n"/>
      <c r="G133" s="25" t="n"/>
      <c r="H133" s="25" t="n"/>
      <c r="I133" s="25" t="n"/>
      <c r="J133" s="25" t="n"/>
    </row>
    <row r="134">
      <c r="B134" s="24" t="n"/>
      <c r="C134" s="25" t="n"/>
      <c r="D134" s="25" t="n"/>
      <c r="E134" s="25" t="n"/>
      <c r="F134" s="25" t="n"/>
      <c r="G134" s="25" t="n"/>
      <c r="H134" s="25" t="n"/>
      <c r="I134" s="25" t="n"/>
      <c r="J134" s="25" t="n"/>
    </row>
    <row r="135">
      <c r="B135" s="24" t="n"/>
      <c r="C135" s="25" t="n"/>
      <c r="D135" s="25" t="n"/>
      <c r="E135" s="25" t="n"/>
      <c r="F135" s="25" t="n"/>
      <c r="G135" s="25" t="n"/>
      <c r="H135" s="25" t="n"/>
      <c r="I135" s="25" t="n"/>
      <c r="J135" s="25" t="n"/>
    </row>
    <row r="136">
      <c r="B136" s="24" t="n"/>
      <c r="C136" s="25" t="n"/>
      <c r="D136" s="25" t="n"/>
      <c r="E136" s="25" t="n"/>
      <c r="F136" s="25" t="n"/>
      <c r="G136" s="25" t="n"/>
      <c r="H136" s="25" t="n"/>
      <c r="I136" s="25" t="n"/>
      <c r="J136" s="25" t="n"/>
    </row>
    <row r="137">
      <c r="B137" s="9" t="inlineStr">
        <is>
          <t>Sumas</t>
        </is>
      </c>
      <c r="C137" s="10" t="n"/>
      <c r="D137" s="10" t="n"/>
      <c r="E137" s="10" t="n"/>
      <c r="F137" s="10" t="n"/>
      <c r="G137" s="10" t="n"/>
      <c r="H137" s="10" t="n"/>
      <c r="I137" s="10" t="n"/>
      <c r="J137" s="10" t="n"/>
    </row>
    <row r="138">
      <c r="B138" s="24" t="inlineStr">
        <is>
          <t>Ganancia Ejercicio</t>
        </is>
      </c>
      <c r="C138" s="25" t="n"/>
      <c r="D138" s="25" t="n"/>
      <c r="E138" s="25" t="n"/>
      <c r="F138" s="25" t="n"/>
      <c r="G138" s="25" t="n"/>
      <c r="H138" s="25" t="n"/>
      <c r="I138" s="25" t="n"/>
      <c r="J138" s="25" t="n"/>
    </row>
    <row r="139">
      <c r="B139" s="9" t="inlineStr">
        <is>
          <t>Totales</t>
        </is>
      </c>
      <c r="C139" s="10" t="n"/>
      <c r="D139" s="10" t="n"/>
      <c r="E139" s="10" t="n"/>
      <c r="F139" s="10" t="n"/>
      <c r="G139" s="10" t="n"/>
      <c r="H139" s="10" t="n"/>
      <c r="I139" s="10" t="n"/>
      <c r="J139" s="10" t="n"/>
    </row>
  </sheetData>
  <mergeCells count="6">
    <mergeCell ref="B5:J5"/>
    <mergeCell ref="B6:J6"/>
    <mergeCell ref="I8:J8"/>
    <mergeCell ref="G8:H8"/>
    <mergeCell ref="E8:F8"/>
    <mergeCell ref="C8:D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"/>
  <sheetViews>
    <sheetView showGridLines="0" workbookViewId="0">
      <selection activeCell="A2" sqref="A2"/>
    </sheetView>
  </sheetViews>
  <sheetFormatPr baseColWidth="10" defaultRowHeight="14.5"/>
  <cols>
    <col width="12.6328125" customWidth="1" style="21" min="1" max="1"/>
    <col width="25.6328125" customWidth="1" style="21" min="2" max="2"/>
    <col width="14.6328125" customWidth="1" style="21" min="3" max="3"/>
    <col width="16.6328125" customWidth="1" style="21" min="4" max="4"/>
    <col width="13.6328125" customWidth="1" style="21" min="5" max="5"/>
    <col width="12.6328125" customWidth="1" style="21" min="6" max="6"/>
    <col width="45.6328125" customWidth="1" style="21" min="7" max="7"/>
    <col width="14.6328125" customWidth="1" style="21" min="8" max="12"/>
  </cols>
  <sheetData>
    <row r="1">
      <c r="A1" s="5" t="inlineStr">
        <is>
          <t>Codigo Cuenta</t>
        </is>
      </c>
      <c r="B1" s="5" t="inlineStr">
        <is>
          <t>Cuenta</t>
        </is>
      </c>
      <c r="C1" s="5" t="inlineStr">
        <is>
          <t>Fecha Movimiento</t>
        </is>
      </c>
      <c r="D1" s="5" t="inlineStr">
        <is>
          <t>Tipo Comprobante</t>
        </is>
      </c>
      <c r="E1" s="5" t="inlineStr">
        <is>
          <t>N Comprobante</t>
        </is>
      </c>
      <c r="F1" s="5" t="inlineStr">
        <is>
          <t>Secuencia</t>
        </is>
      </c>
      <c r="G1" s="5" t="inlineStr">
        <is>
          <t>Glosa</t>
        </is>
      </c>
      <c r="H1" s="5" t="inlineStr">
        <is>
          <t>Centro Costo</t>
        </is>
      </c>
      <c r="I1" s="5" t="inlineStr">
        <is>
          <t>Sucursal</t>
        </is>
      </c>
      <c r="J1" s="5" t="inlineStr">
        <is>
          <t>Debe</t>
        </is>
      </c>
      <c r="K1" s="5" t="inlineStr">
        <is>
          <t>Haber</t>
        </is>
      </c>
      <c r="L1" s="5" t="inlineStr">
        <is>
          <t>Saldo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"/>
  <sheetViews>
    <sheetView showGridLines="0" topLeftCell="A14160" zoomScale="70" zoomScaleNormal="70" workbookViewId="0">
      <selection activeCell="E4" sqref="E4"/>
    </sheetView>
  </sheetViews>
  <sheetFormatPr baseColWidth="10" defaultRowHeight="14.5"/>
  <cols>
    <col width="11" bestFit="1" customWidth="1" style="21" min="1" max="1"/>
    <col width="8.36328125" customWidth="1" style="21" min="2" max="2"/>
    <col width="12.54296875" customWidth="1" style="21" min="3" max="3"/>
    <col width="9.6328125" customWidth="1" style="21" min="4" max="4"/>
    <col width="10" customWidth="1" style="21" min="5" max="5"/>
    <col width="13" customWidth="1" style="21" min="6" max="6"/>
    <col width="12.90625" customWidth="1" style="21" min="7" max="7"/>
    <col width="44.6328125" customWidth="1" style="21" min="8" max="8"/>
    <col width="16.36328125" customWidth="1" style="21" min="9" max="9"/>
    <col width="14.54296875" customWidth="1" style="21" min="11" max="11"/>
    <col width="49.90625" customWidth="1" style="21" min="12" max="12"/>
  </cols>
  <sheetData>
    <row r="1">
      <c r="A1" t="inlineStr">
        <is>
          <t>CpbAno</t>
        </is>
      </c>
      <c r="B1" t="inlineStr">
        <is>
          <t>CpbMes</t>
        </is>
      </c>
      <c r="C1" t="inlineStr">
        <is>
          <t>CpbFec</t>
        </is>
      </c>
      <c r="D1" t="inlineStr">
        <is>
          <t>CpbNum</t>
        </is>
      </c>
      <c r="E1" t="inlineStr">
        <is>
          <t>PctCod</t>
        </is>
      </c>
      <c r="F1" t="inlineStr">
        <is>
          <t>MovDebe</t>
        </is>
      </c>
      <c r="G1" t="inlineStr">
        <is>
          <t>MovHaber</t>
        </is>
      </c>
      <c r="H1" t="inlineStr">
        <is>
          <t>MovGlosa</t>
        </is>
      </c>
      <c r="I1" t="inlineStr">
        <is>
          <t>SALDO</t>
        </is>
      </c>
      <c r="J1" t="inlineStr">
        <is>
          <t>CLASIF</t>
        </is>
      </c>
      <c r="K1" t="inlineStr">
        <is>
          <t>SALDO CLAS</t>
        </is>
      </c>
      <c r="L1" t="inlineStr">
        <is>
          <t>Cuenta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J129"/>
  <sheetViews>
    <sheetView showGridLines="0" topLeftCell="A2" zoomScale="80" zoomScaleNormal="80" workbookViewId="0">
      <selection activeCell="C3" sqref="C3"/>
    </sheetView>
  </sheetViews>
  <sheetFormatPr baseColWidth="10" defaultRowHeight="14.5"/>
  <cols>
    <col width="48.54296875" customWidth="1" style="21" min="2" max="2"/>
    <col width="52" customWidth="1" style="21" min="3" max="3"/>
    <col width="21.453125" customWidth="1" style="21" min="4" max="4"/>
    <col hidden="1" style="21" min="10" max="10"/>
  </cols>
  <sheetData>
    <row r="2">
      <c r="B2" s="20" t="inlineStr">
        <is>
          <t>Cuenta</t>
        </is>
      </c>
      <c r="C2" s="20" t="inlineStr">
        <is>
          <t>Cuenta EEFF</t>
        </is>
      </c>
      <c r="D2" s="20" t="inlineStr">
        <is>
          <t>Saldo</t>
        </is>
      </c>
      <c r="J2" t="inlineStr">
        <is>
          <t xml:space="preserve">     Efectivo y equivalentes al efectivo</t>
        </is>
      </c>
    </row>
    <row r="3">
      <c r="B3">
        <f>TRIM(Balance!B10)</f>
        <v/>
      </c>
      <c r="C3" t="inlineStr">
        <is>
          <t xml:space="preserve">     Efectivo y equivalentes al efectivo</t>
        </is>
      </c>
      <c r="D3">
        <f>+SUMIF(Matriz!E:E,MID(Clasificador!B3,1,7),Matriz!I:I)</f>
        <v/>
      </c>
      <c r="J3" t="inlineStr">
        <is>
          <t xml:space="preserve">     Valores negociables</t>
        </is>
      </c>
    </row>
    <row r="4">
      <c r="B4">
        <f>TRIM(Balance!B11)</f>
        <v/>
      </c>
      <c r="C4" t="inlineStr">
        <is>
          <t xml:space="preserve">     Efectivo y equivalentes al efectivo</t>
        </is>
      </c>
      <c r="D4" s="72">
        <f>+SUMIF(Matriz!E:E,MID(Clasificador!B4,1,7),Matriz!I:I)</f>
        <v/>
      </c>
      <c r="J4" t="inlineStr">
        <is>
          <t xml:space="preserve">     Acciones y renta variable</t>
        </is>
      </c>
    </row>
    <row r="5">
      <c r="B5">
        <f>TRIM(Balance!B12)</f>
        <v/>
      </c>
      <c r="C5" t="inlineStr">
        <is>
          <t xml:space="preserve">     Efectivo y equivalentes al efectivo</t>
        </is>
      </c>
      <c r="D5" s="72">
        <f>+SUMIF(Matriz!E:E,MID(Clasificador!B5,1,7),Matriz!I:I)</f>
        <v/>
      </c>
      <c r="J5" t="inlineStr">
        <is>
          <t xml:space="preserve">     Activo por IVA Crédito fiscal</t>
        </is>
      </c>
    </row>
    <row r="6">
      <c r="B6">
        <f>TRIM(Balance!B13)</f>
        <v/>
      </c>
      <c r="C6" t="inlineStr">
        <is>
          <t xml:space="preserve">     Efectivo y equivalentes al efectivo</t>
        </is>
      </c>
      <c r="D6" s="72">
        <f>+SUMIF(Matriz!E:E,MID(Clasificador!B6,1,7),Matriz!I:I)</f>
        <v/>
      </c>
      <c r="J6" t="inlineStr">
        <is>
          <t xml:space="preserve">     Activos por impuestos corrientes </t>
        </is>
      </c>
    </row>
    <row r="7">
      <c r="B7">
        <f>TRIM(Balance!B14)</f>
        <v/>
      </c>
      <c r="C7" t="inlineStr">
        <is>
          <t xml:space="preserve">     Efectivo y equivalentes al efectivo</t>
        </is>
      </c>
      <c r="D7" s="72">
        <f>+SUMIF(Matriz!E:E,MID(Clasificador!B7,1,7),Matriz!I:I)</f>
        <v/>
      </c>
      <c r="J7" t="inlineStr">
        <is>
          <t xml:space="preserve">     Deudores comerciales y otras cuentas por cobrar, corrientes</t>
        </is>
      </c>
    </row>
    <row r="8">
      <c r="B8">
        <f>TRIM(Balance!B15)</f>
        <v/>
      </c>
      <c r="C8" t="inlineStr">
        <is>
          <t xml:space="preserve">     Efectivo y equivalentes al efectivo</t>
        </is>
      </c>
      <c r="D8" s="72">
        <f>+SUMIF(Matriz!E:E,MID(Clasificador!B8,1,7),Matriz!I:I)</f>
        <v/>
      </c>
      <c r="J8" t="inlineStr">
        <is>
          <t xml:space="preserve">     Otros activos no financieros </t>
        </is>
      </c>
    </row>
    <row r="9">
      <c r="B9">
        <f>TRIM(Balance!B16)</f>
        <v/>
      </c>
      <c r="C9" t="inlineStr">
        <is>
          <t xml:space="preserve">     Efectivo y equivalentes al efectivo</t>
        </is>
      </c>
      <c r="D9" s="72">
        <f>+SUMIF(Matriz!E:E,MID(Clasificador!B9,1,7),Matriz!I:I)</f>
        <v/>
      </c>
      <c r="J9" t="inlineStr">
        <is>
          <t xml:space="preserve">     Cuentas por cobrar a Entidades Relacionadas, corriente</t>
        </is>
      </c>
    </row>
    <row r="10">
      <c r="B10">
        <f>TRIM(Balance!B17)</f>
        <v/>
      </c>
      <c r="C10" t="inlineStr">
        <is>
          <t xml:space="preserve">     Efectivo y equivalentes al efectivo</t>
        </is>
      </c>
      <c r="D10" s="72">
        <f>+SUMIF(Matriz!E:E,MID(Clasificador!B10,1,7),Matriz!I:I)</f>
        <v/>
      </c>
      <c r="J10" t="inlineStr">
        <is>
          <t xml:space="preserve">     Inventario</t>
        </is>
      </c>
    </row>
    <row r="11">
      <c r="B11">
        <f>TRIM(Balance!B18)</f>
        <v/>
      </c>
      <c r="C11" t="inlineStr">
        <is>
          <t xml:space="preserve">     Efectivo y equivalentes al efectivo</t>
        </is>
      </c>
      <c r="D11" s="72">
        <f>+SUMIF(Matriz!E:E,MID(Clasificador!B11,1,7),Matriz!I:I)</f>
        <v/>
      </c>
      <c r="J11" t="inlineStr">
        <is>
          <t xml:space="preserve">     Activos por impuestos diferidos</t>
        </is>
      </c>
    </row>
    <row r="12">
      <c r="B12">
        <f>TRIM(Balance!B19)</f>
        <v/>
      </c>
      <c r="C12" t="inlineStr">
        <is>
          <t xml:space="preserve">     Deudores comerciales y otras cuentas por cobrar, corrientes</t>
        </is>
      </c>
      <c r="D12" s="72">
        <f>+SUMIF(Matriz!E:E,MID(Clasificador!B12,1,7),Matriz!I:I)</f>
        <v/>
      </c>
      <c r="J12" t="inlineStr">
        <is>
          <t xml:space="preserve">     Existencias</t>
        </is>
      </c>
    </row>
    <row r="13">
      <c r="B13">
        <f>TRIM(Balance!B20)</f>
        <v/>
      </c>
      <c r="C13" t="inlineStr">
        <is>
          <t xml:space="preserve">     Deudores comerciales y otras cuentas por cobrar, corrientes</t>
        </is>
      </c>
      <c r="D13" s="72">
        <f>+SUMIF(Matriz!E:E,MID(Clasificador!B13,1,7),Matriz!I:I)</f>
        <v/>
      </c>
      <c r="J13" t="inlineStr">
        <is>
          <t xml:space="preserve">     Propiedades plantas y equipos</t>
        </is>
      </c>
    </row>
    <row r="14">
      <c r="B14">
        <f>TRIM(Balance!B21)</f>
        <v/>
      </c>
      <c r="C14" t="inlineStr">
        <is>
          <t xml:space="preserve">     Deudores comerciales y otras cuentas por cobrar, corrientes</t>
        </is>
      </c>
      <c r="D14" s="72">
        <f>+SUMIF(Matriz!E:E,MID(Clasificador!B14,1,7),Matriz!I:I)</f>
        <v/>
      </c>
      <c r="J14" t="inlineStr">
        <is>
          <t xml:space="preserve">     Inversiones Contabilizadas por Metodo de la Participación</t>
        </is>
      </c>
    </row>
    <row r="15">
      <c r="B15">
        <f>TRIM(Balance!B22)</f>
        <v/>
      </c>
      <c r="C15" t="inlineStr">
        <is>
          <t xml:space="preserve">     Deudores comerciales y otras cuentas por cobrar, corrientes</t>
        </is>
      </c>
      <c r="D15" s="72">
        <f>+SUMIF(Matriz!E:E,MID(Clasificador!B15,1,7),Matriz!I:I)</f>
        <v/>
      </c>
      <c r="J15" t="inlineStr">
        <is>
          <t xml:space="preserve">     Pasivos financieros corrientes</t>
        </is>
      </c>
    </row>
    <row r="16">
      <c r="B16">
        <f>TRIM(Balance!B23)</f>
        <v/>
      </c>
      <c r="C16" t="inlineStr">
        <is>
          <t xml:space="preserve">     Cuentas por cobrar a Entidades Relacionadas, corriente</t>
        </is>
      </c>
      <c r="D16" s="72">
        <f>+SUMIF(Matriz!E:E,MID(Clasificador!B16,1,7),Matriz!I:I)</f>
        <v/>
      </c>
      <c r="J16" t="inlineStr">
        <is>
          <t xml:space="preserve">     Obligaciones Financieras</t>
        </is>
      </c>
    </row>
    <row r="17">
      <c r="B17">
        <f>TRIM(Balance!B24)</f>
        <v/>
      </c>
      <c r="C17" t="inlineStr">
        <is>
          <t xml:space="preserve">     Cuentas por cobrar a Entidades Relacionadas, corriente</t>
        </is>
      </c>
      <c r="D17" s="72">
        <f>+SUMIF(Matriz!E:E,MID(Clasificador!B17,1,7),Matriz!I:I)</f>
        <v/>
      </c>
      <c r="J17" t="inlineStr">
        <is>
          <t xml:space="preserve">     Cuentas por pagar comerciales y otras cuentas por pagar</t>
        </is>
      </c>
    </row>
    <row r="18">
      <c r="B18">
        <f>TRIM(Balance!B25)</f>
        <v/>
      </c>
      <c r="C18" t="inlineStr">
        <is>
          <t xml:space="preserve">     Otros activos no financieros </t>
        </is>
      </c>
      <c r="D18" s="72">
        <f>+SUMIF(Matriz!E:E,MID(Clasificador!B18,1,7),Matriz!I:I)</f>
        <v/>
      </c>
      <c r="J18" t="inlineStr">
        <is>
          <t xml:space="preserve">     Cuentas por pagar a Entidades Relacionadas, corriente</t>
        </is>
      </c>
    </row>
    <row r="19">
      <c r="B19">
        <f>TRIM(Balance!B26)</f>
        <v/>
      </c>
      <c r="C19" t="inlineStr">
        <is>
          <t xml:space="preserve">     Cuentas por cobrar a Entidades Relacionadas, corriente</t>
        </is>
      </c>
      <c r="D19" s="72">
        <f>+SUMIF(Matriz!E:E,MID(Clasificador!B19,1,7),Matriz!I:I)</f>
        <v/>
      </c>
      <c r="J19" t="inlineStr">
        <is>
          <t xml:space="preserve">     Cuentas por remuneraciones</t>
        </is>
      </c>
    </row>
    <row r="20">
      <c r="B20">
        <f>TRIM(Balance!B27)</f>
        <v/>
      </c>
      <c r="C20" t="inlineStr">
        <is>
          <t xml:space="preserve">     Cuentas por cobrar a Entidades Relacionadas, corriente</t>
        </is>
      </c>
      <c r="D20" s="72">
        <f>+SUMIF(Matriz!E:E,MID(Clasificador!B20,1,7),Matriz!I:I)</f>
        <v/>
      </c>
      <c r="J20" t="inlineStr">
        <is>
          <t xml:space="preserve">     Pasivos por impuestos corrientes</t>
        </is>
      </c>
    </row>
    <row r="21">
      <c r="B21">
        <f>TRIM(Balance!B28)</f>
        <v/>
      </c>
      <c r="C21" t="inlineStr">
        <is>
          <t xml:space="preserve">     Deudores comerciales y otras cuentas por cobrar, corrientes</t>
        </is>
      </c>
      <c r="D21" s="72">
        <f>+SUMIF(Matriz!E:E,MID(Clasificador!B21,1,7),Matriz!I:I)</f>
        <v/>
      </c>
      <c r="J21" t="inlineStr">
        <is>
          <t xml:space="preserve">     Otros pasivos no financieros corrientes</t>
        </is>
      </c>
    </row>
    <row r="22">
      <c r="B22">
        <f>TRIM(Balance!B29)</f>
        <v/>
      </c>
      <c r="C22" t="inlineStr">
        <is>
          <t xml:space="preserve">     Cuentas por cobrar a Entidades Relacionadas, corriente</t>
        </is>
      </c>
      <c r="D22" s="72">
        <f>+SUMIF(Matriz!E:E,MID(Clasificador!B22,1,7),Matriz!I:I)</f>
        <v/>
      </c>
      <c r="J22" t="inlineStr">
        <is>
          <t xml:space="preserve">     Pasivo por impuestos diferidos</t>
        </is>
      </c>
    </row>
    <row r="23">
      <c r="B23">
        <f>TRIM(Balance!B30)</f>
        <v/>
      </c>
      <c r="C23" t="inlineStr">
        <is>
          <t xml:space="preserve">     Activos por impuestos corrientes </t>
        </is>
      </c>
      <c r="D23" s="72">
        <f>+SUMIF(Matriz!E:E,MID(Clasificador!B23,1,7),Matriz!I:I)</f>
        <v/>
      </c>
      <c r="J23" t="inlineStr">
        <is>
          <t xml:space="preserve">     Obligaciones Financieras, no corriente</t>
        </is>
      </c>
    </row>
    <row r="24">
      <c r="B24">
        <f>TRIM(Balance!B31)</f>
        <v/>
      </c>
      <c r="C24" t="inlineStr">
        <is>
          <t xml:space="preserve">     Activos por impuestos corrientes </t>
        </is>
      </c>
      <c r="D24" s="72">
        <f>+SUMIF(Matriz!E:E,MID(Clasificador!B24,1,7),Matriz!I:I)</f>
        <v/>
      </c>
      <c r="J24" t="inlineStr">
        <is>
          <t xml:space="preserve">     Otros pasivos no financieros no corrientes</t>
        </is>
      </c>
    </row>
    <row r="25">
      <c r="B25">
        <f>TRIM(Balance!B32)</f>
        <v/>
      </c>
      <c r="C25" t="inlineStr">
        <is>
          <t xml:space="preserve">     Activos por impuestos corrientes </t>
        </is>
      </c>
      <c r="D25" s="72">
        <f>+SUMIF(Matriz!E:E,MID(Clasificador!B25,1,7),Matriz!I:I)</f>
        <v/>
      </c>
      <c r="J25" t="inlineStr">
        <is>
          <t xml:space="preserve">     Capital emitido y pagado</t>
        </is>
      </c>
    </row>
    <row r="26">
      <c r="B26">
        <f>TRIM(Balance!B33)</f>
        <v/>
      </c>
      <c r="C26" t="inlineStr">
        <is>
          <t xml:space="preserve">     Existencias</t>
        </is>
      </c>
      <c r="D26" s="72">
        <f>+SUMIF(Matriz!E:E,MID(Clasificador!B26,1,7),Matriz!I:I)</f>
        <v/>
      </c>
      <c r="J26" t="inlineStr">
        <is>
          <t xml:space="preserve">     Otras reservas</t>
        </is>
      </c>
    </row>
    <row r="27">
      <c r="B27">
        <f>TRIM(Balance!B34)</f>
        <v/>
      </c>
      <c r="C27" t="inlineStr">
        <is>
          <t xml:space="preserve">     Existencias</t>
        </is>
      </c>
      <c r="D27" s="72">
        <f>+SUMIF(Matriz!E:E,MID(Clasificador!B27,1,7),Matriz!I:I)</f>
        <v/>
      </c>
      <c r="J27" t="inlineStr">
        <is>
          <t xml:space="preserve">     Ganancias ( pérdidas) acumuladas</t>
        </is>
      </c>
    </row>
    <row r="28">
      <c r="B28">
        <f>TRIM(Balance!B35)</f>
        <v/>
      </c>
      <c r="C28" t="inlineStr">
        <is>
          <t xml:space="preserve">     Otros activos no financieros </t>
        </is>
      </c>
      <c r="D28" s="72">
        <f>+SUMIF(Matriz!E:E,MID(Clasificador!B28,1,7),Matriz!I:I)</f>
        <v/>
      </c>
      <c r="J28" t="inlineStr">
        <is>
          <t xml:space="preserve">     Resultado del Ejercicio</t>
        </is>
      </c>
    </row>
    <row r="29">
      <c r="B29">
        <f>TRIM(Balance!B36)</f>
        <v/>
      </c>
      <c r="C29" t="inlineStr">
        <is>
          <t xml:space="preserve">     Otros activos no financieros </t>
        </is>
      </c>
      <c r="D29" s="72">
        <f>+SUMIF(Matriz!E:E,MID(Clasificador!B29,1,7),Matriz!I:I)</f>
        <v/>
      </c>
    </row>
    <row r="30">
      <c r="B30">
        <f>TRIM(Balance!B37)</f>
        <v/>
      </c>
      <c r="C30" t="inlineStr">
        <is>
          <t xml:space="preserve">     Otros activos no financieros </t>
        </is>
      </c>
      <c r="D30" s="72">
        <f>+SUMIF(Matriz!E:E,MID(Clasificador!B30,1,7),Matriz!I:I)</f>
        <v/>
      </c>
    </row>
    <row r="31">
      <c r="B31">
        <f>TRIM(Balance!B38)</f>
        <v/>
      </c>
      <c r="C31" t="inlineStr">
        <is>
          <t xml:space="preserve">     Cuentas por cobrar a Entidades Relacionadas, corriente</t>
        </is>
      </c>
      <c r="D31" s="72">
        <f>+SUMIF(Matriz!E:E,MID(Clasificador!B31,1,7),Matriz!I:I)</f>
        <v/>
      </c>
    </row>
    <row r="32">
      <c r="B32">
        <f>TRIM(Balance!B39)</f>
        <v/>
      </c>
      <c r="C32" t="inlineStr">
        <is>
          <t xml:space="preserve">     Cuentas por cobrar a Entidades Relacionadas, corriente</t>
        </is>
      </c>
      <c r="D32" s="72">
        <f>+SUMIF(Matriz!E:E,MID(Clasificador!B32,1,7),Matriz!I:I)</f>
        <v/>
      </c>
    </row>
    <row r="33">
      <c r="B33">
        <f>TRIM(Balance!B40)</f>
        <v/>
      </c>
      <c r="C33" t="inlineStr">
        <is>
          <t xml:space="preserve">     Cuentas por cobrar a Entidades Relacionadas, corriente</t>
        </is>
      </c>
      <c r="D33" s="72">
        <f>+SUMIF(Matriz!E:E,MID(Clasificador!B33,1,7),Matriz!I:I)</f>
        <v/>
      </c>
    </row>
    <row r="34">
      <c r="B34">
        <f>TRIM(Balance!B41)</f>
        <v/>
      </c>
      <c r="C34" t="inlineStr">
        <is>
          <t xml:space="preserve">     Propiedades plantas y equipos</t>
        </is>
      </c>
      <c r="D34" s="72">
        <f>+SUMIF(Matriz!E:E,MID(Clasificador!B34,1,7),Matriz!I:I)</f>
        <v/>
      </c>
    </row>
    <row r="35">
      <c r="B35">
        <f>TRIM(Balance!B42)</f>
        <v/>
      </c>
      <c r="C35" t="inlineStr">
        <is>
          <t xml:space="preserve">     Propiedades plantas y equipos</t>
        </is>
      </c>
      <c r="D35" s="72">
        <f>+SUMIF(Matriz!E:E,MID(Clasificador!B35,1,7),Matriz!I:I)</f>
        <v/>
      </c>
    </row>
    <row r="36">
      <c r="B36">
        <f>TRIM(Balance!B43)</f>
        <v/>
      </c>
      <c r="C36" t="inlineStr">
        <is>
          <t xml:space="preserve">     Propiedades plantas y equipos</t>
        </is>
      </c>
      <c r="D36" s="72">
        <f>+SUMIF(Matriz!E:E,MID(Clasificador!B36,1,7),Matriz!I:I)</f>
        <v/>
      </c>
    </row>
    <row r="37">
      <c r="B37">
        <f>TRIM(Balance!B44)</f>
        <v/>
      </c>
      <c r="C37" t="inlineStr">
        <is>
          <t xml:space="preserve">     Propiedades plantas y equipos</t>
        </is>
      </c>
      <c r="D37" s="72">
        <f>+SUMIF(Matriz!E:E,MID(Clasificador!B37,1,7),Matriz!I:I)</f>
        <v/>
      </c>
    </row>
    <row r="38">
      <c r="B38">
        <f>TRIM(Balance!B45)</f>
        <v/>
      </c>
      <c r="C38" t="inlineStr">
        <is>
          <t xml:space="preserve">     Propiedades plantas y equipos</t>
        </is>
      </c>
      <c r="D38" s="72">
        <f>+SUMIF(Matriz!E:E,MID(Clasificador!B38,1,7),Matriz!I:I)</f>
        <v/>
      </c>
    </row>
    <row r="39">
      <c r="B39">
        <f>TRIM(Balance!B46)</f>
        <v/>
      </c>
      <c r="C39" t="inlineStr">
        <is>
          <t xml:space="preserve">     Propiedades plantas y equipos</t>
        </is>
      </c>
      <c r="D39" s="72">
        <f>+SUMIF(Matriz!E:E,MID(Clasificador!B39,1,7),Matriz!I:I)</f>
        <v/>
      </c>
    </row>
    <row r="40">
      <c r="B40">
        <f>TRIM(Balance!B47)</f>
        <v/>
      </c>
      <c r="C40" t="inlineStr">
        <is>
          <t xml:space="preserve">     Propiedades plantas y equipos</t>
        </is>
      </c>
      <c r="D40" s="72">
        <f>+SUMIF(Matriz!E:E,MID(Clasificador!B40,1,7),Matriz!I:I)</f>
        <v/>
      </c>
    </row>
    <row r="41">
      <c r="B41">
        <f>TRIM(Balance!B48)</f>
        <v/>
      </c>
      <c r="C41" t="inlineStr">
        <is>
          <t xml:space="preserve">     Propiedades plantas y equipos</t>
        </is>
      </c>
      <c r="D41" s="72">
        <f>+SUMIF(Matriz!E:E,MID(Clasificador!B41,1,7),Matriz!I:I)</f>
        <v/>
      </c>
    </row>
    <row r="42">
      <c r="B42">
        <f>TRIM(Balance!B49)</f>
        <v/>
      </c>
      <c r="C42" t="inlineStr">
        <is>
          <t xml:space="preserve">     Propiedades plantas y equipos</t>
        </is>
      </c>
      <c r="D42" s="72">
        <f>+SUMIF(Matriz!E:E,MID(Clasificador!B42,1,7),Matriz!I:I)</f>
        <v/>
      </c>
    </row>
    <row r="43">
      <c r="B43">
        <f>TRIM(Balance!B50)</f>
        <v/>
      </c>
      <c r="C43" t="inlineStr">
        <is>
          <t xml:space="preserve">     Propiedades plantas y equipos</t>
        </is>
      </c>
      <c r="D43" s="72">
        <f>+SUMIF(Matriz!E:E,MID(Clasificador!B43,1,7),Matriz!I:I)</f>
        <v/>
      </c>
    </row>
    <row r="44">
      <c r="B44">
        <f>TRIM(Balance!B51)</f>
        <v/>
      </c>
      <c r="C44" t="inlineStr">
        <is>
          <t xml:space="preserve">     Propiedades plantas y equipos</t>
        </is>
      </c>
      <c r="D44" s="72">
        <f>+SUMIF(Matriz!E:E,MID(Clasificador!B44,1,7),Matriz!I:I)</f>
        <v/>
      </c>
    </row>
    <row r="45">
      <c r="B45">
        <f>TRIM(Balance!B52)</f>
        <v/>
      </c>
      <c r="C45" t="inlineStr">
        <is>
          <t xml:space="preserve">     Propiedades plantas y equipos</t>
        </is>
      </c>
      <c r="D45" s="72">
        <f>+SUMIF(Matriz!E:E,MID(Clasificador!B45,1,7),Matriz!I:I)</f>
        <v/>
      </c>
    </row>
    <row r="46">
      <c r="B46">
        <f>TRIM(Balance!B53)</f>
        <v/>
      </c>
      <c r="C46" t="inlineStr">
        <is>
          <t xml:space="preserve">     Propiedades plantas y equipos</t>
        </is>
      </c>
      <c r="D46" s="72">
        <f>+SUMIF(Matriz!E:E,MID(Clasificador!B46,1,7),Matriz!I:I)</f>
        <v/>
      </c>
    </row>
    <row r="47">
      <c r="B47">
        <f>TRIM(Balance!B54)</f>
        <v/>
      </c>
      <c r="C47" t="inlineStr">
        <is>
          <t xml:space="preserve">     Propiedades plantas y equipos</t>
        </is>
      </c>
      <c r="D47" s="72">
        <f>+SUMIF(Matriz!E:E,MID(Clasificador!B47,1,7),Matriz!I:I)</f>
        <v/>
      </c>
    </row>
    <row r="48">
      <c r="B48">
        <f>TRIM(Balance!B55)</f>
        <v/>
      </c>
      <c r="C48" t="inlineStr">
        <is>
          <t xml:space="preserve">     Propiedades plantas y equipos</t>
        </is>
      </c>
      <c r="D48" s="72">
        <f>+SUMIF(Matriz!E:E,MID(Clasificador!B48,1,7),Matriz!I:I)</f>
        <v/>
      </c>
    </row>
    <row r="49">
      <c r="B49">
        <f>TRIM(Balance!B56)</f>
        <v/>
      </c>
      <c r="C49" t="inlineStr">
        <is>
          <t xml:space="preserve">     Propiedades plantas y equipos</t>
        </is>
      </c>
      <c r="D49" s="72">
        <f>+SUMIF(Matriz!E:E,MID(Clasificador!B49,1,7),Matriz!I:I)</f>
        <v/>
      </c>
    </row>
    <row r="50">
      <c r="B50">
        <f>TRIM(Balance!B57)</f>
        <v/>
      </c>
      <c r="C50" t="inlineStr">
        <is>
          <t xml:space="preserve">     Propiedades plantas y equipos</t>
        </is>
      </c>
      <c r="D50" s="72">
        <f>+SUMIF(Matriz!E:E,MID(Clasificador!B50,1,7),Matriz!I:I)</f>
        <v/>
      </c>
    </row>
    <row r="51">
      <c r="B51">
        <f>TRIM(Balance!B58)</f>
        <v/>
      </c>
      <c r="C51" t="inlineStr">
        <is>
          <t xml:space="preserve">     Otros activos no financieros </t>
        </is>
      </c>
      <c r="D51" s="72">
        <f>+SUMIF(Matriz!E:E,MID(Clasificador!B51,1,7),Matriz!I:I)</f>
        <v/>
      </c>
    </row>
    <row r="52">
      <c r="B52">
        <f>TRIM(Balance!B59)</f>
        <v/>
      </c>
      <c r="C52" t="inlineStr">
        <is>
          <t xml:space="preserve">     Pasivos financieros corrientes</t>
        </is>
      </c>
      <c r="D52" s="72">
        <f>+SUMIF(Matriz!E:E,MID(Clasificador!B52,1,7),Matriz!I:I)</f>
        <v/>
      </c>
    </row>
    <row r="53">
      <c r="B53">
        <f>TRIM(Balance!B60)</f>
        <v/>
      </c>
      <c r="C53" t="inlineStr">
        <is>
          <t xml:space="preserve">     Pasivos financieros corrientes</t>
        </is>
      </c>
      <c r="D53" s="72">
        <f>+SUMIF(Matriz!E:E,MID(Clasificador!B53,1,7),Matriz!I:I)</f>
        <v/>
      </c>
    </row>
    <row r="54">
      <c r="B54">
        <f>TRIM(Balance!B61)</f>
        <v/>
      </c>
      <c r="C54" t="inlineStr">
        <is>
          <t xml:space="preserve">     Pasivos financieros corrientes</t>
        </is>
      </c>
      <c r="D54" s="72">
        <f>+SUMIF(Matriz!E:E,MID(Clasificador!B54,1,7),Matriz!I:I)</f>
        <v/>
      </c>
    </row>
    <row r="55">
      <c r="B55">
        <f>TRIM(Balance!B62)</f>
        <v/>
      </c>
      <c r="C55" t="inlineStr">
        <is>
          <t xml:space="preserve">     Pasivos financieros corrientes</t>
        </is>
      </c>
      <c r="D55" s="72">
        <f>+SUMIF(Matriz!E:E,MID(Clasificador!B55,1,7),Matriz!I:I)</f>
        <v/>
      </c>
    </row>
    <row r="56">
      <c r="B56">
        <f>TRIM(Balance!B63)</f>
        <v/>
      </c>
      <c r="C56" t="inlineStr">
        <is>
          <t xml:space="preserve">     Pasivos financieros corrientes</t>
        </is>
      </c>
      <c r="D56" s="72">
        <f>+SUMIF(Matriz!E:E,MID(Clasificador!B56,1,7),Matriz!I:I)</f>
        <v/>
      </c>
    </row>
    <row r="57">
      <c r="B57">
        <f>TRIM(Balance!B64)</f>
        <v/>
      </c>
      <c r="C57" t="inlineStr">
        <is>
          <t xml:space="preserve">     Pasivos financieros corrientes</t>
        </is>
      </c>
      <c r="D57" s="72">
        <f>+SUMIF(Matriz!E:E,MID(Clasificador!B57,1,7),Matriz!I:I)</f>
        <v/>
      </c>
    </row>
    <row r="58">
      <c r="B58">
        <f>TRIM(Balance!B65)</f>
        <v/>
      </c>
      <c r="C58" t="inlineStr">
        <is>
          <t xml:space="preserve">     Pasivos financieros corrientes</t>
        </is>
      </c>
      <c r="D58" s="72">
        <f>+SUMIF(Matriz!E:E,MID(Clasificador!B58,1,7),Matriz!I:I)</f>
        <v/>
      </c>
    </row>
    <row r="59">
      <c r="B59">
        <f>TRIM(Balance!B66)</f>
        <v/>
      </c>
      <c r="C59" t="inlineStr">
        <is>
          <t xml:space="preserve">     Pasivos financieros corrientes</t>
        </is>
      </c>
      <c r="D59" s="72">
        <f>+SUMIF(Matriz!E:E,MID(Clasificador!B59,1,7),Matriz!I:I)</f>
        <v/>
      </c>
    </row>
    <row r="60">
      <c r="B60">
        <f>TRIM(Balance!B67)</f>
        <v/>
      </c>
      <c r="C60" t="inlineStr">
        <is>
          <t xml:space="preserve">     Pasivos financieros corrientes</t>
        </is>
      </c>
      <c r="D60" s="72">
        <f>+SUMIF(Matriz!E:E,MID(Clasificador!B60,1,7),Matriz!I:I)</f>
        <v/>
      </c>
    </row>
    <row r="61">
      <c r="B61">
        <f>TRIM(Balance!B68)</f>
        <v/>
      </c>
      <c r="C61" t="inlineStr">
        <is>
          <t xml:space="preserve">     Pasivos financieros corrientes</t>
        </is>
      </c>
      <c r="D61" s="72">
        <f>+SUMIF(Matriz!E:E,MID(Clasificador!B61,1,7),Matriz!I:I)</f>
        <v/>
      </c>
    </row>
    <row r="62">
      <c r="B62">
        <f>TRIM(Balance!B69)</f>
        <v/>
      </c>
      <c r="C62" t="inlineStr">
        <is>
          <t xml:space="preserve">     Cuentas por remuneraciones</t>
        </is>
      </c>
      <c r="D62" s="72">
        <f>+SUMIF(Matriz!E:E,MID(Clasificador!B62,1,7),Matriz!I:I)</f>
        <v/>
      </c>
    </row>
    <row r="63">
      <c r="B63">
        <f>TRIM(Balance!B70)</f>
        <v/>
      </c>
      <c r="C63" t="inlineStr">
        <is>
          <t xml:space="preserve">     Cuentas por remuneraciones</t>
        </is>
      </c>
      <c r="D63" s="72">
        <f>+SUMIF(Matriz!E:E,MID(Clasificador!B63,1,7),Matriz!I:I)</f>
        <v/>
      </c>
    </row>
    <row r="64">
      <c r="B64">
        <f>TRIM(Balance!B71)</f>
        <v/>
      </c>
      <c r="C64" t="inlineStr">
        <is>
          <t xml:space="preserve">     Cuentas por remuneraciones</t>
        </is>
      </c>
      <c r="D64" s="72">
        <f>+SUMIF(Matriz!E:E,MID(Clasificador!B64,1,7),Matriz!I:I)</f>
        <v/>
      </c>
    </row>
    <row r="65">
      <c r="B65">
        <f>TRIM(Balance!B72)</f>
        <v/>
      </c>
      <c r="C65" t="inlineStr">
        <is>
          <t xml:space="preserve">     Obligaciones Financieras</t>
        </is>
      </c>
      <c r="D65" s="72">
        <f>+SUMIF(Matriz!E:E,MID(Clasificador!B65,1,7),Matriz!I:I)</f>
        <v/>
      </c>
    </row>
    <row r="66">
      <c r="B66">
        <f>TRIM(Balance!B73)</f>
        <v/>
      </c>
      <c r="C66" t="inlineStr">
        <is>
          <t xml:space="preserve">     Obligaciones Financieras</t>
        </is>
      </c>
      <c r="D66" s="72">
        <f>+SUMIF(Matriz!E:E,MID(Clasificador!B66,1,7),Matriz!I:I)</f>
        <v/>
      </c>
    </row>
    <row r="67">
      <c r="B67">
        <f>TRIM(Balance!B74)</f>
        <v/>
      </c>
      <c r="C67" t="inlineStr">
        <is>
          <t xml:space="preserve">     Obligaciones Financieras</t>
        </is>
      </c>
      <c r="D67" s="72">
        <f>+SUMIF(Matriz!E:E,MID(Clasificador!B67,1,7),Matriz!I:I)</f>
        <v/>
      </c>
    </row>
    <row r="68">
      <c r="B68">
        <f>TRIM(Balance!B75)</f>
        <v/>
      </c>
      <c r="C68" t="inlineStr">
        <is>
          <t xml:space="preserve">     Obligaciones Financieras</t>
        </is>
      </c>
      <c r="D68" s="72">
        <f>+SUMIF(Matriz!E:E,MID(Clasificador!B68,1,7),Matriz!I:I)</f>
        <v/>
      </c>
    </row>
    <row r="69">
      <c r="B69">
        <f>TRIM(Balance!B76)</f>
        <v/>
      </c>
      <c r="C69" t="inlineStr">
        <is>
          <t xml:space="preserve">     Obligaciones Financieras</t>
        </is>
      </c>
      <c r="D69" s="72">
        <f>+SUMIF(Matriz!E:E,MID(Clasificador!B69,1,7),Matriz!I:I)</f>
        <v/>
      </c>
    </row>
    <row r="70">
      <c r="B70">
        <f>TRIM(Balance!B77)</f>
        <v/>
      </c>
      <c r="C70" t="inlineStr">
        <is>
          <t xml:space="preserve">     Cuentas por pagar comerciales y otras cuentas por pagar</t>
        </is>
      </c>
      <c r="D70" s="72">
        <f>+SUMIF(Matriz!E:E,MID(Clasificador!B70,1,7),Matriz!I:I)</f>
        <v/>
      </c>
    </row>
    <row r="71">
      <c r="B71">
        <f>TRIM(Balance!B78)</f>
        <v/>
      </c>
      <c r="C71" t="inlineStr">
        <is>
          <t xml:space="preserve">     Pasivos por impuestos corrientes</t>
        </is>
      </c>
      <c r="D71" s="72">
        <f>+SUMIF(Matriz!E:E,MID(Clasificador!B71,1,7),Matriz!I:I)</f>
        <v/>
      </c>
    </row>
    <row r="72">
      <c r="B72">
        <f>TRIM(Balance!B79)</f>
        <v/>
      </c>
      <c r="C72" t="inlineStr">
        <is>
          <t xml:space="preserve">     Pasivos por impuestos corrientes</t>
        </is>
      </c>
      <c r="D72" s="72">
        <f>+SUMIF(Matriz!E:E,MID(Clasificador!B72,1,7),Matriz!I:I)</f>
        <v/>
      </c>
    </row>
    <row r="73">
      <c r="B73">
        <f>TRIM(Balance!B80)</f>
        <v/>
      </c>
      <c r="C73" t="inlineStr">
        <is>
          <t xml:space="preserve">     Pasivos por impuestos corrientes</t>
        </is>
      </c>
      <c r="D73" s="72">
        <f>+SUMIF(Matriz!E:E,MID(Clasificador!B73,1,7),Matriz!I:I)</f>
        <v/>
      </c>
    </row>
    <row r="74">
      <c r="B74">
        <f>TRIM(Balance!B81)</f>
        <v/>
      </c>
      <c r="C74" t="inlineStr">
        <is>
          <t xml:space="preserve">     Pasivos por impuestos corrientes</t>
        </is>
      </c>
      <c r="D74" s="72">
        <f>+SUMIF(Matriz!E:E,MID(Clasificador!B74,1,7),Matriz!I:I)</f>
        <v/>
      </c>
    </row>
    <row r="75">
      <c r="B75">
        <f>TRIM(Balance!B82)</f>
        <v/>
      </c>
      <c r="C75" t="inlineStr">
        <is>
          <t xml:space="preserve">     Cuentas por remuneraciones</t>
        </is>
      </c>
      <c r="D75" s="72">
        <f>+SUMIF(Matriz!E:E,MID(Clasificador!B75,1,7),Matriz!I:I)</f>
        <v/>
      </c>
    </row>
    <row r="76">
      <c r="B76">
        <f>TRIM(Balance!B83)</f>
        <v/>
      </c>
      <c r="C76" t="inlineStr">
        <is>
          <t xml:space="preserve">     Cuentas por remuneraciones</t>
        </is>
      </c>
      <c r="D76" s="72">
        <f>+SUMIF(Matriz!E:E,MID(Clasificador!B76,1,7),Matriz!I:I)</f>
        <v/>
      </c>
    </row>
    <row r="77">
      <c r="B77">
        <f>TRIM(Balance!B84)</f>
        <v/>
      </c>
      <c r="C77" t="inlineStr">
        <is>
          <t xml:space="preserve">     Pasivos por impuestos corrientes</t>
        </is>
      </c>
      <c r="D77" s="72">
        <f>+SUMIF(Matriz!E:E,MID(Clasificador!B77,1,7),Matriz!I:I)</f>
        <v/>
      </c>
    </row>
    <row r="78">
      <c r="B78">
        <f>TRIM(Balance!B85)</f>
        <v/>
      </c>
      <c r="C78" t="inlineStr">
        <is>
          <t xml:space="preserve">     Cuentas por remuneraciones</t>
        </is>
      </c>
      <c r="D78" s="72">
        <f>+SUMIF(Matriz!E:E,MID(Clasificador!B78,1,7),Matriz!I:I)</f>
        <v/>
      </c>
    </row>
    <row r="79">
      <c r="B79">
        <f>TRIM(Balance!B86)</f>
        <v/>
      </c>
      <c r="C79" t="inlineStr">
        <is>
          <t xml:space="preserve">     Cuentas por remuneraciones</t>
        </is>
      </c>
      <c r="D79" s="72">
        <f>+SUMIF(Matriz!E:E,MID(Clasificador!B79,1,7),Matriz!I:I)</f>
        <v/>
      </c>
    </row>
    <row r="80">
      <c r="B80">
        <f>TRIM(Balance!B87)</f>
        <v/>
      </c>
      <c r="C80" t="inlineStr">
        <is>
          <t xml:space="preserve">     Cuentas por remuneraciones</t>
        </is>
      </c>
      <c r="D80" s="72">
        <f>+SUMIF(Matriz!E:E,MID(Clasificador!B80,1,7),Matriz!I:I)</f>
        <v/>
      </c>
    </row>
    <row r="81">
      <c r="B81">
        <f>TRIM(Balance!B88)</f>
        <v/>
      </c>
      <c r="C81" t="inlineStr">
        <is>
          <t xml:space="preserve">     Cuentas por pagar comerciales y otras cuentas por pagar</t>
        </is>
      </c>
      <c r="D81" s="72">
        <f>+SUMIF(Matriz!E:E,MID(Clasificador!B81,1,7),Matriz!I:I)</f>
        <v/>
      </c>
    </row>
    <row r="82">
      <c r="B82">
        <f>TRIM(Balance!B89)</f>
        <v/>
      </c>
      <c r="C82" t="inlineStr">
        <is>
          <t xml:space="preserve">     Cuentas por pagar comerciales y otras cuentas por pagar</t>
        </is>
      </c>
      <c r="D82" s="72">
        <f>+SUMIF(Matriz!E:E,MID(Clasificador!B82,1,7),Matriz!I:I)</f>
        <v/>
      </c>
    </row>
    <row r="83">
      <c r="B83">
        <f>TRIM(Balance!B90)</f>
        <v/>
      </c>
      <c r="C83" t="inlineStr">
        <is>
          <t xml:space="preserve">     Capital emitido y pagado</t>
        </is>
      </c>
      <c r="D83" s="72">
        <f>+SUMIF(Matriz!E:E,MID(Clasificador!B83,1,7),Matriz!I:I)</f>
        <v/>
      </c>
    </row>
    <row r="84">
      <c r="B84">
        <f>TRIM(Balance!B91)</f>
        <v/>
      </c>
      <c r="C84" t="inlineStr">
        <is>
          <t xml:space="preserve">     Otras reservas</t>
        </is>
      </c>
      <c r="D84" s="72">
        <f>+SUMIF(Matriz!E:E,MID(Clasificador!B84,1,7),Matriz!I:I)</f>
        <v/>
      </c>
    </row>
    <row r="85">
      <c r="B85">
        <f>TRIM(Balance!B92)</f>
        <v/>
      </c>
      <c r="C85" t="inlineStr">
        <is>
          <t xml:space="preserve">     Ganancias ( pérdidas) acumuladas</t>
        </is>
      </c>
      <c r="D85" s="72">
        <f>+SUMIF(Matriz!E:E,MID(Clasificador!B85,1,7),Matriz!I:I)</f>
        <v/>
      </c>
    </row>
    <row r="86">
      <c r="B86">
        <f>TRIM(Balance!B93)</f>
        <v/>
      </c>
      <c r="C86" t="inlineStr">
        <is>
          <t xml:space="preserve">     Resultado del Ejercicio</t>
        </is>
      </c>
      <c r="D86" s="72">
        <f>+SUMIF(Matriz!E:E,MID(Clasificador!B86,1,7),Matriz!I:I)</f>
        <v/>
      </c>
    </row>
    <row r="87">
      <c r="B87">
        <f>TRIM(Balance!B94)</f>
        <v/>
      </c>
      <c r="C87" t="inlineStr">
        <is>
          <t xml:space="preserve">     Resultado del Ejercicio</t>
        </is>
      </c>
      <c r="D87" s="72">
        <f>+SUMIF(Matriz!E:E,MID(Clasificador!B87,1,7),Matriz!I:I)</f>
        <v/>
      </c>
    </row>
    <row r="88">
      <c r="B88">
        <f>TRIM(Balance!B95)</f>
        <v/>
      </c>
      <c r="C88" t="inlineStr">
        <is>
          <t xml:space="preserve">     Resultado del Ejercicio</t>
        </is>
      </c>
      <c r="D88" s="72">
        <f>+SUMIF(Matriz!E:E,MID(Clasificador!B88,1,7),Matriz!I:I)</f>
        <v/>
      </c>
    </row>
    <row r="89">
      <c r="B89">
        <f>TRIM(Balance!B96)</f>
        <v/>
      </c>
      <c r="C89" t="inlineStr">
        <is>
          <t xml:space="preserve">     Resultado del Ejercicio</t>
        </is>
      </c>
      <c r="D89" s="72">
        <f>+SUMIF(Matriz!E:E,MID(Clasificador!B89,1,7),Matriz!I:I)</f>
        <v/>
      </c>
    </row>
    <row r="90">
      <c r="B90">
        <f>TRIM(Balance!B97)</f>
        <v/>
      </c>
      <c r="C90" t="inlineStr">
        <is>
          <t xml:space="preserve">     Resultado del Ejercicio</t>
        </is>
      </c>
      <c r="D90" s="72">
        <f>+SUMIF(Matriz!E:E,MID(Clasificador!B90,1,7),Matriz!I:I)</f>
        <v/>
      </c>
    </row>
    <row r="91">
      <c r="B91">
        <f>TRIM(Balance!B98)</f>
        <v/>
      </c>
      <c r="C91" t="inlineStr">
        <is>
          <t xml:space="preserve">     Resultado del Ejercicio</t>
        </is>
      </c>
      <c r="D91" s="72">
        <f>+SUMIF(Matriz!E:E,MID(Clasificador!B91,1,7),Matriz!I:I)</f>
        <v/>
      </c>
    </row>
    <row r="92">
      <c r="B92">
        <f>TRIM(Balance!B99)</f>
        <v/>
      </c>
      <c r="C92" t="inlineStr">
        <is>
          <t xml:space="preserve">     Resultado del Ejercicio</t>
        </is>
      </c>
      <c r="D92" s="72">
        <f>+SUMIF(Matriz!E:E,MID(Clasificador!B92,1,7),Matriz!I:I)</f>
        <v/>
      </c>
    </row>
    <row r="93">
      <c r="B93">
        <f>TRIM(Balance!B100)</f>
        <v/>
      </c>
      <c r="C93" t="inlineStr">
        <is>
          <t xml:space="preserve">     Resultado del Ejercicio</t>
        </is>
      </c>
      <c r="D93" s="72">
        <f>+SUMIF(Matriz!E:E,MID(Clasificador!B93,1,7),Matriz!I:I)</f>
        <v/>
      </c>
    </row>
    <row r="94">
      <c r="B94">
        <f>TRIM(Balance!B101)</f>
        <v/>
      </c>
      <c r="C94" t="inlineStr">
        <is>
          <t xml:space="preserve">     Resultado del Ejercicio</t>
        </is>
      </c>
      <c r="D94" s="72">
        <f>+SUMIF(Matriz!E:E,MID(Clasificador!B94,1,7),Matriz!I:I)</f>
        <v/>
      </c>
    </row>
    <row r="95">
      <c r="B95">
        <f>TRIM(Balance!B102)</f>
        <v/>
      </c>
      <c r="C95" t="inlineStr">
        <is>
          <t xml:space="preserve">     Resultado del Ejercicio</t>
        </is>
      </c>
      <c r="D95" s="72">
        <f>+SUMIF(Matriz!E:E,MID(Clasificador!B95,1,7),Matriz!I:I)</f>
        <v/>
      </c>
    </row>
    <row r="96">
      <c r="B96">
        <f>TRIM(Balance!B103)</f>
        <v/>
      </c>
      <c r="C96" t="inlineStr">
        <is>
          <t xml:space="preserve">     Resultado del Ejercicio</t>
        </is>
      </c>
      <c r="D96" s="72">
        <f>+SUMIF(Matriz!E:E,MID(Clasificador!B96,1,7),Matriz!I:I)</f>
        <v/>
      </c>
    </row>
    <row r="97">
      <c r="B97">
        <f>TRIM(Balance!B104)</f>
        <v/>
      </c>
      <c r="C97" t="inlineStr">
        <is>
          <t xml:space="preserve">     Resultado del Ejercicio</t>
        </is>
      </c>
      <c r="D97" s="72">
        <f>+SUMIF(Matriz!E:E,MID(Clasificador!B97,1,7),Matriz!I:I)</f>
        <v/>
      </c>
    </row>
    <row r="98">
      <c r="B98">
        <f>TRIM(Balance!B105)</f>
        <v/>
      </c>
      <c r="C98" t="inlineStr">
        <is>
          <t xml:space="preserve">     Resultado del Ejercicio</t>
        </is>
      </c>
      <c r="D98" s="72">
        <f>+SUMIF(Matriz!E:E,MID(Clasificador!B98,1,7),Matriz!I:I)</f>
        <v/>
      </c>
    </row>
    <row r="99">
      <c r="B99">
        <f>TRIM(Balance!B106)</f>
        <v/>
      </c>
      <c r="C99" t="inlineStr">
        <is>
          <t xml:space="preserve">     Resultado del Ejercicio</t>
        </is>
      </c>
      <c r="D99" s="72">
        <f>+SUMIF(Matriz!E:E,MID(Clasificador!B99,1,7),Matriz!I:I)</f>
        <v/>
      </c>
    </row>
    <row r="100">
      <c r="B100">
        <f>TRIM(Balance!B107)</f>
        <v/>
      </c>
      <c r="C100" t="inlineStr">
        <is>
          <t xml:space="preserve">     Resultado del Ejercicio</t>
        </is>
      </c>
      <c r="D100" s="72">
        <f>+SUMIF(Matriz!E:E,MID(Clasificador!B100,1,7),Matriz!I:I)</f>
        <v/>
      </c>
    </row>
    <row r="101">
      <c r="B101">
        <f>TRIM(Balance!B108)</f>
        <v/>
      </c>
      <c r="C101" t="inlineStr">
        <is>
          <t xml:space="preserve">     Resultado del Ejercicio</t>
        </is>
      </c>
      <c r="D101" s="72">
        <f>+SUMIF(Matriz!E:E,MID(Clasificador!B101,1,7),Matriz!I:I)</f>
        <v/>
      </c>
    </row>
    <row r="102">
      <c r="B102">
        <f>TRIM(Balance!B109)</f>
        <v/>
      </c>
      <c r="C102" t="inlineStr">
        <is>
          <t xml:space="preserve">     Resultado del Ejercicio</t>
        </is>
      </c>
      <c r="D102" s="72">
        <f>+SUMIF(Matriz!E:E,MID(Clasificador!B102,1,7),Matriz!I:I)</f>
        <v/>
      </c>
    </row>
    <row r="103">
      <c r="B103">
        <f>TRIM(Balance!B110)</f>
        <v/>
      </c>
      <c r="C103" t="inlineStr">
        <is>
          <t xml:space="preserve">     Resultado del Ejercicio</t>
        </is>
      </c>
      <c r="D103" s="72">
        <f>+SUMIF(Matriz!E:E,MID(Clasificador!B103,1,7),Matriz!I:I)</f>
        <v/>
      </c>
    </row>
    <row r="104">
      <c r="B104">
        <f>TRIM(Balance!B111)</f>
        <v/>
      </c>
      <c r="C104" t="inlineStr">
        <is>
          <t xml:space="preserve">     Resultado del Ejercicio</t>
        </is>
      </c>
      <c r="D104" s="72">
        <f>+SUMIF(Matriz!E:E,MID(Clasificador!B104,1,7),Matriz!I:I)</f>
        <v/>
      </c>
    </row>
    <row r="105">
      <c r="B105">
        <f>TRIM(Balance!B112)</f>
        <v/>
      </c>
      <c r="C105" t="inlineStr">
        <is>
          <t xml:space="preserve">     Resultado del Ejercicio</t>
        </is>
      </c>
      <c r="D105" s="72">
        <f>+SUMIF(Matriz!E:E,MID(Clasificador!B105,1,7),Matriz!I:I)</f>
        <v/>
      </c>
    </row>
    <row r="106">
      <c r="B106">
        <f>TRIM(Balance!B113)</f>
        <v/>
      </c>
      <c r="C106" t="inlineStr">
        <is>
          <t xml:space="preserve">     Resultado del Ejercicio</t>
        </is>
      </c>
      <c r="D106" s="72">
        <f>+SUMIF(Matriz!E:E,MID(Clasificador!B106,1,7),Matriz!I:I)</f>
        <v/>
      </c>
    </row>
    <row r="107">
      <c r="B107">
        <f>TRIM(Balance!B114)</f>
        <v/>
      </c>
      <c r="C107" t="inlineStr">
        <is>
          <t xml:space="preserve">     Resultado del Ejercicio</t>
        </is>
      </c>
      <c r="D107" s="72">
        <f>+SUMIF(Matriz!E:E,MID(Clasificador!B107,1,7),Matriz!I:I)</f>
        <v/>
      </c>
    </row>
    <row r="108">
      <c r="B108">
        <f>TRIM(Balance!B115)</f>
        <v/>
      </c>
      <c r="C108" t="inlineStr">
        <is>
          <t xml:space="preserve">     Resultado del Ejercicio</t>
        </is>
      </c>
      <c r="D108" s="72">
        <f>+SUMIF(Matriz!E:E,MID(Clasificador!B108,1,7),Matriz!I:I)</f>
        <v/>
      </c>
    </row>
    <row r="109">
      <c r="B109">
        <f>TRIM(Balance!B116)</f>
        <v/>
      </c>
      <c r="C109" t="inlineStr">
        <is>
          <t xml:space="preserve">     Resultado del Ejercicio</t>
        </is>
      </c>
      <c r="D109" s="72">
        <f>+SUMIF(Matriz!E:E,MID(Clasificador!B109,1,7),Matriz!I:I)</f>
        <v/>
      </c>
    </row>
    <row r="110">
      <c r="B110">
        <f>TRIM(Balance!B117)</f>
        <v/>
      </c>
      <c r="C110" t="inlineStr">
        <is>
          <t xml:space="preserve">     Resultado del Ejercicio</t>
        </is>
      </c>
      <c r="D110" s="72">
        <f>+SUMIF(Matriz!E:E,MID(Clasificador!B110,1,7),Matriz!I:I)</f>
        <v/>
      </c>
    </row>
    <row r="111">
      <c r="B111">
        <f>TRIM(Balance!B118)</f>
        <v/>
      </c>
      <c r="C111" t="inlineStr">
        <is>
          <t xml:space="preserve">     Resultado del Ejercicio</t>
        </is>
      </c>
      <c r="D111" s="72">
        <f>+SUMIF(Matriz!E:E,MID(Clasificador!B111,1,7),Matriz!I:I)</f>
        <v/>
      </c>
    </row>
    <row r="112">
      <c r="B112">
        <f>TRIM(Balance!B119)</f>
        <v/>
      </c>
      <c r="C112" t="inlineStr">
        <is>
          <t xml:space="preserve">     Resultado del Ejercicio</t>
        </is>
      </c>
      <c r="D112" s="72">
        <f>+SUMIF(Matriz!E:E,MID(Clasificador!B112,1,7),Matriz!I:I)</f>
        <v/>
      </c>
    </row>
    <row r="113">
      <c r="B113">
        <f>TRIM(Balance!B120)</f>
        <v/>
      </c>
      <c r="C113" t="inlineStr">
        <is>
          <t xml:space="preserve">     Resultado del Ejercicio</t>
        </is>
      </c>
      <c r="D113" s="72">
        <f>+SUMIF(Matriz!E:E,MID(Clasificador!B113,1,7),Matriz!I:I)</f>
        <v/>
      </c>
    </row>
    <row r="114">
      <c r="B114">
        <f>TRIM(Balance!B121)</f>
        <v/>
      </c>
      <c r="C114" t="inlineStr">
        <is>
          <t xml:space="preserve">     Resultado del Ejercicio</t>
        </is>
      </c>
      <c r="D114" s="72">
        <f>+SUMIF(Matriz!E:E,MID(Clasificador!B114,1,7),Matriz!I:I)</f>
        <v/>
      </c>
    </row>
    <row r="115">
      <c r="B115">
        <f>TRIM(Balance!B122)</f>
        <v/>
      </c>
      <c r="C115" t="inlineStr">
        <is>
          <t xml:space="preserve">     Resultado del Ejercicio</t>
        </is>
      </c>
      <c r="D115" s="72">
        <f>+SUMIF(Matriz!E:E,MID(Clasificador!B115,1,7),Matriz!I:I)</f>
        <v/>
      </c>
    </row>
    <row r="116">
      <c r="B116">
        <f>TRIM(Balance!B123)</f>
        <v/>
      </c>
      <c r="C116" t="inlineStr">
        <is>
          <t xml:space="preserve">     Resultado del Ejercicio</t>
        </is>
      </c>
      <c r="D116" s="72">
        <f>+SUMIF(Matriz!E:E,MID(Clasificador!B116,1,7),Matriz!I:I)</f>
        <v/>
      </c>
    </row>
    <row r="117">
      <c r="B117">
        <f>TRIM(Balance!B124)</f>
        <v/>
      </c>
      <c r="C117" t="inlineStr">
        <is>
          <t xml:space="preserve">     Resultado del Ejercicio</t>
        </is>
      </c>
      <c r="D117" s="72">
        <f>+SUMIF(Matriz!E:E,MID(Clasificador!B117,1,7),Matriz!I:I)</f>
        <v/>
      </c>
    </row>
    <row r="118">
      <c r="B118">
        <f>TRIM(Balance!B125)</f>
        <v/>
      </c>
      <c r="C118" t="inlineStr">
        <is>
          <t xml:space="preserve">     Resultado del Ejercicio</t>
        </is>
      </c>
      <c r="D118" s="72">
        <f>+SUMIF(Matriz!E:E,MID(Clasificador!B118,1,7),Matriz!I:I)</f>
        <v/>
      </c>
    </row>
    <row r="119">
      <c r="B119">
        <f>TRIM(Balance!B126)</f>
        <v/>
      </c>
      <c r="C119" t="inlineStr">
        <is>
          <t xml:space="preserve">     Resultado del Ejercicio</t>
        </is>
      </c>
      <c r="D119" s="72">
        <f>+SUMIF(Matriz!E:E,MID(Clasificador!B119,1,7),Matriz!I:I)</f>
        <v/>
      </c>
    </row>
    <row r="120">
      <c r="B120">
        <f>TRIM(Balance!B127)</f>
        <v/>
      </c>
      <c r="C120" t="inlineStr">
        <is>
          <t xml:space="preserve">     Resultado del Ejercicio</t>
        </is>
      </c>
      <c r="D120" s="72">
        <f>+SUMIF(Matriz!E:E,MID(Clasificador!B120,1,7),Matriz!I:I)</f>
        <v/>
      </c>
    </row>
    <row r="121">
      <c r="B121">
        <f>TRIM(Balance!B128)</f>
        <v/>
      </c>
      <c r="C121" t="inlineStr">
        <is>
          <t xml:space="preserve">     Resultado del Ejercicio</t>
        </is>
      </c>
      <c r="D121" s="72">
        <f>+SUMIF(Matriz!E:E,MID(Clasificador!B121,1,7),Matriz!I:I)</f>
        <v/>
      </c>
    </row>
    <row r="122">
      <c r="B122">
        <f>TRIM(Balance!B129)</f>
        <v/>
      </c>
      <c r="C122" t="inlineStr">
        <is>
          <t xml:space="preserve">     Resultado del Ejercicio</t>
        </is>
      </c>
      <c r="D122" s="72">
        <f>+SUMIF(Matriz!E:E,MID(Clasificador!B122,1,7),Matriz!I:I)</f>
        <v/>
      </c>
    </row>
    <row r="123">
      <c r="B123">
        <f>TRIM(Balance!B130)</f>
        <v/>
      </c>
      <c r="C123" t="inlineStr">
        <is>
          <t xml:space="preserve">     Resultado del Ejercicio</t>
        </is>
      </c>
      <c r="D123" s="72">
        <f>+SUMIF(Matriz!E:E,MID(Clasificador!B123,1,7),Matriz!I:I)</f>
        <v/>
      </c>
    </row>
    <row r="124">
      <c r="B124">
        <f>TRIM(Balance!B131)</f>
        <v/>
      </c>
      <c r="C124" t="inlineStr">
        <is>
          <t xml:space="preserve">     Resultado del Ejercicio</t>
        </is>
      </c>
      <c r="D124" s="72">
        <f>+SUMIF(Matriz!E:E,MID(Clasificador!B124,1,7),Matriz!I:I)</f>
        <v/>
      </c>
    </row>
    <row r="125">
      <c r="B125">
        <f>TRIM(Balance!B132)</f>
        <v/>
      </c>
      <c r="C125" t="inlineStr">
        <is>
          <t xml:space="preserve">     Resultado del Ejercicio</t>
        </is>
      </c>
      <c r="D125" s="72">
        <f>+SUMIF(Matriz!E:E,MID(Clasificador!B125,1,7),Matriz!I:I)</f>
        <v/>
      </c>
    </row>
    <row r="126">
      <c r="B126">
        <f>TRIM(Balance!B133)</f>
        <v/>
      </c>
      <c r="C126" t="inlineStr">
        <is>
          <t xml:space="preserve">     Resultado del Ejercicio</t>
        </is>
      </c>
      <c r="D126" s="72">
        <f>+SUMIF(Matriz!E:E,MID(Clasificador!B126,1,7),Matriz!I:I)</f>
        <v/>
      </c>
    </row>
    <row r="127">
      <c r="B127">
        <f>TRIM(Balance!B134)</f>
        <v/>
      </c>
      <c r="C127" t="inlineStr">
        <is>
          <t xml:space="preserve">     Resultado del Ejercicio</t>
        </is>
      </c>
      <c r="D127" s="72">
        <f>+SUMIF(Matriz!E:E,MID(Clasificador!B127,1,7),Matriz!I:I)</f>
        <v/>
      </c>
    </row>
    <row r="128">
      <c r="B128">
        <f>TRIM(Balance!B135)</f>
        <v/>
      </c>
      <c r="C128" t="inlineStr">
        <is>
          <t xml:space="preserve">     Resultado del Ejercicio</t>
        </is>
      </c>
      <c r="D128" s="72">
        <f>+SUMIF(Matriz!E:E,MID(Clasificador!B128,1,7),Matriz!I:I)</f>
        <v/>
      </c>
    </row>
    <row r="129">
      <c r="B129">
        <f>TRIM(Balance!B136)</f>
        <v/>
      </c>
      <c r="C129" t="inlineStr">
        <is>
          <t xml:space="preserve">     Resultado del Ejercicio</t>
        </is>
      </c>
      <c r="D129" s="72">
        <f>+SUMIF(Matriz!E:E,MID(Clasificador!B129,1,7),Matriz!I:I)</f>
        <v/>
      </c>
    </row>
  </sheetData>
  <autoFilter ref="B2:D129"/>
  <dataValidations count="1">
    <dataValidation sqref="C3:C129" showDropDown="0" showInputMessage="1" showErrorMessage="1" allowBlank="1" type="list">
      <formula1>$J$2:$J$28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E53"/>
  <sheetViews>
    <sheetView showGridLines="0" topLeftCell="A6" zoomScale="90" zoomScaleNormal="90" workbookViewId="0">
      <selection activeCell="G13" sqref="G13"/>
    </sheetView>
  </sheetViews>
  <sheetFormatPr baseColWidth="10" defaultRowHeight="14.5"/>
  <cols>
    <col width="4.6328125" customWidth="1" style="21" min="2" max="2"/>
    <col width="64.7265625" customWidth="1" style="21" min="3" max="3"/>
    <col width="12.54296875" bestFit="1" customWidth="1" style="21" min="4" max="4"/>
    <col width="4" customWidth="1" style="21" min="5" max="5"/>
  </cols>
  <sheetData>
    <row r="1" ht="23.5" customHeight="1" s="21">
      <c r="B1" s="31" t="n"/>
      <c r="C1" s="32" t="n"/>
      <c r="D1" s="33">
        <f>PROPER(LEFT(Portada!C14,LEN(Portada!C14)-5))</f>
        <v/>
      </c>
      <c r="E1" s="34" t="n"/>
    </row>
    <row r="2" ht="16" customHeight="1" s="21">
      <c r="B2" s="31" t="n"/>
      <c r="C2" s="73" t="inlineStr">
        <is>
          <t>Estado de Situación Financiera Clasificado</t>
        </is>
      </c>
      <c r="D2" s="36">
        <f>RIGHT(Portada!C14,4)</f>
        <v/>
      </c>
      <c r="E2" s="34" t="n"/>
    </row>
    <row r="3">
      <c r="B3" s="31" t="n"/>
      <c r="C3" s="37">
        <f>"Ejercicio comprendido entre el 01 de enero y el "&amp;DAY(EOMONTH(Portada!C14,0))&amp;" de "&amp;TEXT(Portada!C14,"mmmm")&amp;" de "&amp;YEAR(Portada!C14)</f>
        <v/>
      </c>
      <c r="D3" s="36" t="inlineStr">
        <is>
          <t>$</t>
        </is>
      </c>
      <c r="E3" s="34" t="n"/>
    </row>
    <row r="4">
      <c r="B4" s="31" t="n"/>
      <c r="C4" s="27" t="inlineStr">
        <is>
          <t xml:space="preserve">  </t>
        </is>
      </c>
      <c r="D4" s="38" t="n"/>
      <c r="E4" s="34" t="n"/>
    </row>
    <row r="5">
      <c r="B5" s="31" t="n"/>
      <c r="C5" s="28" t="inlineStr">
        <is>
          <t>ACTIVOS</t>
        </is>
      </c>
      <c r="D5" s="38" t="n"/>
      <c r="E5" s="34" t="n"/>
    </row>
    <row r="6">
      <c r="B6" s="31" t="n"/>
      <c r="C6" s="29" t="n"/>
      <c r="D6" s="38" t="n"/>
      <c r="E6" s="34" t="n"/>
    </row>
    <row r="7">
      <c r="B7" s="31" t="n"/>
      <c r="C7" s="28" t="inlineStr">
        <is>
          <t>Activo Corriente</t>
        </is>
      </c>
      <c r="D7" s="38" t="n"/>
      <c r="E7" s="34" t="n"/>
    </row>
    <row r="8">
      <c r="B8" s="30" t="n"/>
      <c r="C8" s="30" t="inlineStr">
        <is>
          <t xml:space="preserve">     Efectivo y equivalentes al efectivo</t>
        </is>
      </c>
      <c r="D8" s="39">
        <f>+SUMIF(Clasificador!C:C,EEFF!C8,Clasificador!D:D)</f>
        <v/>
      </c>
      <c r="E8" s="52" t="inlineStr">
        <is>
          <t>(01)</t>
        </is>
      </c>
    </row>
    <row r="9">
      <c r="B9" s="31" t="n"/>
      <c r="C9" s="30" t="inlineStr">
        <is>
          <t xml:space="preserve">     Valores negociables</t>
        </is>
      </c>
      <c r="D9" s="39">
        <f>+SUMIF(Clasificador!C:C,EEFF!C9,Clasificador!D:D)</f>
        <v/>
      </c>
      <c r="E9" s="52" t="inlineStr">
        <is>
          <t>(02)</t>
        </is>
      </c>
    </row>
    <row r="10">
      <c r="B10" s="31" t="n"/>
      <c r="C10" s="30" t="inlineStr">
        <is>
          <t xml:space="preserve">     Acciones y renta variable</t>
        </is>
      </c>
      <c r="D10" s="39">
        <f>+SUMIF(Clasificador!C:C,EEFF!C10,Clasificador!D:D)</f>
        <v/>
      </c>
      <c r="E10" s="52" t="inlineStr">
        <is>
          <t>(03)</t>
        </is>
      </c>
    </row>
    <row r="11">
      <c r="B11" s="31" t="n"/>
      <c r="C11" s="30" t="inlineStr">
        <is>
          <t xml:space="preserve">     Activos por impuestos corrientes </t>
        </is>
      </c>
      <c r="D11" s="39">
        <f>+SUMIF(Clasificador!C:C,EEFF!C11,Clasificador!D:D)</f>
        <v/>
      </c>
      <c r="E11" s="52" t="inlineStr">
        <is>
          <t>(04)</t>
        </is>
      </c>
    </row>
    <row r="12">
      <c r="B12" s="31" t="n"/>
      <c r="C12" s="30" t="inlineStr">
        <is>
          <t xml:space="preserve">     Deudores comerciales y otras cuentas por cobrar, corrientes</t>
        </is>
      </c>
      <c r="D12" s="39">
        <f>+SUMIF(Clasificador!C:C,EEFF!C12,Clasificador!D:D)</f>
        <v/>
      </c>
      <c r="E12" s="52" t="inlineStr">
        <is>
          <t>(05)</t>
        </is>
      </c>
    </row>
    <row r="13">
      <c r="B13" s="31" t="n"/>
      <c r="C13" s="30" t="inlineStr">
        <is>
          <t xml:space="preserve">     Otros activos no financieros </t>
        </is>
      </c>
      <c r="D13" s="39">
        <f>+SUMIF(Clasificador!C:C,EEFF!C13,Clasificador!D:D)</f>
        <v/>
      </c>
      <c r="E13" s="50" t="inlineStr">
        <is>
          <t>(06)</t>
        </is>
      </c>
    </row>
    <row r="14">
      <c r="B14" s="31" t="n"/>
      <c r="C14" s="30" t="inlineStr">
        <is>
          <t xml:space="preserve">     Cuentas por cobrar a Entidades Relacionadas, corriente</t>
        </is>
      </c>
      <c r="D14" s="39">
        <f>+SUMIF(Clasificador!C:C,EEFF!C14,Clasificador!D:D)</f>
        <v/>
      </c>
      <c r="E14" s="50" t="inlineStr">
        <is>
          <t>(07)</t>
        </is>
      </c>
    </row>
    <row r="15">
      <c r="B15" s="30" t="n"/>
      <c r="C15" s="30" t="inlineStr">
        <is>
          <t xml:space="preserve">     Inventario</t>
        </is>
      </c>
      <c r="D15" s="39">
        <f>+SUMIF(Clasificador!C:C,EEFF!C15,Clasificador!D:D)</f>
        <v/>
      </c>
      <c r="E15" s="50" t="inlineStr">
        <is>
          <t>(08)</t>
        </is>
      </c>
    </row>
    <row r="16">
      <c r="B16" s="40" t="n"/>
      <c r="C16" s="41" t="inlineStr">
        <is>
          <t>Total activo corriente</t>
        </is>
      </c>
      <c r="D16" s="42">
        <f>SUM(D8:D15)</f>
        <v/>
      </c>
      <c r="E16" s="34" t="n"/>
    </row>
    <row r="17">
      <c r="B17" s="31" t="n"/>
      <c r="C17" s="43" t="n"/>
      <c r="D17" s="39" t="n"/>
      <c r="E17" s="34" t="n"/>
    </row>
    <row r="18">
      <c r="B18" s="31" t="n"/>
      <c r="C18" s="28" t="inlineStr">
        <is>
          <t>Activo no Corriente</t>
        </is>
      </c>
      <c r="D18" s="39" t="n"/>
      <c r="E18" s="34" t="n"/>
    </row>
    <row r="19">
      <c r="B19" s="31" t="n"/>
      <c r="C19" s="30" t="inlineStr">
        <is>
          <t xml:space="preserve">     Activos por impuestos diferidos</t>
        </is>
      </c>
      <c r="D19" s="39">
        <f>+SUMIF(Clasificador!C:C,EEFF!C19,Clasificador!D:D)</f>
        <v/>
      </c>
      <c r="E19" s="34" t="n"/>
    </row>
    <row r="20">
      <c r="B20" s="31" t="n"/>
      <c r="C20" s="30" t="inlineStr">
        <is>
          <t xml:space="preserve">     Existencias</t>
        </is>
      </c>
      <c r="D20" s="39">
        <f>+SUMIF(Clasificador!C:C,EEFF!C20,Clasificador!D:D)</f>
        <v/>
      </c>
      <c r="E20" s="34" t="n"/>
    </row>
    <row r="21">
      <c r="B21" s="31" t="n"/>
      <c r="C21" s="30" t="inlineStr">
        <is>
          <t xml:space="preserve">     Propiedades plantas y equipos</t>
        </is>
      </c>
      <c r="D21" s="39">
        <f>+SUMIF(Clasificador!C:C,EEFF!C21,Clasificador!D:D)</f>
        <v/>
      </c>
      <c r="E21" s="34" t="n"/>
    </row>
    <row r="22">
      <c r="B22" s="31" t="n"/>
      <c r="C22" s="30" t="inlineStr">
        <is>
          <t xml:space="preserve">     Inversiones Contabilizadas por Metodo de la Participación</t>
        </is>
      </c>
      <c r="D22" s="39">
        <f>+SUMIF(Clasificador!C:C,EEFF!C22,Clasificador!D:D)</f>
        <v/>
      </c>
      <c r="E22" s="34" t="n"/>
    </row>
    <row r="23">
      <c r="B23" s="40" t="n"/>
      <c r="C23" s="41" t="inlineStr">
        <is>
          <t>Total activo no corriente</t>
        </is>
      </c>
      <c r="D23" s="44">
        <f>SUM(D19:D22)</f>
        <v/>
      </c>
      <c r="E23" s="34" t="n"/>
    </row>
    <row r="24">
      <c r="B24" s="40" t="n"/>
      <c r="C24" s="41" t="inlineStr">
        <is>
          <t>Total Activos</t>
        </is>
      </c>
      <c r="D24" s="44">
        <f>+D16+D23</f>
        <v/>
      </c>
      <c r="E24" s="34" t="n"/>
    </row>
    <row r="25">
      <c r="B25" s="31" t="n"/>
      <c r="C25" s="28" t="n"/>
      <c r="D25" s="38" t="n"/>
      <c r="E25" s="34" t="n"/>
    </row>
    <row r="26">
      <c r="B26" s="31" t="n"/>
      <c r="C26" s="28" t="inlineStr">
        <is>
          <t>PASIVOS Y PATRIMONIO NETO</t>
        </is>
      </c>
      <c r="D26" s="39" t="n"/>
      <c r="E26" s="34" t="n"/>
    </row>
    <row r="27">
      <c r="B27" s="31" t="n"/>
      <c r="C27" s="43" t="n"/>
      <c r="D27" s="39" t="n"/>
      <c r="E27" s="34" t="n"/>
    </row>
    <row r="28">
      <c r="B28" s="31" t="n"/>
      <c r="C28" s="28" t="inlineStr">
        <is>
          <t>Pasivo Corriente</t>
        </is>
      </c>
      <c r="D28" s="39" t="n"/>
      <c r="E28" s="34" t="n"/>
    </row>
    <row r="29">
      <c r="B29" s="31" t="n"/>
      <c r="C29" s="30" t="inlineStr">
        <is>
          <t xml:space="preserve">     Pasivos financieros corrientes</t>
        </is>
      </c>
      <c r="D29" s="39">
        <f>-SUMIF(Clasificador!C:C,EEFF!C29,Clasificador!D:D)</f>
        <v/>
      </c>
      <c r="E29" s="34" t="n"/>
    </row>
    <row r="30">
      <c r="B30" s="31" t="n"/>
      <c r="C30" s="30" t="inlineStr">
        <is>
          <t xml:space="preserve">     Obligaciones Financieras</t>
        </is>
      </c>
      <c r="D30" s="39">
        <f>-SUMIF(Clasificador!C:C,EEFF!C30,Clasificador!D:D)</f>
        <v/>
      </c>
      <c r="E30" s="34" t="n"/>
    </row>
    <row r="31">
      <c r="B31" s="31" t="n"/>
      <c r="C31" s="30" t="inlineStr">
        <is>
          <t xml:space="preserve">     Cuentas por pagar comerciales y otras cuentas por pagar</t>
        </is>
      </c>
      <c r="D31" s="39">
        <f>-SUMIF(Clasificador!C:C,EEFF!C31,Clasificador!D:D)</f>
        <v/>
      </c>
      <c r="E31" s="34" t="n"/>
    </row>
    <row r="32">
      <c r="B32" s="31" t="n"/>
      <c r="C32" s="30" t="inlineStr">
        <is>
          <t xml:space="preserve">     Cuentas por pagar a Entidades Relacionadas, corriente</t>
        </is>
      </c>
      <c r="D32" s="39">
        <f>-SUMIF(Clasificador!C:C,EEFF!C32,Clasificador!D:D)</f>
        <v/>
      </c>
      <c r="E32" s="34" t="n"/>
    </row>
    <row r="33">
      <c r="B33" s="31" t="n"/>
      <c r="C33" s="30" t="inlineStr">
        <is>
          <t xml:space="preserve">     Cuentas por remuneraciones</t>
        </is>
      </c>
      <c r="D33" s="39">
        <f>-SUMIF(Clasificador!C:C,EEFF!C33,Clasificador!D:D)</f>
        <v/>
      </c>
      <c r="E33" s="34" t="n"/>
    </row>
    <row r="34">
      <c r="B34" s="31" t="n"/>
      <c r="C34" s="30" t="inlineStr">
        <is>
          <t xml:space="preserve">     Pasivos por impuestos corrientes</t>
        </is>
      </c>
      <c r="D34" s="39">
        <f>-SUMIF(Clasificador!C:C,EEFF!C34,Clasificador!D:D)</f>
        <v/>
      </c>
      <c r="E34" s="34" t="n"/>
    </row>
    <row r="35">
      <c r="B35" s="31" t="n"/>
      <c r="C35" s="30" t="inlineStr">
        <is>
          <t xml:space="preserve">     Otros pasivos no financieros corrientes</t>
        </is>
      </c>
      <c r="D35" s="39">
        <f>-SUMIF(Clasificador!C:C,EEFF!C35,Clasificador!D:D)</f>
        <v/>
      </c>
      <c r="E35" s="34" t="n"/>
    </row>
    <row r="36">
      <c r="B36" s="40" t="n"/>
      <c r="C36" s="41" t="inlineStr">
        <is>
          <t>Total pasivo corriente</t>
        </is>
      </c>
      <c r="D36" s="44">
        <f>SUM(D29:D35)</f>
        <v/>
      </c>
      <c r="E36" s="34" t="n"/>
    </row>
    <row r="37">
      <c r="B37" s="31" t="n"/>
      <c r="C37" s="43" t="n"/>
      <c r="D37" s="45" t="n"/>
      <c r="E37" s="34" t="n"/>
    </row>
    <row r="38">
      <c r="B38" s="31" t="n"/>
      <c r="C38" s="28" t="inlineStr">
        <is>
          <t>Pasivo no Corriente</t>
        </is>
      </c>
      <c r="D38" s="38" t="n"/>
      <c r="E38" s="34" t="n"/>
    </row>
    <row r="39">
      <c r="B39" s="31" t="n"/>
      <c r="C39" s="43" t="inlineStr">
        <is>
          <t xml:space="preserve">     Pasivo por impuestos diferidos</t>
        </is>
      </c>
      <c r="D39" s="39">
        <f>-SUMIF(Clasificador!C:C,EEFF!C39,Clasificador!D:D)</f>
        <v/>
      </c>
      <c r="E39" s="34" t="n"/>
    </row>
    <row r="40">
      <c r="B40" s="31" t="n"/>
      <c r="C40" s="43" t="inlineStr">
        <is>
          <t xml:space="preserve">     Obligaciones Financieras, no corriente</t>
        </is>
      </c>
      <c r="D40" s="39">
        <f>-SUMIF(Clasificador!C:C,EEFF!C40,Clasificador!D:D)</f>
        <v/>
      </c>
      <c r="E40" s="34" t="n"/>
    </row>
    <row r="41">
      <c r="B41" s="31" t="n"/>
      <c r="C41" s="43" t="inlineStr">
        <is>
          <t xml:space="preserve">     Otros pasivos no financieros no corrientes</t>
        </is>
      </c>
      <c r="D41" s="39">
        <f>-SUMIF(Clasificador!C:C,EEFF!C41,Clasificador!D:D)</f>
        <v/>
      </c>
      <c r="E41" s="34" t="n"/>
    </row>
    <row r="42">
      <c r="B42" s="40" t="n"/>
      <c r="C42" s="41" t="inlineStr">
        <is>
          <t>Total pasivo no corriente</t>
        </is>
      </c>
      <c r="D42" s="42">
        <f>SUM(D39:D41)</f>
        <v/>
      </c>
      <c r="E42" s="34" t="n"/>
    </row>
    <row r="43">
      <c r="B43" s="40" t="n"/>
      <c r="C43" s="41" t="inlineStr">
        <is>
          <t>Total pasivos</t>
        </is>
      </c>
      <c r="D43" s="44">
        <f>+D36+D42</f>
        <v/>
      </c>
      <c r="E43" s="34" t="n"/>
    </row>
    <row r="44">
      <c r="B44" s="31" t="n"/>
      <c r="C44" s="43" t="n"/>
      <c r="D44" s="38" t="n"/>
      <c r="E44" s="34" t="n"/>
    </row>
    <row r="45">
      <c r="B45" s="31" t="n"/>
      <c r="C45" s="28" t="inlineStr">
        <is>
          <t>Patrimonio Neto</t>
        </is>
      </c>
      <c r="D45" s="45" t="n"/>
      <c r="E45" s="34" t="n"/>
    </row>
    <row r="46">
      <c r="B46" s="31" t="n"/>
      <c r="C46" s="43" t="inlineStr">
        <is>
          <t xml:space="preserve">     Capital emitido y pagado</t>
        </is>
      </c>
      <c r="D46" s="39">
        <f>-SUMIF(Clasificador!C:C,EEFF!C46,Clasificador!D:D)</f>
        <v/>
      </c>
      <c r="E46" s="34" t="n"/>
    </row>
    <row r="47">
      <c r="B47" s="31" t="n"/>
      <c r="C47" s="43" t="inlineStr">
        <is>
          <t xml:space="preserve">     Otras reservas</t>
        </is>
      </c>
      <c r="D47" s="39">
        <f>-SUMIF(Clasificador!C:C,EEFF!C47,Clasificador!D:D)</f>
        <v/>
      </c>
      <c r="E47" s="34" t="n"/>
    </row>
    <row r="48">
      <c r="B48" s="31" t="n"/>
      <c r="C48" s="43" t="inlineStr">
        <is>
          <t xml:space="preserve">     Ganancias ( pérdidas) acumuladas</t>
        </is>
      </c>
      <c r="D48" s="39">
        <f>-SUMIF(Clasificador!C:C,EEFF!C48,Clasificador!D:D)</f>
        <v/>
      </c>
      <c r="E48" s="34" t="n"/>
    </row>
    <row r="49">
      <c r="B49" s="31" t="n"/>
      <c r="C49" s="43" t="inlineStr">
        <is>
          <t xml:space="preserve">     Resultado del Ejercicio</t>
        </is>
      </c>
      <c r="D49" s="39">
        <f>-SUMIF(Clasificador!C:C,EEFF!C49,Clasificador!D:D)</f>
        <v/>
      </c>
      <c r="E49" s="34" t="n"/>
    </row>
    <row r="50">
      <c r="B50" s="40" t="n"/>
      <c r="C50" s="41" t="inlineStr">
        <is>
          <t>Total patrimonio neto</t>
        </is>
      </c>
      <c r="D50" s="44">
        <f>SUM(D46:D49)</f>
        <v/>
      </c>
      <c r="E50" s="34" t="n"/>
    </row>
    <row r="51">
      <c r="B51" s="40" t="n"/>
      <c r="C51" s="41" t="inlineStr">
        <is>
          <t>Total Pasivos y Patrimonio Neto</t>
        </is>
      </c>
      <c r="D51" s="44">
        <f>+D43+D50</f>
        <v/>
      </c>
      <c r="E51" s="34" t="n"/>
    </row>
    <row r="52">
      <c r="B52" s="31" t="n"/>
      <c r="C52" s="31" t="n"/>
      <c r="D52" s="38" t="n"/>
      <c r="E52" s="34" t="n"/>
    </row>
    <row r="53">
      <c r="D53" s="23">
        <f>+D51-D24</f>
        <v/>
      </c>
    </row>
  </sheetData>
  <hyperlinks>
    <hyperlink ref="E8" location="'(01) EYE'!A1" display="(01)"/>
    <hyperlink ref="E9" location="'(02) VN'!A1" display="(02)"/>
    <hyperlink ref="E10" location="'(03) AYR'!A1" display="(03)"/>
    <hyperlink ref="E11" location="'(04) CPI'!A1" display="(04)"/>
    <hyperlink ref="E12" location="'(05) DC'!A1" display="(05)"/>
  </hyperlink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B2:O19"/>
  <sheetViews>
    <sheetView showGridLines="0" zoomScale="80" zoomScaleNormal="80" workbookViewId="0">
      <selection activeCell="B2" sqref="B2"/>
    </sheetView>
  </sheetViews>
  <sheetFormatPr baseColWidth="10" defaultRowHeight="14.5"/>
  <cols>
    <col width="3.90625" customWidth="1" style="21" min="1" max="1"/>
    <col width="32.81640625" bestFit="1" customWidth="1" style="21" min="2" max="2"/>
    <col width="14.08984375" bestFit="1" customWidth="1" style="21" min="3" max="3"/>
  </cols>
  <sheetData>
    <row r="2">
      <c r="B2" s="53" t="inlineStr">
        <is>
          <t xml:space="preserve">     Efectivo y equivalentes al efectivo</t>
        </is>
      </c>
    </row>
    <row r="4">
      <c r="B4" s="48" t="inlineStr">
        <is>
          <t>Etiquetas de fila</t>
        </is>
      </c>
      <c r="C4" t="inlineStr">
        <is>
          <t>Suma de SALDO</t>
        </is>
      </c>
    </row>
    <row r="5">
      <c r="B5" s="22" t="inlineStr">
        <is>
          <t>1101-03 BANCO SANTANDER</t>
        </is>
      </c>
      <c r="C5" s="74" t="n">
        <v>2000000</v>
      </c>
    </row>
    <row r="6">
      <c r="B6" s="22" t="inlineStr">
        <is>
          <t>1101-04 BANCO ITAU</t>
        </is>
      </c>
      <c r="C6" s="74" t="n">
        <v>700739</v>
      </c>
    </row>
    <row r="7">
      <c r="B7" s="22" t="inlineStr">
        <is>
          <t>1101-05 BANCO ESTADO 347</t>
        </is>
      </c>
      <c r="C7" s="74" t="n">
        <v>10000000</v>
      </c>
    </row>
    <row r="8">
      <c r="B8" s="22" t="inlineStr">
        <is>
          <t>1101-10 BANCO ESTADO 291</t>
        </is>
      </c>
      <c r="C8" s="74" t="n">
        <v>15872538</v>
      </c>
    </row>
    <row r="9">
      <c r="B9" s="22" t="inlineStr">
        <is>
          <t>1101-14 Banco Itau 0230434690</t>
        </is>
      </c>
      <c r="C9" s="74" t="n">
        <v>0</v>
      </c>
    </row>
    <row r="10">
      <c r="B10" s="22" t="inlineStr">
        <is>
          <t>1101-15 BANCO SANTANDER USD 581</t>
        </is>
      </c>
      <c r="C10" s="74" t="n">
        <v>0</v>
      </c>
    </row>
    <row r="11">
      <c r="B11" s="22" t="inlineStr">
        <is>
          <t>1101-16 TARJETA LOS HEROES 698</t>
        </is>
      </c>
      <c r="C11" s="74" t="n">
        <v>1085000</v>
      </c>
    </row>
    <row r="12">
      <c r="B12" s="22" t="inlineStr">
        <is>
          <t>Total general</t>
        </is>
      </c>
      <c r="C12" s="74" t="n">
        <v>29658277</v>
      </c>
    </row>
    <row r="16">
      <c r="B16" s="62" t="inlineStr">
        <is>
          <t>BANCO SANTANDER</t>
        </is>
      </c>
    </row>
    <row r="19">
      <c r="B19" s="62" t="inlineStr">
        <is>
          <t>BANCO ITAU</t>
        </is>
      </c>
    </row>
  </sheetData>
  <mergeCells count="2">
    <mergeCell ref="B19:O19"/>
    <mergeCell ref="B16:O16"/>
  </mergeCells>
  <hyperlinks>
    <hyperlink ref="B2" location="EEFF!A1" display="     Efectivo y equivalentes al efectivo"/>
  </hyperlinks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B2:O13"/>
  <sheetViews>
    <sheetView showGridLines="0" zoomScale="80" zoomScaleNormal="80" workbookViewId="0">
      <selection activeCell="J21" sqref="J21"/>
    </sheetView>
  </sheetViews>
  <sheetFormatPr baseColWidth="10" defaultRowHeight="14.5"/>
  <cols>
    <col width="3.90625" customWidth="1" style="21" min="1" max="1"/>
    <col width="21.7265625" bestFit="1" customWidth="1" style="21" min="2" max="2"/>
    <col width="14.54296875" bestFit="1" customWidth="1" style="21" min="3" max="3"/>
  </cols>
  <sheetData>
    <row r="2">
      <c r="B2" s="53" t="inlineStr">
        <is>
          <t xml:space="preserve">     Valores negociables</t>
        </is>
      </c>
    </row>
    <row r="4">
      <c r="B4" s="48" t="inlineStr">
        <is>
          <t>Etiquetas de fila</t>
        </is>
      </c>
      <c r="C4" t="inlineStr">
        <is>
          <t>Suma de SALDO</t>
        </is>
      </c>
    </row>
    <row r="5">
      <c r="B5" s="22" t="inlineStr">
        <is>
          <t>1101-02 BANCO ESTADO</t>
        </is>
      </c>
      <c r="C5" s="74" t="n">
        <v>0</v>
      </c>
    </row>
    <row r="6">
      <c r="B6" s="22" t="inlineStr">
        <is>
          <t>Total general</t>
        </is>
      </c>
      <c r="C6" s="74" t="n">
        <v>0</v>
      </c>
    </row>
    <row r="10">
      <c r="B10" s="62" t="inlineStr">
        <is>
          <t>INVERSION 1</t>
        </is>
      </c>
    </row>
    <row r="13">
      <c r="B13" s="62" t="inlineStr">
        <is>
          <t>INVERSION 2</t>
        </is>
      </c>
    </row>
  </sheetData>
  <mergeCells count="2">
    <mergeCell ref="B10:O10"/>
    <mergeCell ref="B13:O13"/>
  </mergeCells>
  <hyperlinks>
    <hyperlink ref="B2" location="EEFF!A1" display="     Efectivo y equivalentes al efectivo"/>
  </hyperlinks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B2:O13"/>
  <sheetViews>
    <sheetView showGridLines="0" zoomScale="80" zoomScaleNormal="80" workbookViewId="0">
      <selection activeCell="J23" sqref="J23"/>
    </sheetView>
  </sheetViews>
  <sheetFormatPr baseColWidth="10" defaultRowHeight="14.5"/>
  <cols>
    <col width="3.90625" customWidth="1" style="21" min="1" max="1"/>
    <col width="21.7265625" bestFit="1" customWidth="1" style="21" min="2" max="2"/>
    <col width="14.54296875" bestFit="1" customWidth="1" style="21" min="3" max="3"/>
  </cols>
  <sheetData>
    <row r="2">
      <c r="B2" s="53" t="inlineStr">
        <is>
          <t xml:space="preserve">     Acciones y renta variable</t>
        </is>
      </c>
    </row>
    <row r="4">
      <c r="B4" t="inlineStr">
        <is>
          <t>Etiquetas de fila</t>
        </is>
      </c>
      <c r="C4" t="inlineStr">
        <is>
          <t>Suma de SALDO</t>
        </is>
      </c>
    </row>
    <row r="5">
      <c r="B5" s="22" t="inlineStr">
        <is>
          <t>1101-02 BANCO ESTADO</t>
        </is>
      </c>
      <c r="C5" s="74" t="n">
        <v>0</v>
      </c>
    </row>
    <row r="6">
      <c r="B6" s="22" t="inlineStr">
        <is>
          <t>Total general</t>
        </is>
      </c>
      <c r="C6" s="74" t="n">
        <v>0</v>
      </c>
    </row>
    <row r="10">
      <c r="B10" s="62" t="inlineStr">
        <is>
          <t>INVERSION 1</t>
        </is>
      </c>
    </row>
    <row r="13">
      <c r="B13" s="62" t="inlineStr">
        <is>
          <t>INVERSION 2</t>
        </is>
      </c>
    </row>
  </sheetData>
  <mergeCells count="2">
    <mergeCell ref="B10:O10"/>
    <mergeCell ref="B13:O13"/>
  </mergeCells>
  <hyperlinks>
    <hyperlink ref="B2" location="EEFF!A1" display="     Efectivo y equivalentes al efectivo"/>
  </hyperlinks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B2:O69"/>
  <sheetViews>
    <sheetView showGridLines="0" zoomScale="80" zoomScaleNormal="80" workbookViewId="0">
      <selection activeCell="H37" sqref="H37"/>
    </sheetView>
  </sheetViews>
  <sheetFormatPr baseColWidth="10" defaultRowHeight="14.5"/>
  <cols>
    <col width="3.90625" customWidth="1" style="21" min="1" max="1"/>
    <col width="28.36328125" bestFit="1" customWidth="1" style="21" min="2" max="2"/>
    <col width="17.7265625" customWidth="1" style="21" min="3" max="3"/>
    <col width="18.7265625" customWidth="1" style="21" min="4" max="4"/>
    <col width="16.6328125" customWidth="1" style="21" min="5" max="5"/>
    <col width="19" customWidth="1" style="21" min="6" max="6"/>
    <col width="13.81640625" customWidth="1" style="21" min="7" max="7"/>
    <col width="12.81640625" customWidth="1" style="21" min="8" max="8"/>
  </cols>
  <sheetData>
    <row r="2">
      <c r="B2" s="53" t="inlineStr">
        <is>
          <t xml:space="preserve">     Activos por impuestos corrientes </t>
        </is>
      </c>
    </row>
    <row r="4">
      <c r="B4" s="48" t="inlineStr">
        <is>
          <t>Etiquetas de fila</t>
        </is>
      </c>
      <c r="C4" t="inlineStr">
        <is>
          <t>Suma de SALDO</t>
        </is>
      </c>
    </row>
    <row r="5">
      <c r="B5" s="22" t="inlineStr">
        <is>
          <t>1108-01 PAGOS PROVISIONALES</t>
        </is>
      </c>
      <c r="C5" s="74" t="n">
        <v>23322898</v>
      </c>
    </row>
    <row r="6">
      <c r="B6" s="22" t="inlineStr">
        <is>
          <t>1108-02 IVA CREDITO FISCAL</t>
        </is>
      </c>
      <c r="C6" s="74" t="n">
        <v>13333356</v>
      </c>
    </row>
    <row r="7">
      <c r="B7" s="22" t="inlineStr">
        <is>
          <t>1108-06 CREDITO SENCE</t>
        </is>
      </c>
      <c r="C7" s="74" t="n">
        <v>1418022</v>
      </c>
    </row>
    <row r="8">
      <c r="B8" s="22" t="inlineStr">
        <is>
          <t>Total general</t>
        </is>
      </c>
      <c r="C8" s="74" t="n">
        <v>38074276</v>
      </c>
    </row>
    <row r="12">
      <c r="B12" s="62" t="inlineStr">
        <is>
          <t>ANALISIS DE PPM</t>
        </is>
      </c>
    </row>
    <row r="14">
      <c r="B14" s="54" t="inlineStr">
        <is>
          <t>Meses</t>
        </is>
      </c>
      <c r="C14" s="54" t="inlineStr">
        <is>
          <t>Histórico (Nubox)</t>
        </is>
      </c>
      <c r="D14" s="54" t="inlineStr">
        <is>
          <t>IPC</t>
        </is>
      </c>
      <c r="E14" s="54" t="inlineStr">
        <is>
          <t>CCMM</t>
        </is>
      </c>
      <c r="F14" s="54" t="inlineStr">
        <is>
          <t>Actualizado</t>
        </is>
      </c>
      <c r="G14" s="70" t="inlineStr">
        <is>
          <t>Histórico (F29)</t>
        </is>
      </c>
      <c r="H14" s="54" t="inlineStr">
        <is>
          <t>Diferencias</t>
        </is>
      </c>
    </row>
    <row r="15">
      <c r="B15" s="55" t="inlineStr">
        <is>
          <t>Enero</t>
        </is>
      </c>
      <c r="C15" s="56" t="n"/>
      <c r="D15" s="75" t="n">
        <v>0</v>
      </c>
      <c r="E15" s="56">
        <f>ROUND(C15*D15,0)</f>
        <v/>
      </c>
      <c r="F15" s="56">
        <f>ROUND(C15+E15,0)</f>
        <v/>
      </c>
      <c r="G15" s="56" t="n"/>
      <c r="H15" s="56">
        <f>+C15-G15</f>
        <v/>
      </c>
    </row>
    <row r="16">
      <c r="B16" s="55" t="inlineStr">
        <is>
          <t>Febrero</t>
        </is>
      </c>
      <c r="C16" s="56" t="n"/>
      <c r="D16" s="75" t="n">
        <v>0</v>
      </c>
      <c r="E16" s="56">
        <f>ROUND(C16*D16,0)</f>
        <v/>
      </c>
      <c r="F16" s="56">
        <f>ROUND(C16+E16,0)</f>
        <v/>
      </c>
      <c r="G16" s="56" t="n"/>
      <c r="H16" s="56">
        <f>+C16-G16</f>
        <v/>
      </c>
    </row>
    <row r="17">
      <c r="B17" s="55" t="inlineStr">
        <is>
          <t>Marzo</t>
        </is>
      </c>
      <c r="C17" s="56" t="n"/>
      <c r="D17" s="75" t="n">
        <v>0</v>
      </c>
      <c r="E17" s="56">
        <f>ROUND(C17*D17,0)</f>
        <v/>
      </c>
      <c r="F17" s="56">
        <f>ROUND(C17+E17,0)</f>
        <v/>
      </c>
      <c r="G17" s="56" t="n"/>
      <c r="H17" s="56">
        <f>+C17-G17</f>
        <v/>
      </c>
    </row>
    <row r="18">
      <c r="B18" s="55" t="inlineStr">
        <is>
          <t>Abril</t>
        </is>
      </c>
      <c r="C18" s="56" t="n"/>
      <c r="D18" s="75" t="n">
        <v>0</v>
      </c>
      <c r="E18" s="56">
        <f>ROUND(C18*D18,0)</f>
        <v/>
      </c>
      <c r="F18" s="56">
        <f>ROUND(C18+E18,0)</f>
        <v/>
      </c>
      <c r="G18" s="56" t="n"/>
      <c r="H18" s="56">
        <f>+C18-G18</f>
        <v/>
      </c>
    </row>
    <row r="19">
      <c r="B19" s="55" t="inlineStr">
        <is>
          <t>Mayo</t>
        </is>
      </c>
      <c r="C19" s="56" t="n"/>
      <c r="D19" s="75" t="n">
        <v>0</v>
      </c>
      <c r="E19" s="56">
        <f>ROUND(C19*D19,0)</f>
        <v/>
      </c>
      <c r="F19" s="56">
        <f>ROUND(C19+E19,0)</f>
        <v/>
      </c>
      <c r="G19" s="56" t="n"/>
      <c r="H19" s="56">
        <f>+C19-G19</f>
        <v/>
      </c>
    </row>
    <row r="20">
      <c r="B20" s="55" t="inlineStr">
        <is>
          <t>Junio</t>
        </is>
      </c>
      <c r="C20" s="56" t="n"/>
      <c r="D20" s="75" t="n">
        <v>0</v>
      </c>
      <c r="E20" s="56">
        <f>ROUND(C20*D20,0)</f>
        <v/>
      </c>
      <c r="F20" s="56">
        <f>ROUND(C20+E20,0)</f>
        <v/>
      </c>
      <c r="G20" s="56" t="n"/>
      <c r="H20" s="56">
        <f>+C20-G20</f>
        <v/>
      </c>
    </row>
    <row r="21">
      <c r="B21" s="55" t="inlineStr">
        <is>
          <t>Julio</t>
        </is>
      </c>
      <c r="C21" s="56" t="n"/>
      <c r="D21" s="75" t="n">
        <v>0</v>
      </c>
      <c r="E21" s="56">
        <f>ROUND(C21*D21,0)</f>
        <v/>
      </c>
      <c r="F21" s="56">
        <f>ROUND(C21+E21,0)</f>
        <v/>
      </c>
      <c r="G21" s="56" t="n"/>
      <c r="H21" s="56">
        <f>+C21-G21</f>
        <v/>
      </c>
    </row>
    <row r="22">
      <c r="B22" s="55" t="inlineStr">
        <is>
          <t>Agosto</t>
        </is>
      </c>
      <c r="C22" s="56" t="n"/>
      <c r="D22" s="75" t="n">
        <v>0</v>
      </c>
      <c r="E22" s="56">
        <f>ROUND(C22*D22,0)</f>
        <v/>
      </c>
      <c r="F22" s="56">
        <f>ROUND(C22+E22,0)</f>
        <v/>
      </c>
      <c r="G22" s="56" t="n"/>
      <c r="H22" s="56">
        <f>+C22-G22</f>
        <v/>
      </c>
    </row>
    <row r="23">
      <c r="B23" s="55" t="inlineStr">
        <is>
          <t>Septiembre</t>
        </is>
      </c>
      <c r="C23" s="56" t="n"/>
      <c r="D23" s="75" t="n">
        <v>0</v>
      </c>
      <c r="E23" s="56">
        <f>ROUND(C23*D23,0)</f>
        <v/>
      </c>
      <c r="F23" s="56">
        <f>ROUND(C23+E23,0)</f>
        <v/>
      </c>
      <c r="G23" s="56" t="n"/>
      <c r="H23" s="56">
        <f>+C23-G23</f>
        <v/>
      </c>
    </row>
    <row r="24">
      <c r="B24" s="55" t="inlineStr">
        <is>
          <t>Octubre</t>
        </is>
      </c>
      <c r="C24" s="56" t="n"/>
      <c r="D24" s="75" t="n">
        <v>0</v>
      </c>
      <c r="E24" s="56">
        <f>ROUND(C24*D24,0)</f>
        <v/>
      </c>
      <c r="F24" s="56">
        <f>ROUND(C24+E24,0)</f>
        <v/>
      </c>
      <c r="G24" s="56" t="n"/>
      <c r="H24" s="56">
        <f>+C24-G24</f>
        <v/>
      </c>
    </row>
    <row r="25">
      <c r="B25" s="55" t="inlineStr">
        <is>
          <t>Noviembre</t>
        </is>
      </c>
      <c r="C25" s="56" t="n"/>
      <c r="D25" s="75" t="n">
        <v>0</v>
      </c>
      <c r="E25" s="56">
        <f>ROUND(C25*D25,0)</f>
        <v/>
      </c>
      <c r="F25" s="56">
        <f>ROUND(C25+E25,0)</f>
        <v/>
      </c>
      <c r="G25" s="56" t="n"/>
      <c r="H25" s="56">
        <f>+C25-G25</f>
        <v/>
      </c>
    </row>
    <row r="26">
      <c r="B26" s="55" t="inlineStr">
        <is>
          <t>Diciembre</t>
        </is>
      </c>
      <c r="C26" s="56" t="n"/>
      <c r="D26" s="75" t="n">
        <v>0</v>
      </c>
      <c r="E26" s="56">
        <f>ROUND(C26*D26,0)</f>
        <v/>
      </c>
      <c r="F26" s="56">
        <f>ROUND(C26+E26,0)</f>
        <v/>
      </c>
      <c r="G26" s="56" t="n"/>
      <c r="H26" s="56">
        <f>+C26-G26</f>
        <v/>
      </c>
    </row>
    <row r="27">
      <c r="B27" s="58" t="inlineStr">
        <is>
          <t>Totales</t>
        </is>
      </c>
      <c r="C27" s="59">
        <f>SUM(C15:C26)</f>
        <v/>
      </c>
      <c r="D27" s="76" t="n"/>
      <c r="E27" s="59">
        <f>SUM(E15:E26)</f>
        <v/>
      </c>
      <c r="F27" s="61">
        <f>SUM(F15:F26)</f>
        <v/>
      </c>
      <c r="G27" s="59">
        <f>SUM(G15:G26)</f>
        <v/>
      </c>
      <c r="H27" s="59">
        <f>SUM(H15:H26)</f>
        <v/>
      </c>
    </row>
    <row r="29">
      <c r="B29" s="62" t="inlineStr">
        <is>
          <t>ANALISIS DE IVA CREDITO (REMANENTE)</t>
        </is>
      </c>
    </row>
    <row r="31">
      <c r="B31" s="66" t="inlineStr">
        <is>
          <t>Diciembre Año anterior</t>
        </is>
      </c>
      <c r="C31" s="77" t="inlineStr">
        <is>
          <t>F29 Enero</t>
        </is>
      </c>
      <c r="D31" s="2" t="n"/>
      <c r="E31" s="2" t="n"/>
      <c r="F31" s="3" t="n"/>
    </row>
    <row r="32">
      <c r="B32" s="54" t="inlineStr">
        <is>
          <t>Codigo 77</t>
        </is>
      </c>
      <c r="C32" s="54" t="inlineStr">
        <is>
          <t>UTM Enero</t>
        </is>
      </c>
      <c r="D32" s="54" t="inlineStr">
        <is>
          <t>Remanante en UTM</t>
        </is>
      </c>
      <c r="E32" s="54" t="inlineStr">
        <is>
          <t>UTM Febrero</t>
        </is>
      </c>
      <c r="F32" s="54" t="inlineStr">
        <is>
          <t>Codigo 504</t>
        </is>
      </c>
    </row>
    <row r="33">
      <c r="B33" s="69" t="n"/>
      <c r="C33" s="67" t="n"/>
      <c r="D33" s="68">
        <f>IFERROR(ROUND(B33/C33,2),"")</f>
        <v/>
      </c>
      <c r="E33" s="67" t="n"/>
      <c r="F33" s="68">
        <f>IFERROR(ROUND(D33*E33,0),"")</f>
        <v/>
      </c>
    </row>
    <row r="34">
      <c r="B34" s="66" t="inlineStr">
        <is>
          <t>Enero</t>
        </is>
      </c>
      <c r="C34" s="77" t="inlineStr">
        <is>
          <t>F29 Febrero</t>
        </is>
      </c>
      <c r="D34" s="2" t="n"/>
      <c r="E34" s="2" t="n"/>
      <c r="F34" s="3" t="n"/>
    </row>
    <row r="35">
      <c r="B35" s="54" t="inlineStr">
        <is>
          <t>Codigo 77</t>
        </is>
      </c>
      <c r="C35" s="54" t="inlineStr">
        <is>
          <t>UTM Febrero</t>
        </is>
      </c>
      <c r="D35" s="54" t="inlineStr">
        <is>
          <t>Remanante en UTM</t>
        </is>
      </c>
      <c r="E35" s="54" t="inlineStr">
        <is>
          <t>UTM Marzo</t>
        </is>
      </c>
      <c r="F35" s="54" t="inlineStr">
        <is>
          <t>Codigo 504</t>
        </is>
      </c>
    </row>
    <row r="36">
      <c r="B36" s="69" t="n"/>
      <c r="C36" s="67" t="n"/>
      <c r="D36" s="68">
        <f>IFERROR(ROUND(B36/C36,2),"")</f>
        <v/>
      </c>
      <c r="E36" s="67" t="n"/>
      <c r="F36" s="68">
        <f>IFERROR(ROUND(D36*E36,0),"")</f>
        <v/>
      </c>
    </row>
    <row r="37">
      <c r="B37" s="66" t="inlineStr">
        <is>
          <t>Febrero</t>
        </is>
      </c>
      <c r="C37" s="77" t="inlineStr">
        <is>
          <t>F29 Marzo</t>
        </is>
      </c>
      <c r="D37" s="2" t="n"/>
      <c r="E37" s="2" t="n"/>
      <c r="F37" s="3" t="n"/>
    </row>
    <row r="38">
      <c r="B38" s="54" t="inlineStr">
        <is>
          <t>Codigo 77</t>
        </is>
      </c>
      <c r="C38" s="54" t="inlineStr">
        <is>
          <t>UTM Marzo</t>
        </is>
      </c>
      <c r="D38" s="54" t="inlineStr">
        <is>
          <t>Remanante en UTM</t>
        </is>
      </c>
      <c r="E38" s="54" t="inlineStr">
        <is>
          <t>UTM Abril</t>
        </is>
      </c>
      <c r="F38" s="54" t="inlineStr">
        <is>
          <t>Codigo 504</t>
        </is>
      </c>
    </row>
    <row r="39">
      <c r="B39" s="69" t="n"/>
      <c r="C39" s="67" t="n"/>
      <c r="D39" s="68">
        <f>IFERROR(ROUND(B39/C39,2),"")</f>
        <v/>
      </c>
      <c r="E39" s="67" t="n"/>
      <c r="F39" s="68">
        <f>IFERROR(ROUND(D39*E39,0),"")</f>
        <v/>
      </c>
    </row>
    <row r="40">
      <c r="B40" s="66" t="inlineStr">
        <is>
          <t>Marzo</t>
        </is>
      </c>
      <c r="C40" s="77" t="inlineStr">
        <is>
          <t>F29 Abril</t>
        </is>
      </c>
      <c r="D40" s="2" t="n"/>
      <c r="E40" s="2" t="n"/>
      <c r="F40" s="3" t="n"/>
    </row>
    <row r="41">
      <c r="B41" s="54" t="inlineStr">
        <is>
          <t>Codigo 77</t>
        </is>
      </c>
      <c r="C41" s="54" t="inlineStr">
        <is>
          <t>UTM Abril</t>
        </is>
      </c>
      <c r="D41" s="54" t="inlineStr">
        <is>
          <t>Remanante en UTM</t>
        </is>
      </c>
      <c r="E41" s="54" t="inlineStr">
        <is>
          <t>UTM Mayo</t>
        </is>
      </c>
      <c r="F41" s="54" t="inlineStr">
        <is>
          <t>Codigo 504</t>
        </is>
      </c>
    </row>
    <row r="42">
      <c r="B42" s="69" t="n"/>
      <c r="C42" s="67" t="n"/>
      <c r="D42" s="68">
        <f>IFERROR(ROUND(B42/C42,2),"")</f>
        <v/>
      </c>
      <c r="E42" s="67" t="n"/>
      <c r="F42" s="68">
        <f>IFERROR(ROUND(D42*E42,0),"")</f>
        <v/>
      </c>
    </row>
    <row r="43">
      <c r="B43" s="66" t="inlineStr">
        <is>
          <t>Abril</t>
        </is>
      </c>
      <c r="C43" s="77" t="inlineStr">
        <is>
          <t>F29 Mayo</t>
        </is>
      </c>
      <c r="D43" s="2" t="n"/>
      <c r="E43" s="2" t="n"/>
      <c r="F43" s="3" t="n"/>
    </row>
    <row r="44">
      <c r="B44" s="54" t="inlineStr">
        <is>
          <t>Codigo 77</t>
        </is>
      </c>
      <c r="C44" s="54" t="inlineStr">
        <is>
          <t>UTM Mayo</t>
        </is>
      </c>
      <c r="D44" s="54" t="inlineStr">
        <is>
          <t>Remanante en UTM</t>
        </is>
      </c>
      <c r="E44" s="54" t="inlineStr">
        <is>
          <t>UTM Junio</t>
        </is>
      </c>
      <c r="F44" s="54" t="inlineStr">
        <is>
          <t>Codigo 504</t>
        </is>
      </c>
    </row>
    <row r="45">
      <c r="B45" s="69" t="n"/>
      <c r="C45" s="67" t="n"/>
      <c r="D45" s="68">
        <f>IFERROR(ROUND(B45/C45,2),"")</f>
        <v/>
      </c>
      <c r="E45" s="67" t="n"/>
      <c r="F45" s="68">
        <f>IFERROR(ROUND(D45*E45,0),"")</f>
        <v/>
      </c>
    </row>
    <row r="46">
      <c r="B46" s="66" t="inlineStr">
        <is>
          <t>Mayo</t>
        </is>
      </c>
      <c r="C46" s="77" t="inlineStr">
        <is>
          <t>F29 Junio</t>
        </is>
      </c>
      <c r="D46" s="2" t="n"/>
      <c r="E46" s="2" t="n"/>
      <c r="F46" s="3" t="n"/>
    </row>
    <row r="47">
      <c r="B47" s="54" t="inlineStr">
        <is>
          <t>Codigo 77</t>
        </is>
      </c>
      <c r="C47" s="54" t="inlineStr">
        <is>
          <t>UTM Junio</t>
        </is>
      </c>
      <c r="D47" s="54" t="inlineStr">
        <is>
          <t>Remanante en UTM</t>
        </is>
      </c>
      <c r="E47" s="54" t="inlineStr">
        <is>
          <t>UTM Julio</t>
        </is>
      </c>
      <c r="F47" s="54" t="inlineStr">
        <is>
          <t>Codigo 504</t>
        </is>
      </c>
    </row>
    <row r="48">
      <c r="B48" s="69" t="n"/>
      <c r="C48" s="67" t="n"/>
      <c r="D48" s="68">
        <f>IFERROR(ROUND(B48/C48,2),"")</f>
        <v/>
      </c>
      <c r="E48" s="67" t="n"/>
      <c r="F48" s="68">
        <f>IFERROR(ROUND(D48*E48,0),"")</f>
        <v/>
      </c>
    </row>
    <row r="49">
      <c r="B49" s="66" t="inlineStr">
        <is>
          <t>Junio</t>
        </is>
      </c>
      <c r="C49" s="77" t="inlineStr">
        <is>
          <t>F29 Julio</t>
        </is>
      </c>
      <c r="D49" s="2" t="n"/>
      <c r="E49" s="2" t="n"/>
      <c r="F49" s="3" t="n"/>
    </row>
    <row r="50">
      <c r="B50" s="54" t="inlineStr">
        <is>
          <t>Codigo 77</t>
        </is>
      </c>
      <c r="C50" s="54" t="inlineStr">
        <is>
          <t>UTM Julio</t>
        </is>
      </c>
      <c r="D50" s="54" t="inlineStr">
        <is>
          <t>Remanante en UTM</t>
        </is>
      </c>
      <c r="E50" s="54" t="inlineStr">
        <is>
          <t>UTM Agosto</t>
        </is>
      </c>
      <c r="F50" s="54" t="inlineStr">
        <is>
          <t>Codigo 504</t>
        </is>
      </c>
    </row>
    <row r="51">
      <c r="B51" s="69" t="n"/>
      <c r="C51" s="67" t="n"/>
      <c r="D51" s="68">
        <f>IFERROR(ROUND(B51/C51,2),"")</f>
        <v/>
      </c>
      <c r="E51" s="67" t="n"/>
      <c r="F51" s="68">
        <f>IFERROR(ROUND(D51*E51,0),"")</f>
        <v/>
      </c>
    </row>
    <row r="52">
      <c r="B52" s="66" t="inlineStr">
        <is>
          <t>Julio</t>
        </is>
      </c>
      <c r="C52" s="77" t="inlineStr">
        <is>
          <t>F29 Agosto</t>
        </is>
      </c>
      <c r="D52" s="2" t="n"/>
      <c r="E52" s="2" t="n"/>
      <c r="F52" s="3" t="n"/>
    </row>
    <row r="53">
      <c r="B53" s="54" t="inlineStr">
        <is>
          <t>Codigo 77</t>
        </is>
      </c>
      <c r="C53" s="54" t="inlineStr">
        <is>
          <t>UTM Agosto</t>
        </is>
      </c>
      <c r="D53" s="54" t="inlineStr">
        <is>
          <t>Remanante en UTM</t>
        </is>
      </c>
      <c r="E53" s="54" t="inlineStr">
        <is>
          <t>UTM Septiembre</t>
        </is>
      </c>
      <c r="F53" s="54" t="inlineStr">
        <is>
          <t>Codigo 504</t>
        </is>
      </c>
    </row>
    <row r="54">
      <c r="B54" s="69" t="n"/>
      <c r="C54" s="67" t="n"/>
      <c r="D54" s="68">
        <f>IFERROR(ROUND(B54/C54,2),"")</f>
        <v/>
      </c>
      <c r="E54" s="67" t="n"/>
      <c r="F54" s="68">
        <f>IFERROR(ROUND(D54*E54,0),"")</f>
        <v/>
      </c>
    </row>
    <row r="55">
      <c r="B55" s="66" t="inlineStr">
        <is>
          <t>Agosto</t>
        </is>
      </c>
      <c r="C55" s="77" t="inlineStr">
        <is>
          <t>F29 Septiembre</t>
        </is>
      </c>
      <c r="D55" s="2" t="n"/>
      <c r="E55" s="2" t="n"/>
      <c r="F55" s="3" t="n"/>
    </row>
    <row r="56">
      <c r="B56" s="54" t="inlineStr">
        <is>
          <t>Codigo 77</t>
        </is>
      </c>
      <c r="C56" s="54" t="inlineStr">
        <is>
          <t>UTM Septiembre</t>
        </is>
      </c>
      <c r="D56" s="54" t="inlineStr">
        <is>
          <t>Remanante en UTM</t>
        </is>
      </c>
      <c r="E56" s="54" t="inlineStr">
        <is>
          <t>UTM Octubre</t>
        </is>
      </c>
      <c r="F56" s="54" t="inlineStr">
        <is>
          <t>Codigo 504</t>
        </is>
      </c>
    </row>
    <row r="57">
      <c r="B57" s="69" t="n"/>
      <c r="C57" s="67" t="n"/>
      <c r="D57" s="68">
        <f>IFERROR(ROUND(B57/C57,2),"")</f>
        <v/>
      </c>
      <c r="E57" s="67" t="n"/>
      <c r="F57" s="68">
        <f>IFERROR(ROUND(D57*E57,0),"")</f>
        <v/>
      </c>
    </row>
    <row r="58">
      <c r="B58" s="66" t="inlineStr">
        <is>
          <t>Septiembre</t>
        </is>
      </c>
      <c r="C58" s="77" t="inlineStr">
        <is>
          <t>F29 Octubre</t>
        </is>
      </c>
      <c r="D58" s="2" t="n"/>
      <c r="E58" s="2" t="n"/>
      <c r="F58" s="3" t="n"/>
    </row>
    <row r="59">
      <c r="B59" s="54" t="inlineStr">
        <is>
          <t>Codigo 77</t>
        </is>
      </c>
      <c r="C59" s="54" t="inlineStr">
        <is>
          <t>UTM Octubre</t>
        </is>
      </c>
      <c r="D59" s="54" t="inlineStr">
        <is>
          <t>Remanante en UTM</t>
        </is>
      </c>
      <c r="E59" s="54" t="inlineStr">
        <is>
          <t>UTM Noviembre</t>
        </is>
      </c>
      <c r="F59" s="54" t="inlineStr">
        <is>
          <t>Codigo 504</t>
        </is>
      </c>
    </row>
    <row r="60">
      <c r="B60" s="69" t="n"/>
      <c r="C60" s="67" t="n"/>
      <c r="D60" s="68">
        <f>IFERROR(ROUND(B60/C60,2),"")</f>
        <v/>
      </c>
      <c r="E60" s="67" t="n"/>
      <c r="F60" s="68">
        <f>IFERROR(ROUND(D60*E60,0),"")</f>
        <v/>
      </c>
    </row>
    <row r="61">
      <c r="B61" s="66" t="inlineStr">
        <is>
          <t>Octubre</t>
        </is>
      </c>
      <c r="C61" s="77" t="inlineStr">
        <is>
          <t>F29 Noviembre</t>
        </is>
      </c>
      <c r="D61" s="2" t="n"/>
      <c r="E61" s="2" t="n"/>
      <c r="F61" s="3" t="n"/>
    </row>
    <row r="62">
      <c r="B62" s="54" t="inlineStr">
        <is>
          <t>Codigo 77</t>
        </is>
      </c>
      <c r="C62" s="54" t="inlineStr">
        <is>
          <t>UTM Noviembre</t>
        </is>
      </c>
      <c r="D62" s="54" t="inlineStr">
        <is>
          <t>Remanante en UTM</t>
        </is>
      </c>
      <c r="E62" s="54" t="inlineStr">
        <is>
          <t>UTM Diciembre</t>
        </is>
      </c>
      <c r="F62" s="54" t="inlineStr">
        <is>
          <t>Codigo 504</t>
        </is>
      </c>
    </row>
    <row r="63">
      <c r="B63" s="69" t="n"/>
      <c r="C63" s="67" t="n"/>
      <c r="D63" s="68">
        <f>IFERROR(ROUND(B63/C63,2),"")</f>
        <v/>
      </c>
      <c r="E63" s="67" t="n"/>
      <c r="F63" s="68">
        <f>IFERROR(ROUND(D63*E63,0),"")</f>
        <v/>
      </c>
    </row>
    <row r="64">
      <c r="B64" s="66" t="inlineStr">
        <is>
          <t>Noviembre</t>
        </is>
      </c>
      <c r="C64" s="77" t="inlineStr">
        <is>
          <t>F29 Diciembre</t>
        </is>
      </c>
      <c r="D64" s="2" t="n"/>
      <c r="E64" s="2" t="n"/>
      <c r="F64" s="3" t="n"/>
    </row>
    <row r="65">
      <c r="B65" s="54" t="inlineStr">
        <is>
          <t>Codigo 77</t>
        </is>
      </c>
      <c r="C65" s="54" t="inlineStr">
        <is>
          <t>UTM Diciembre</t>
        </is>
      </c>
      <c r="D65" s="54" t="inlineStr">
        <is>
          <t>Remanante en UTM</t>
        </is>
      </c>
      <c r="E65" s="54" t="inlineStr">
        <is>
          <t>UTM Enero</t>
        </is>
      </c>
      <c r="F65" s="54" t="inlineStr">
        <is>
          <t>Codigo 504</t>
        </is>
      </c>
    </row>
    <row r="66">
      <c r="B66" s="67" t="n"/>
      <c r="C66" s="67" t="n"/>
      <c r="D66" s="68">
        <f>IFERROR(ROUND(B66/C66,2),"")</f>
        <v/>
      </c>
      <c r="E66" s="67" t="n"/>
      <c r="F66" s="68">
        <f>IFERROR(ROUND(D66*E66,0),"")</f>
        <v/>
      </c>
    </row>
    <row r="69">
      <c r="B69" s="62" t="inlineStr">
        <is>
          <t>ANALISIS OTROS CREDITOS</t>
        </is>
      </c>
    </row>
  </sheetData>
  <mergeCells count="15">
    <mergeCell ref="C40:F40"/>
    <mergeCell ref="C52:F52"/>
    <mergeCell ref="C31:F31"/>
    <mergeCell ref="C61:F61"/>
    <mergeCell ref="C64:F64"/>
    <mergeCell ref="B12:O12"/>
    <mergeCell ref="C49:F49"/>
    <mergeCell ref="B69:O69"/>
    <mergeCell ref="C43:F43"/>
    <mergeCell ref="C34:F34"/>
    <mergeCell ref="B29:O29"/>
    <mergeCell ref="C46:F46"/>
    <mergeCell ref="C37:F37"/>
    <mergeCell ref="C55:F55"/>
    <mergeCell ref="C58:F58"/>
  </mergeCells>
  <hyperlinks>
    <hyperlink ref="B2" location="EEFF!A1" display="     Efectivo y equivalentes al efectivo"/>
  </hyperlinks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B2:O13"/>
  <sheetViews>
    <sheetView showGridLines="0" zoomScale="80" zoomScaleNormal="80" workbookViewId="0">
      <selection activeCell="E17" sqref="E17"/>
    </sheetView>
  </sheetViews>
  <sheetFormatPr baseColWidth="10" defaultRowHeight="14.5"/>
  <cols>
    <col width="3.90625" customWidth="1" style="21" min="1" max="1"/>
    <col width="38.36328125" bestFit="1" customWidth="1" style="21" min="2" max="2"/>
    <col width="14.08984375" bestFit="1" customWidth="1" style="21" min="3" max="3"/>
    <col width="18.7265625" customWidth="1" style="21" min="4" max="4"/>
    <col width="16.6328125" customWidth="1" style="21" min="5" max="5"/>
    <col width="19" customWidth="1" style="21" min="6" max="6"/>
  </cols>
  <sheetData>
    <row r="2">
      <c r="B2" s="53" t="inlineStr">
        <is>
          <t xml:space="preserve">     Deudores comerciales y otras cuentas por cobrar, corrientes</t>
        </is>
      </c>
    </row>
    <row r="4">
      <c r="B4" s="48" t="inlineStr">
        <is>
          <t>Etiquetas de fila</t>
        </is>
      </c>
      <c r="C4" t="inlineStr">
        <is>
          <t>Suma de SALDO</t>
        </is>
      </c>
    </row>
    <row r="5">
      <c r="B5" s="22" t="inlineStr">
        <is>
          <t>1104-01 DEUDORES CLIENTES</t>
        </is>
      </c>
      <c r="C5" s="74" t="n">
        <v>282166067</v>
      </c>
    </row>
    <row r="6">
      <c r="B6" s="22" t="inlineStr">
        <is>
          <t>1105-18 CUENTA POR COBRAR 1</t>
        </is>
      </c>
      <c r="C6" s="74" t="n">
        <v>34150079</v>
      </c>
    </row>
    <row r="7">
      <c r="B7" s="22" t="inlineStr">
        <is>
          <t>1105-19 CUENTA POR COBRAR 2</t>
        </is>
      </c>
      <c r="C7" s="74" t="n">
        <v>110881500</v>
      </c>
    </row>
    <row r="8">
      <c r="B8" s="22" t="inlineStr">
        <is>
          <t>1106-02 DEUDORES VARIOS</t>
        </is>
      </c>
      <c r="C8" s="74" t="n">
        <v>554983</v>
      </c>
    </row>
    <row r="9">
      <c r="B9" s="22" t="inlineStr">
        <is>
          <t>1106-08 DEUDORES POR VENTA ACTIVO FIJO</t>
        </is>
      </c>
      <c r="C9" s="74" t="n">
        <v>1890000</v>
      </c>
    </row>
    <row r="10">
      <c r="B10" s="22" t="inlineStr">
        <is>
          <t>Total general</t>
        </is>
      </c>
      <c r="C10" s="74" t="n">
        <v>429642629</v>
      </c>
    </row>
    <row r="13">
      <c r="B13" s="62" t="inlineStr">
        <is>
          <t>CLIENTES</t>
        </is>
      </c>
    </row>
  </sheetData>
  <mergeCells count="1">
    <mergeCell ref="B13:O13"/>
  </mergeCells>
  <hyperlinks>
    <hyperlink ref="B2" location="EEFF!A1" display="     Efectivo y equivalentes al efectivo"/>
  </hyperlink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Hernán Patricio Hernández Hernández</dc:creator>
  <dcterms:created xmlns:dcterms="http://purl.org/dc/terms/" xmlns:xsi="http://www.w3.org/2001/XMLSchema-instance" xsi:type="dcterms:W3CDTF">2026-09-03T03:26:52Z</dcterms:created>
  <dcterms:modified xmlns:dcterms="http://purl.org/dc/terms/" xmlns:xsi="http://www.w3.org/2001/XMLSchema-instance" xsi:type="dcterms:W3CDTF">2026-09-22T02:35:17Z</dcterms:modified>
  <cp:lastModifiedBy>Hernán Patricio Hernández Hernández</cp:lastModifiedBy>
</cp:coreProperties>
</file>